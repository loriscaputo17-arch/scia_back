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<sst xmlns="http://schemas.openxmlformats.org/spreadsheetml/2006/main" count="8347" uniqueCount="2583">
  <si>
    <t>16.</t>
  </si>
  <si>
    <t>Livello WBS</t>
  </si>
  <si>
    <t xml:space="preserve">Codice ESWBS </t>
  </si>
  <si>
    <t>Livello 4</t>
  </si>
  <si>
    <t>Livello 5</t>
  </si>
  <si>
    <t>Livello 6</t>
  </si>
  <si>
    <t>Livello 7</t>
  </si>
  <si>
    <t>Livello 8</t>
  </si>
  <si>
    <t>Livello 9</t>
  </si>
  <si>
    <t>LCN</t>
  </si>
  <si>
    <t>ALC</t>
  </si>
  <si>
    <t>CI/HDCI/CSCI</t>
  </si>
  <si>
    <t>Denominazione</t>
  </si>
  <si>
    <t>Livello Configurazione (1/2/3)</t>
  </si>
  <si>
    <t>Modello</t>
  </si>
  <si>
    <t>Marca pezzo</t>
  </si>
  <si>
    <t>Part Number Fornitore</t>
  </si>
  <si>
    <t>Codice Ditta fornitrice</t>
  </si>
  <si>
    <t>Part Number Costruttore</t>
  </si>
  <si>
    <t>Codice Costruttore</t>
  </si>
  <si>
    <t>P/N Configuration Index</t>
  </si>
  <si>
    <t>QuantitÀ (contenuta in assieme superiore - Qty per assy)</t>
  </si>
  <si>
    <t>QuantitÀ totale (Qty per end item. WSBS a cinque cifre)</t>
  </si>
  <si>
    <r>
      <rPr>
        <rFont val="Play"/>
        <b/>
        <color theme="1"/>
        <sz val="11.0"/>
      </rPr>
      <t xml:space="preserve">LCN TYPE
</t>
    </r>
    <r>
      <rPr>
        <rFont val="Aptos Narrow"/>
        <b/>
        <color theme="1"/>
        <sz val="11.0"/>
      </rPr>
      <t>[LRU-UI-EI-GRP-SYS-SW-FW-HW-ASSY]</t>
    </r>
  </si>
  <si>
    <t>NUC/NSN</t>
  </si>
  <si>
    <t>Prezzo unitario</t>
  </si>
  <si>
    <t>Data riferimento prezzo</t>
  </si>
  <si>
    <t>Sigla manuale tecnico</t>
  </si>
  <si>
    <t>MTBF [ore]</t>
  </si>
  <si>
    <t>MTTR [ore]</t>
  </si>
  <si>
    <t>MCBF [cicli: apertura/chiusura]</t>
  </si>
  <si>
    <t>MRBF [colpi]</t>
  </si>
  <si>
    <t>Codice di criticitÀ</t>
  </si>
  <si>
    <t>Codice di riparabilitÀ</t>
  </si>
  <si>
    <t>Codice di sostituibilitÀ</t>
  </si>
  <si>
    <t>Tempo di riparazione [giorni]</t>
  </si>
  <si>
    <t>Tempo di reintegro [giorni]</t>
  </si>
  <si>
    <t>MTBR [ore]</t>
  </si>
  <si>
    <t>Tempo max immagaz. [mesi]</t>
  </si>
  <si>
    <t>Durata limitata [mesi]</t>
  </si>
  <si>
    <t>Caratterizzazione POF</t>
  </si>
  <si>
    <t>Serial number</t>
  </si>
  <si>
    <t>Peso [kg]</t>
  </si>
  <si>
    <t>Dimensioni L [mm]</t>
  </si>
  <si>
    <t>Dimensioni P  [mm]</t>
  </si>
  <si>
    <t>Dimensioni H  [mm]</t>
  </si>
  <si>
    <t>Volume [m3]</t>
  </si>
  <si>
    <t>Alimentazione</t>
  </si>
  <si>
    <t>Dissipazione in aria [kW]</t>
  </si>
  <si>
    <t>UnitÀ Navale</t>
  </si>
  <si>
    <t>Locale/Zona</t>
  </si>
  <si>
    <t>Posizione in Locale/Zona</t>
  </si>
  <si>
    <t>Dissipazione in acqua [kW]</t>
  </si>
  <si>
    <t>Numero di giri/Senso di rotazione</t>
  </si>
  <si>
    <t>Potenza</t>
  </si>
  <si>
    <t>Requisiti antiurto/Montaggio</t>
  </si>
  <si>
    <t>Coordinate baricentriche [m x m x m]</t>
  </si>
  <si>
    <t>Portata [l/s]</t>
  </si>
  <si>
    <t>Pressione [bar]</t>
  </si>
  <si>
    <t>Disegno (manuale)</t>
  </si>
  <si>
    <t>Pagina</t>
  </si>
  <si>
    <t>Numero Disegno</t>
  </si>
  <si>
    <t>Posizione su disegno</t>
  </si>
  <si>
    <t>Indice di Revisione</t>
  </si>
  <si>
    <t>Data di produzione/collaudo</t>
  </si>
  <si>
    <t>Data di installazione</t>
  </si>
  <si>
    <t>Engineering update</t>
  </si>
  <si>
    <t>Note</t>
  </si>
  <si>
    <t>19000</t>
  </si>
  <si>
    <t>SISTEMI SPECIALI</t>
  </si>
  <si>
    <t>EI</t>
  </si>
  <si>
    <t>19900</t>
  </si>
  <si>
    <t>Attrezzatura per la riparazione dello scafo ed attrezzi speciali o Materiali del servizio di Sicurezza (travi, cunei, puntelli ecc.)</t>
  </si>
  <si>
    <t>19910</t>
  </si>
  <si>
    <t>RISPETTI ED ATTREZZI DI BORDO PER LE STRUTTURE DELLO SCAFO</t>
  </si>
  <si>
    <t>19911</t>
  </si>
  <si>
    <t>01</t>
  </si>
  <si>
    <t>PNEUMATIC RUBBER FENDER</t>
  </si>
  <si>
    <t>UI</t>
  </si>
  <si>
    <t>X</t>
  </si>
  <si>
    <t>NA</t>
  </si>
  <si>
    <t xml:space="preserve">Operating &amp; Maintenance Guide for Pneumatic Floating Fenders </t>
  </si>
  <si>
    <t>23000</t>
  </si>
  <si>
    <t>UNITÀ' DI PROPULSIONE</t>
  </si>
  <si>
    <t>PROPULSIONE CON MOTORI ELETTRICI</t>
  </si>
  <si>
    <t>IMPIANTO MOTORI ELETTRICI DI PROPULSIONE</t>
  </si>
  <si>
    <t>MOTORE ELETTRICO DI PROPULSIONE N°1</t>
  </si>
  <si>
    <t>AFE DRIVE</t>
  </si>
  <si>
    <t>ELK-MDRV-5</t>
  </si>
  <si>
    <t>142-01</t>
  </si>
  <si>
    <t>PRJ.000511/DRV.0001</t>
  </si>
  <si>
    <t>05</t>
  </si>
  <si>
    <t>MOTORE</t>
  </si>
  <si>
    <t>P62B 450LX8 FDHBHSIGRILKVKWLLNSPTSPEZT</t>
  </si>
  <si>
    <t>001-01</t>
  </si>
  <si>
    <t>458784/0001H</t>
  </si>
  <si>
    <t>MOTORE ELETTRICO DI PROPULSIONE N°2</t>
  </si>
  <si>
    <t>142-02</t>
  </si>
  <si>
    <t>PRJ.000511/DRV.0002</t>
  </si>
  <si>
    <t>23512</t>
  </si>
  <si>
    <t>001-02</t>
  </si>
  <si>
    <t>458784/0002H</t>
  </si>
  <si>
    <t>24000</t>
  </si>
  <si>
    <t>SISTEMI DI TRASMISSIONE E PROPULSIONE</t>
  </si>
  <si>
    <t>24100</t>
  </si>
  <si>
    <t>RIDUTTORI DI GIRI DELLA PROPULSIONE</t>
  </si>
  <si>
    <t>24110</t>
  </si>
  <si>
    <t>RIDUTTORI DI GIRI DELLA PROPULSIONE DI UNITA' DISLOCANTI</t>
  </si>
  <si>
    <t>24111</t>
  </si>
  <si>
    <t>RIDUTTORE DI PROPULSIONE ASSE 1</t>
  </si>
  <si>
    <t>RIDUTTORE</t>
  </si>
  <si>
    <t>AF 1173 P V 7,850</t>
  </si>
  <si>
    <t>004</t>
  </si>
  <si>
    <t>D8056</t>
  </si>
  <si>
    <t>K88924</t>
  </si>
  <si>
    <t>SGDP Manual_SCP</t>
  </si>
  <si>
    <t>POMPA OLIO ELETTRICA  1</t>
  </si>
  <si>
    <t>TYP KF 50 - E1728/E1729</t>
  </si>
  <si>
    <t>FIG 3-3</t>
  </si>
  <si>
    <t>02</t>
  </si>
  <si>
    <t>AVVIATORE PER POMPA OLIO ELETTRICA 1</t>
  </si>
  <si>
    <t>LITTAU GMBH</t>
  </si>
  <si>
    <t>440 V/60 Hz</t>
  </si>
  <si>
    <t>2,64 W</t>
  </si>
  <si>
    <t>03</t>
  </si>
  <si>
    <t>POMPA OLIO ELETTRICA 2</t>
  </si>
  <si>
    <t>TYP KF 50  - E1728/E1729</t>
  </si>
  <si>
    <t>04</t>
  </si>
  <si>
    <t>AVVIATORE PER POMPA OLIO ELETTRICA 2</t>
  </si>
  <si>
    <t>ALBERO DI INGRESSO</t>
  </si>
  <si>
    <t>0-103-153105</t>
  </si>
  <si>
    <t>A890</t>
  </si>
  <si>
    <t>5</t>
  </si>
  <si>
    <t>06</t>
  </si>
  <si>
    <t>ALBERO DI USCITA</t>
  </si>
  <si>
    <t>0-103-153116</t>
  </si>
  <si>
    <t>07</t>
  </si>
  <si>
    <t>SCAMBIATORE DI CALORE</t>
  </si>
  <si>
    <t>08</t>
  </si>
  <si>
    <t>FILTRO DUPLEX OLIO</t>
  </si>
  <si>
    <t>021</t>
  </si>
  <si>
    <t>ASSY</t>
  </si>
  <si>
    <t>09</t>
  </si>
  <si>
    <t>MANOMETRO</t>
  </si>
  <si>
    <t>C6270</t>
  </si>
  <si>
    <t>1</t>
  </si>
  <si>
    <t>0-10 BAR</t>
  </si>
  <si>
    <t>PRESSURE TEST VALVE</t>
  </si>
  <si>
    <t>A35</t>
  </si>
  <si>
    <t>0A</t>
  </si>
  <si>
    <t>ASTINA</t>
  </si>
  <si>
    <t>0B</t>
  </si>
  <si>
    <t>ASTINA CON TUBO DI PROTEZIONE</t>
  </si>
  <si>
    <t>FIG 2-7</t>
  </si>
  <si>
    <t>E23</t>
  </si>
  <si>
    <t>0C</t>
  </si>
  <si>
    <t>TAPPO A VITE CON ANELLO DI TENUTA</t>
  </si>
  <si>
    <t>FIG 2-10</t>
  </si>
  <si>
    <t>0D</t>
  </si>
  <si>
    <t>VITE DI SCARICO OLIO</t>
  </si>
  <si>
    <t>LRU</t>
  </si>
  <si>
    <t>MANCA PART NUMBER</t>
  </si>
  <si>
    <t>0E</t>
  </si>
  <si>
    <t>TERMOMETRO BRF</t>
  </si>
  <si>
    <t>FIG 2-13</t>
  </si>
  <si>
    <t>A54</t>
  </si>
  <si>
    <t>0F</t>
  </si>
  <si>
    <t>TERMOMETRO AFT</t>
  </si>
  <si>
    <t>CNJW</t>
  </si>
  <si>
    <t>A55</t>
  </si>
  <si>
    <t>0G</t>
  </si>
  <si>
    <t>TERMOMETRO INT</t>
  </si>
  <si>
    <t>A56</t>
  </si>
  <si>
    <t>0H</t>
  </si>
  <si>
    <t>CONTROLLO LIVELLO OLIO</t>
  </si>
  <si>
    <t>CLS-50</t>
  </si>
  <si>
    <t>C3731</t>
  </si>
  <si>
    <t>24VDC</t>
  </si>
  <si>
    <t>A57</t>
  </si>
  <si>
    <t>0J</t>
  </si>
  <si>
    <t>PRESA DI MOTO</t>
  </si>
  <si>
    <t>FIG 2-15</t>
  </si>
  <si>
    <t>A206</t>
  </si>
  <si>
    <t>0K</t>
  </si>
  <si>
    <t>CAMPANA DI TRASMISSIONE</t>
  </si>
  <si>
    <t>FIG 2-16</t>
  </si>
  <si>
    <t>E224</t>
  </si>
  <si>
    <t>0L</t>
  </si>
  <si>
    <t>VALVOLA LIMITATRICE DI PRESSIONE</t>
  </si>
  <si>
    <t>V601_0</t>
  </si>
  <si>
    <t>FIG 2-3</t>
  </si>
  <si>
    <t>0M</t>
  </si>
  <si>
    <t>FILTRO DI SFIATO</t>
  </si>
  <si>
    <t>0N</t>
  </si>
  <si>
    <t>PRESSOSTATO</t>
  </si>
  <si>
    <t>MBC 5100-2031-1DB04</t>
  </si>
  <si>
    <t>R3859</t>
  </si>
  <si>
    <t>A103</t>
  </si>
  <si>
    <t>0P</t>
  </si>
  <si>
    <t>A105</t>
  </si>
  <si>
    <t>0Q</t>
  </si>
  <si>
    <t>A125</t>
  </si>
  <si>
    <t>0R</t>
  </si>
  <si>
    <t>TRASMETTITORE DI PRESSIONE</t>
  </si>
  <si>
    <t>MBC 5100-2011-1DB04</t>
  </si>
  <si>
    <t>A104</t>
  </si>
  <si>
    <t>0S</t>
  </si>
  <si>
    <t>SENSORE DI TEMPERATURA</t>
  </si>
  <si>
    <t>2TP81-1-55</t>
  </si>
  <si>
    <t>CK161</t>
  </si>
  <si>
    <t>A480</t>
  </si>
  <si>
    <t>0T</t>
  </si>
  <si>
    <t>KIT RIPARAZIONE SCAMBIATORE DI CALORE</t>
  </si>
  <si>
    <t>A1 TYPE P</t>
  </si>
  <si>
    <t>FIG 2-1</t>
  </si>
  <si>
    <t>0U</t>
  </si>
  <si>
    <t>KIT MANUTENZIONE FILTRO DUPLEX</t>
  </si>
  <si>
    <t>A3 TYPE RFLD</t>
  </si>
  <si>
    <t>FIG 2-2</t>
  </si>
  <si>
    <t>24200</t>
  </si>
  <si>
    <t>FRIZIONI E GIUNTI DI ACCOPPIAMENTO DELLA PROPULSIONE</t>
  </si>
  <si>
    <t>24210</t>
  </si>
  <si>
    <t>24211</t>
  </si>
  <si>
    <t>FRIZIONE E GIUNTO DI ACCOPPIAMENTO ASSE 1</t>
  </si>
  <si>
    <t>4</t>
  </si>
  <si>
    <t>GIUNTO ELASTICO</t>
  </si>
  <si>
    <t>VULKARDAN</t>
  </si>
  <si>
    <t>002-01</t>
  </si>
  <si>
    <t>1264373</t>
  </si>
  <si>
    <t>312306903-1</t>
  </si>
  <si>
    <t>002-02</t>
  </si>
  <si>
    <t>312306903-2</t>
  </si>
  <si>
    <t>LINEE D'ASSI</t>
  </si>
  <si>
    <t>IMPIANTO LINEE D'ASSI</t>
  </si>
  <si>
    <t>LINEA D'ASSE - ASSE 1</t>
  </si>
  <si>
    <t>SCP 091/4-XG</t>
  </si>
  <si>
    <t>24311</t>
  </si>
  <si>
    <t>TENUTA ALBERO POPPIERA</t>
  </si>
  <si>
    <t>015</t>
  </si>
  <si>
    <t>1264386</t>
  </si>
  <si>
    <t>TENUTA ALBERO PRUA</t>
  </si>
  <si>
    <t>016</t>
  </si>
  <si>
    <t>1264387</t>
  </si>
  <si>
    <t>TUBO POPPIERO, COMPLETO</t>
  </si>
  <si>
    <t>014</t>
  </si>
  <si>
    <t>1264388</t>
  </si>
  <si>
    <t>MISURATORE DI COPPIA ALBERO</t>
  </si>
  <si>
    <t>1264374</t>
  </si>
  <si>
    <t>ALBERO ELICA A PALE ORIENTABILI, SINISTRO</t>
  </si>
  <si>
    <t>010</t>
  </si>
  <si>
    <t>1264389</t>
  </si>
  <si>
    <t>GIUNTO ALBERO</t>
  </si>
  <si>
    <t>011</t>
  </si>
  <si>
    <t>1164475</t>
  </si>
  <si>
    <t>PARASAGOLA COMPLETO</t>
  </si>
  <si>
    <t>1266172</t>
  </si>
  <si>
    <t>DISPOSITIVO BLOCCAGGIO ALBERO</t>
  </si>
  <si>
    <t>1264375</t>
  </si>
  <si>
    <t>PALETTA ELICA, SINISTRA</t>
  </si>
  <si>
    <t>1264215</t>
  </si>
  <si>
    <t>SCATOLA DISTRIBUZIONE OLIO, COMPLETA</t>
  </si>
  <si>
    <t>1267476</t>
  </si>
  <si>
    <t>INTERRUTTORE DI LIVELLO, COMPLETO</t>
  </si>
  <si>
    <t>1226705</t>
  </si>
  <si>
    <t>DISPOSITIVO DI MESSA A TERRA</t>
  </si>
  <si>
    <t>1122781</t>
  </si>
  <si>
    <t>SENSORE DI PROSSIMITÀ INDUTTIVO, COMPLETO</t>
  </si>
  <si>
    <t>1256730</t>
  </si>
  <si>
    <t>UNITÀ DI BLOCCAGGIO ESTERNA</t>
  </si>
  <si>
    <t>1267563</t>
  </si>
  <si>
    <t>MONTAGGIO PALETTA ELICA</t>
  </si>
  <si>
    <t>1267627</t>
  </si>
  <si>
    <t>PARTI MONTAGGIO LINEA D’ASSE</t>
  </si>
  <si>
    <t>1267645</t>
  </si>
  <si>
    <t>PARTI MONTAGGIO OD-BOX</t>
  </si>
  <si>
    <t>1249346</t>
  </si>
  <si>
    <t>QUADRO CONTROLLO SISTEMA</t>
  </si>
  <si>
    <t>1268437</t>
  </si>
  <si>
    <t>PARTI BANCO PRINCIPALE T1</t>
  </si>
  <si>
    <t>1268438</t>
  </si>
  <si>
    <t>PARTI BANCO LATERALE PS T1</t>
  </si>
  <si>
    <t>1268439</t>
  </si>
  <si>
    <t>PARTI BANCO LATERALE STB T1</t>
  </si>
  <si>
    <t>1268440</t>
  </si>
  <si>
    <t>QUADRO AVVIAMENTO POMPA IDRAULICA</t>
  </si>
  <si>
    <t>1268441</t>
  </si>
  <si>
    <t>PROPULSORI IN GENERE (ELICHE, CICLOIDALI, RUOTE, ECC.)</t>
  </si>
  <si>
    <t>ELICHE DI PROPULSIONE E PROPULSORI IN GENERE (CICLOIDALI, ECC.)</t>
  </si>
  <si>
    <t>ELICA DI PROPULSIONE, O PROPULSORE, - ASSE 1</t>
  </si>
  <si>
    <t>ELICA A PASSO VARIABILE</t>
  </si>
  <si>
    <t>012</t>
  </si>
  <si>
    <t>24511</t>
  </si>
  <si>
    <t>CENTRALINA IDRAULICA MOVIMENTAZIONE PALE CCP</t>
  </si>
  <si>
    <t>SCP 914XG</t>
  </si>
  <si>
    <t>022</t>
  </si>
  <si>
    <t>1264099</t>
  </si>
  <si>
    <t>W-10095</t>
  </si>
  <si>
    <t>25000</t>
  </si>
  <si>
    <t>SISTEMI DI SUPPORTO PROPULSIONE (ESCLUSI COMBUSTIBILI E LUBRIFICANTI)</t>
  </si>
  <si>
    <t>SCARICO FUMI (PARTE INTERNA)</t>
  </si>
  <si>
    <t>STRUTTURE E SCHERMI DEFLETTORI DI SCARICO FUMI - ASSE N° 1</t>
  </si>
  <si>
    <t>2202-3011-02 Exhaust gas system schematic</t>
  </si>
  <si>
    <t>2202-3011-02</t>
  </si>
  <si>
    <t>IMPIANTO GAS DI SCARICO MOTORI GENERATORI DF</t>
  </si>
  <si>
    <t>SYS</t>
  </si>
  <si>
    <t>SILENZIATORE DG N°1</t>
  </si>
  <si>
    <t>109-01</t>
  </si>
  <si>
    <t>SILENZIATORE DG N°2</t>
  </si>
  <si>
    <t>109-02</t>
  </si>
  <si>
    <t>SILENZIATORE DG N°3</t>
  </si>
  <si>
    <t>109-03</t>
  </si>
  <si>
    <t>EXHAUST GAS VENTILATION UNIT FOR DUAL FUEL GENERATOR ENGINES N°1</t>
  </si>
  <si>
    <t>MPA 50T RINA</t>
  </si>
  <si>
    <t>114-01</t>
  </si>
  <si>
    <t>0.001</t>
  </si>
  <si>
    <t>EXHAUST GAS VENTILATION UNIT FOR DUAL FUEL GENERATOR ENGINES N°2</t>
  </si>
  <si>
    <t>114-02</t>
  </si>
  <si>
    <t>0.002</t>
  </si>
  <si>
    <t>EXHAUST GAS VENTILATION UNIT FOR DUAL FUEL GENERATOR ENGINES N°3</t>
  </si>
  <si>
    <t>114-03</t>
  </si>
  <si>
    <t>0.003</t>
  </si>
  <si>
    <t>PARASCINTILLE</t>
  </si>
  <si>
    <t>IMPIANTO GAS DI SCARICO RISCALDATORE PRESSURIZZATO DF</t>
  </si>
  <si>
    <t>IMPIANTO GAS DI SCARICO MOTORE GENERATORE EMERGENZA</t>
  </si>
  <si>
    <t>SILENZIATORE</t>
  </si>
  <si>
    <t>111</t>
  </si>
  <si>
    <t>IMPIANTO GAS DI SCARICO INCENERITORE</t>
  </si>
  <si>
    <t>26000</t>
  </si>
  <si>
    <t>SISTEMI DI SUPPORTO PER LA PROPULSIONE (COMBUSTIBILI E LUBRIFICANTI)</t>
  </si>
  <si>
    <t>26100</t>
  </si>
  <si>
    <t>SISTEMA SERVIZIO COMBUSTIBILE</t>
  </si>
  <si>
    <t>26110</t>
  </si>
  <si>
    <t>IMPIANTO ALIMENTO DEL SERVIZIO COMBUSTIBILE</t>
  </si>
  <si>
    <t>26111</t>
  </si>
  <si>
    <t>IMPIANTO ALIMENTAZIONE COMBUSTIBILE</t>
  </si>
  <si>
    <t>D.F.G.E M.G.O. CIRCOLATION PUMP N°1</t>
  </si>
  <si>
    <t>ACE 032L3 NTBP 80 STD</t>
  </si>
  <si>
    <t>068-01</t>
  </si>
  <si>
    <t>2202-3001-02 Fuel oil service and purifying system schematic PDF</t>
  </si>
  <si>
    <t>2202-3001-02</t>
  </si>
  <si>
    <t>D.F.G.E M.G.O. CIRCOLATION PUMP N°2</t>
  </si>
  <si>
    <t>068-02</t>
  </si>
  <si>
    <t>D.F.G.E M.G.O. CIRCOLATION PUMP N°3</t>
  </si>
  <si>
    <t>068-03</t>
  </si>
  <si>
    <t>D.F.G.E M.G.O. CIRCOLATION PUMP N°4</t>
  </si>
  <si>
    <t>068-04</t>
  </si>
  <si>
    <t>FUEL VALVE TEST BENCH</t>
  </si>
  <si>
    <t>069</t>
  </si>
  <si>
    <t>GRUPPO MISURATORE PORTATA OLIO COMBUSTIBILE</t>
  </si>
  <si>
    <t>26200</t>
  </si>
  <si>
    <t>SISTEMA OLIO LUBRIFICAZIONE PROPULSIONE PRINCIPALE</t>
  </si>
  <si>
    <t>2202-3009-03 Lub oil fill, transfer and purifying system schematic PDF</t>
  </si>
  <si>
    <t>2202-3009-03</t>
  </si>
  <si>
    <t>26220</t>
  </si>
  <si>
    <t>CASSE NON STRUTTURALI DELL'OLIO LUBRIFICANTE,</t>
  </si>
  <si>
    <t>26221</t>
  </si>
  <si>
    <t>CASSE NON STRUTTURALI DELL'OLIO LUBRIFICANTE - RIDUTTORE</t>
  </si>
  <si>
    <t>SERBATOIO INDIPENDENTE</t>
  </si>
  <si>
    <t>020</t>
  </si>
  <si>
    <t>26222</t>
  </si>
  <si>
    <t>CASSE NON STRUTTURALI DELL'OLIO LUBRIFICANTE - LINEA D'ASSE</t>
  </si>
  <si>
    <t>SERBATOIO 30,0 L</t>
  </si>
  <si>
    <t>SIMPLEX 355</t>
  </si>
  <si>
    <t>019</t>
  </si>
  <si>
    <t>1151112</t>
  </si>
  <si>
    <t>SERBATOIO 15,0 L</t>
  </si>
  <si>
    <t>018</t>
  </si>
  <si>
    <t>1151113</t>
  </si>
  <si>
    <t>SERBATOIO TUBO POPPIERO 45 L, COMPLETO</t>
  </si>
  <si>
    <t>024</t>
  </si>
  <si>
    <t>1224542</t>
  </si>
  <si>
    <t>SERBATOIO OLIO</t>
  </si>
  <si>
    <t>017</t>
  </si>
  <si>
    <t>1222470</t>
  </si>
  <si>
    <t>001</t>
  </si>
  <si>
    <t>SERBATOIO GRAVITÀ 88 L, COMPLETO</t>
  </si>
  <si>
    <t>2</t>
  </si>
  <si>
    <t>023</t>
  </si>
  <si>
    <t>1226428</t>
  </si>
  <si>
    <t>MISCELLANEOUS SMALL TANK</t>
  </si>
  <si>
    <t>079</t>
  </si>
  <si>
    <t>26230</t>
  </si>
  <si>
    <t>POMPE OLIO TRASCINATE</t>
  </si>
  <si>
    <t>26231</t>
  </si>
  <si>
    <t>POMPE OLIO TRASCINATE - RIDUTTORE</t>
  </si>
  <si>
    <t>POMPA OLIO LUBRIFICANTE</t>
  </si>
  <si>
    <t>005</t>
  </si>
  <si>
    <t>26240</t>
  </si>
  <si>
    <t>POMPE OLIO NON TRASCINATE</t>
  </si>
  <si>
    <t>26241</t>
  </si>
  <si>
    <t>POMPE OLIO NON TRASCINATE - RIDUTTORE</t>
  </si>
  <si>
    <t>POMPA OLIO LUBRIFICANTE STAND-BY N°1</t>
  </si>
  <si>
    <t>KF 50 RF 1/471-GJS</t>
  </si>
  <si>
    <t>006-01</t>
  </si>
  <si>
    <t>POMPA OLIO LUBRIFICANTE STAND-BY N°2</t>
  </si>
  <si>
    <t>006-02</t>
  </si>
  <si>
    <t>26400</t>
  </si>
  <si>
    <t>IMBARCO, TRAVASO, DEPURAZIONE OLIO LUBRIFICAZIONE</t>
  </si>
  <si>
    <t>26420</t>
  </si>
  <si>
    <t>IMPIANTO POMPE IMBARCO E TRAVASO OLIO</t>
  </si>
  <si>
    <t>26421</t>
  </si>
  <si>
    <t>POMPE IMBARCO E TRAVASO OLIO</t>
  </si>
  <si>
    <t>POMPA DI TRASFERIMENTO OLIO LUBRIFICANTE</t>
  </si>
  <si>
    <t>HD41EFM-1U2B2S</t>
  </si>
  <si>
    <t>073</t>
  </si>
  <si>
    <t>550806-08-01</t>
  </si>
  <si>
    <t>DD5213</t>
  </si>
  <si>
    <t>IMPIANTO FILTRI, DEPURATORI E CHIARIFICATORI OLIO (+)</t>
  </si>
  <si>
    <t>FILTRI, DEPURATORI E CHIARIFICATORI OLIO (+)</t>
  </si>
  <si>
    <t>REFRIGERATORE OLIO PER IL RIDUTTORE</t>
  </si>
  <si>
    <t>007</t>
  </si>
  <si>
    <t>LO FILTRATION UNIT N°1</t>
  </si>
  <si>
    <t>WP1-P2-400</t>
  </si>
  <si>
    <t>080-01</t>
  </si>
  <si>
    <t>22-P2-40-340-U00</t>
  </si>
  <si>
    <t>R5668</t>
  </si>
  <si>
    <t>#2406-4990</t>
  </si>
  <si>
    <t>1X230V,3X400/440V, 50/60Hz</t>
  </si>
  <si>
    <t>370 W</t>
  </si>
  <si>
    <t>0,11-0,13</t>
  </si>
  <si>
    <t>LO FILTRATION UNIT N°2</t>
  </si>
  <si>
    <t>080-02</t>
  </si>
  <si>
    <t>#2406-4991</t>
  </si>
  <si>
    <t>LO FILTRATION UNIT N°3</t>
  </si>
  <si>
    <t>080-03</t>
  </si>
  <si>
    <t>#2406-4992</t>
  </si>
  <si>
    <t>IMPIANTO DI PURIFICAZIONE OLIO LUBRIFICANTE</t>
  </si>
  <si>
    <t>PRE-RISCALDATORE PURIFICATORE</t>
  </si>
  <si>
    <t>IMPIANTO OLIO SPORCO/MORCHIA</t>
  </si>
  <si>
    <t>POMPA OLIO SPORCO/MORCHIA</t>
  </si>
  <si>
    <t>29900</t>
  </si>
  <si>
    <t>RISPETTI ED ATTREZZI DI BORDO PER L'IMPIANTO DI PROPULSIONE</t>
  </si>
  <si>
    <t>29910</t>
  </si>
  <si>
    <t>29911</t>
  </si>
  <si>
    <t>RICAMBI SCHOTTEL</t>
  </si>
  <si>
    <t>GRP</t>
  </si>
  <si>
    <t>RICAMBI STAZIONE DI COMANDO</t>
  </si>
  <si>
    <t>1233425</t>
  </si>
  <si>
    <t>RICAMBI</t>
  </si>
  <si>
    <t>1268174</t>
  </si>
  <si>
    <t>RICAMBI ELETTRICI SCS PRO4</t>
  </si>
  <si>
    <t>1266494</t>
  </si>
  <si>
    <t>29920</t>
  </si>
  <si>
    <t>ATTREZZATURE SPECIALI L'IMPIANTO DI PROPULSIONE</t>
  </si>
  <si>
    <t>29921</t>
  </si>
  <si>
    <t>ATTREZZATURE SPECIALI PERL'IMPIANTO DI PROPULSIONE</t>
  </si>
  <si>
    <t>ATTREZZATURE SCHOTTEL</t>
  </si>
  <si>
    <t>TOOL SET</t>
  </si>
  <si>
    <t>GENERAZIONE ENERGIA ELETTRICA</t>
  </si>
  <si>
    <t>GENERAZIONE DELL'ENERGIA ELETTRICA</t>
  </si>
  <si>
    <t>DIESEL GENERATORI (O MOTOGENERATORI)</t>
  </si>
  <si>
    <t>DIESEL GENERATORE (O MOTOGENERATORE) N° 1</t>
  </si>
  <si>
    <t>MOTORE DF N°1</t>
  </si>
  <si>
    <t>W6L20DF</t>
  </si>
  <si>
    <t>116-01</t>
  </si>
  <si>
    <t>A9840</t>
  </si>
  <si>
    <t>XAAE102358</t>
  </si>
  <si>
    <t>ALTERNATORE N°1</t>
  </si>
  <si>
    <t>DSG 86 M1-6</t>
  </si>
  <si>
    <t>117-01</t>
  </si>
  <si>
    <t>8135655A001</t>
  </si>
  <si>
    <t>GAS VALVE UNIT N°1</t>
  </si>
  <si>
    <t>GVU-ED DN50</t>
  </si>
  <si>
    <t>115-01</t>
  </si>
  <si>
    <t>761 001</t>
  </si>
  <si>
    <t>XAAE102913</t>
  </si>
  <si>
    <t xml:space="preserve">DBAC868045c </t>
  </si>
  <si>
    <t>761-0516A</t>
  </si>
  <si>
    <t>DIESEL GENERATORI (O MOTOGENERATORI) N2</t>
  </si>
  <si>
    <t>MOTORE DF N°2</t>
  </si>
  <si>
    <t>116-02</t>
  </si>
  <si>
    <t>XAAE102363</t>
  </si>
  <si>
    <t>ALTERNATORE N°2</t>
  </si>
  <si>
    <t>117-02</t>
  </si>
  <si>
    <t>8135655A002</t>
  </si>
  <si>
    <t>GAS VALVE UNIT N°2</t>
  </si>
  <si>
    <t>115-02</t>
  </si>
  <si>
    <t>XAAE102929</t>
  </si>
  <si>
    <t>DIESEL GENERATORI (O MOTOGENERATORI) N3</t>
  </si>
  <si>
    <t>MOTORE DF N°3</t>
  </si>
  <si>
    <t>116-03</t>
  </si>
  <si>
    <t>XAAE102352</t>
  </si>
  <si>
    <t>ALTERNATORE N°3</t>
  </si>
  <si>
    <t>117-03</t>
  </si>
  <si>
    <t>8135655A003</t>
  </si>
  <si>
    <t>GAS VALVE UNIT N°3</t>
  </si>
  <si>
    <t>115-03</t>
  </si>
  <si>
    <t>XAAE102971</t>
  </si>
  <si>
    <t>GENERATORI DI EMERGENZA</t>
  </si>
  <si>
    <t>DIESEL GENERATORI D'EMERGENZA</t>
  </si>
  <si>
    <t>DIESEL GENERATORE D'EMERGENZA N° 1</t>
  </si>
  <si>
    <t>AL341</t>
  </si>
  <si>
    <t>MOTORE DIESEL EMERGENZA</t>
  </si>
  <si>
    <t>C7.1</t>
  </si>
  <si>
    <t>121</t>
  </si>
  <si>
    <t>A6E02466</t>
  </si>
  <si>
    <t>ALTERNATORE EMERGENZA</t>
  </si>
  <si>
    <t>ECO38 1S4</t>
  </si>
  <si>
    <t>122</t>
  </si>
  <si>
    <t>U071623</t>
  </si>
  <si>
    <t>BATTERIE ELETTRICHE E RELATIVE INSTALLAZIONI</t>
  </si>
  <si>
    <t>GRUPPI BATTERIE E RELATIVE INSTALLAZIONI N1</t>
  </si>
  <si>
    <t>SET BATTERIE  DA 24 V DC (COMPOSTO DA CARICABATTERIE E BATTERIE LEAD-ACID)</t>
  </si>
  <si>
    <t xml:space="preserve">CARICABATTERIA AUTOMATICO PER SERVIZI GENERALI ED EMERGENZA, CON CARICA RAPIDA E DI MANTENIMENTO </t>
  </si>
  <si>
    <t xml:space="preserve">QUADRO DI SCARICA PER BATTERIE DI SERVIZI GENERALI ED EMERGENZA </t>
  </si>
  <si>
    <t>LAMPADA RILEVAMENTO A MASSA</t>
  </si>
  <si>
    <t xml:space="preserve">BATTERIA PIOMBO-ACIDO 24V PER SISTEMI DI CONTROLLO E MONITORAGGIO ESSENZIALI </t>
  </si>
  <si>
    <t xml:space="preserve">PANNELLO DI CARICA BATTERIA PER APPARATI RADIO </t>
  </si>
  <si>
    <t xml:space="preserve">RADDRIZZATORE PER ALIMENTAZIONE APPARATI RADIO </t>
  </si>
  <si>
    <t>GRUPPI BATTERIE E RELATIVE INSTALLAZIONI N2</t>
  </si>
  <si>
    <t>31313</t>
  </si>
  <si>
    <t>GRUPPI BATTERIE E RELATIVE INSTALLAZIONI N3</t>
  </si>
  <si>
    <t>31314</t>
  </si>
  <si>
    <t>APPARECCHIATURE PER LA CONVERSIONE</t>
  </si>
  <si>
    <t>COMPONENTI SPECIALI PER LA CONVERSIONE (CONVERTITORI STATICI E TRASFORMATORI)</t>
  </si>
  <si>
    <t>TRASFORMATORI</t>
  </si>
  <si>
    <t>MAIN TRANSFORMER 660-440 N°1</t>
  </si>
  <si>
    <t>124-01</t>
  </si>
  <si>
    <t>MAIN TRANSFORMER 660-440 N°2</t>
  </si>
  <si>
    <t>ET3U-5253 525kVA</t>
  </si>
  <si>
    <t>124-02</t>
  </si>
  <si>
    <t>IE-0044624 0001</t>
  </si>
  <si>
    <t>MAIN TRANSFORMER 440-220 N°1</t>
  </si>
  <si>
    <t>ET3U-9902 99kVA</t>
  </si>
  <si>
    <t>125-01</t>
  </si>
  <si>
    <t>IE-0044626 0001</t>
  </si>
  <si>
    <t>MAIN TRANSFORMER 440-220 N°2</t>
  </si>
  <si>
    <t>125-02</t>
  </si>
  <si>
    <t xml:space="preserve">TRASFORMATORE DI EMERGENZA 440V / 220V, TIPO MARINO, RAFFREDDAMENTO A SECCO, AUTOVENTILATO, IP44, CLASSE B </t>
  </si>
  <si>
    <t>126</t>
  </si>
  <si>
    <t>EMERGENCY SWITCHBOARD</t>
  </si>
  <si>
    <t>127</t>
  </si>
  <si>
    <t>32000</t>
  </si>
  <si>
    <t>SERVIZI DISTRIBUZIONE ENERGIA ELETTRICA (FORZA)</t>
  </si>
  <si>
    <t>SERVIZI DISTRIBUZIONE ENERGIA ELETTRICA</t>
  </si>
  <si>
    <t>32110</t>
  </si>
  <si>
    <t>IMPIANTO DISTRIBUZIONE ENERGIA ELETTRICA</t>
  </si>
  <si>
    <t>32112</t>
  </si>
  <si>
    <t>CIRCUITI DI DISTRIBUZIONE PRINCIPALE NORMALE A 440 V (o 380 V, o 660 V, ECC.) a 50/60 Hz</t>
  </si>
  <si>
    <t>RETE DI DISTRIBUZIONE 690 V, TRIFASE, 60 HZ</t>
  </si>
  <si>
    <t>RETE DI DISTRIBUZIONE 440 V, TRIFASE, 60 HZ</t>
  </si>
  <si>
    <t>CIRCUITI DI DISTRIBUZIONE SECONDARIA NORMALE A 115 V (o 220 V) a 50/60 Hz</t>
  </si>
  <si>
    <t>RETE DI DISTRIBUZIONE 220 V, TRIFASE, 60 HZ</t>
  </si>
  <si>
    <t>CIRCUITI DI DISTRIBUZIONE ENERGIA ELETTIRICA IN C.C. IN BASSA TENSIONE</t>
  </si>
  <si>
    <t>RETE DI DISTRIBUZIONE 24 VCC</t>
  </si>
  <si>
    <t>32400</t>
  </si>
  <si>
    <t>QUADRI E SOTTOQUADRI</t>
  </si>
  <si>
    <t>32410</t>
  </si>
  <si>
    <t>32411</t>
  </si>
  <si>
    <t>QUADRI ELETTRICI</t>
  </si>
  <si>
    <t>QUADRO ELETTRICO PRINCIPALE</t>
  </si>
  <si>
    <t>123F</t>
  </si>
  <si>
    <t>138</t>
  </si>
  <si>
    <t xml:space="preserve">INTERRUTTORE AUTOMATICO COMPATTO (MOULDED CASE) </t>
  </si>
  <si>
    <t xml:space="preserve">INTERRUTTORE AUTOMATICO PER ALIMENTAZIONE DA TERRA CON BOBINA MINIMA TENSIONE </t>
  </si>
  <si>
    <t xml:space="preserve">INTERRUTTORE AUTOMATICO PER MOTORI CON BOBINA DI SGANCIO </t>
  </si>
  <si>
    <t xml:space="preserve">INTERRUTTORE MINIATURIZZATO PER CIRCUITI DI CONTROLLO E MISURA </t>
  </si>
  <si>
    <t xml:space="preserve">INTERRUTTORE AUTOMATICO AD ARIA, TIPO ESTRAIBILE </t>
  </si>
  <si>
    <t>AMPEROMETRO</t>
  </si>
  <si>
    <t xml:space="preserve">VOLTMETRO CON COMMUTATORE DI FASE </t>
  </si>
  <si>
    <t xml:space="preserve">LAMPADA DI STAND-BY </t>
  </si>
  <si>
    <t xml:space="preserve">LAMPADA ACB ON/OFF </t>
  </si>
  <si>
    <t xml:space="preserve">LAMPADA ACB IN SCATTO </t>
  </si>
  <si>
    <t xml:space="preserve">INTERRUTTORE RISCALDATORE ANTICONDENSA </t>
  </si>
  <si>
    <t xml:space="preserve">LAMPADA RISCALDATORE "ON" </t>
  </si>
  <si>
    <t xml:space="preserve">CONTATORE ORARIO </t>
  </si>
  <si>
    <t xml:space="preserve">CONTATORE KW </t>
  </si>
  <si>
    <t xml:space="preserve">CONTATORE COS Φ </t>
  </si>
  <si>
    <t xml:space="preserve">CONTATORE Kva </t>
  </si>
  <si>
    <t xml:space="preserve">FREQUENZIMETRO </t>
  </si>
  <si>
    <t xml:space="preserve">LAMPADA SINCRONOSCOPIO </t>
  </si>
  <si>
    <t xml:space="preserve">INTERRUTTORE DI COMANDO REGOLATORE </t>
  </si>
  <si>
    <t xml:space="preserve">POTENZIOMETRO DI REGOLAZIONE TENSIONE GENERATORE (BLOCCABILE) </t>
  </si>
  <si>
    <t xml:space="preserve">COMMUTATORE MODALITÀ MAN/PMS </t>
  </si>
  <si>
    <t xml:space="preserve">COMMUTATORE MODALITÀ SINCRONIZZAZIONE (MANUALE) </t>
  </si>
  <si>
    <t xml:space="preserve">FREQUENZIMETRO (FREQUENZA SB)  </t>
  </si>
  <si>
    <t>VOLTMETRO (TENSIONE SB) )</t>
  </si>
  <si>
    <t xml:space="preserve">MONITOR GUASTO A TERRA CON ALLARME </t>
  </si>
  <si>
    <t xml:space="preserve">LAMPADA BIANCA INDICANTE FUNZIONAMENTO GENERATORE EMERGENZA </t>
  </si>
  <si>
    <t>INTERRUTTORE AUTOMATICO AD ARIA, TIPO ESTRAIBILE</t>
  </si>
  <si>
    <t>GRUPPO PANNELLI GENERATORE</t>
  </si>
  <si>
    <t>0V</t>
  </si>
  <si>
    <t xml:space="preserve">AMPEROMETRO </t>
  </si>
  <si>
    <t>0W</t>
  </si>
  <si>
    <t>LAMPADA STAND-BY</t>
  </si>
  <si>
    <t>0X</t>
  </si>
  <si>
    <t>LAMPADA ACB IN SCATTO</t>
  </si>
  <si>
    <t>0Y</t>
  </si>
  <si>
    <t>INTERRUTTORE RISCALDATORE ANTICONDENSA</t>
  </si>
  <si>
    <t>0Z</t>
  </si>
  <si>
    <t>LAMPADA RISCALDATORE "ON"</t>
  </si>
  <si>
    <t>10</t>
  </si>
  <si>
    <t>CONTATORE ORARIO</t>
  </si>
  <si>
    <t>11</t>
  </si>
  <si>
    <t>INTERRUTTORE AUTOMATICO</t>
  </si>
  <si>
    <t>12</t>
  </si>
  <si>
    <t>AMPEROMETRO CON COMMUTATORE DI FASE</t>
  </si>
  <si>
    <t>13</t>
  </si>
  <si>
    <t>VOLTMETRO CON COMMUTATORE DI FASE</t>
  </si>
  <si>
    <t>14</t>
  </si>
  <si>
    <t xml:space="preserve">PULSANTE ILLUMINATO PER INSERIMENTO/ESCLUSIONE INTERRUTTORE </t>
  </si>
  <si>
    <t>15</t>
  </si>
  <si>
    <t>LAMPADA BIANCA PER DISPONIBILITÀ RETE A TERRA</t>
  </si>
  <si>
    <t>16</t>
  </si>
  <si>
    <t xml:space="preserve">LAMPADA ROSSA PER INTERRUTTORE RETE A TERRA INSERITO </t>
  </si>
  <si>
    <t>17</t>
  </si>
  <si>
    <t xml:space="preserve">COMMUTATORE SEQUENZA FASI </t>
  </si>
  <si>
    <t>18</t>
  </si>
  <si>
    <t>STRUMENTO SEQUENZA FASI</t>
  </si>
  <si>
    <t>19</t>
  </si>
  <si>
    <t>INTERRUTTORE AUTOMATICO CON FUSIBILE PER ALIMENTAZIONE DA TERRA</t>
  </si>
  <si>
    <t>1A</t>
  </si>
  <si>
    <t>LAMPADA BIANCA INDICANTE DISPONIBILITÀ ALIMENTAZIONE DA TERRA</t>
  </si>
  <si>
    <t>1B</t>
  </si>
  <si>
    <t>INTERRUTTORI DI LINEA</t>
  </si>
  <si>
    <t>1C</t>
  </si>
  <si>
    <t>AMPEROMETRO (PER TRASFORMATORE) CON COMMUTATORE A TRE POSIZIONI (R-S / R-T / T-S)</t>
  </si>
  <si>
    <t>1D</t>
  </si>
  <si>
    <t>VOLTMETRO CON COMMUTATORE A TRE POSIZIONI (R-S-T)</t>
  </si>
  <si>
    <t>1E</t>
  </si>
  <si>
    <t>MONITOR GUASTO A TERRA CON DISPOSITIVO DI ALLARME (LAMPADA CON INTERRUTTORE DI TEST)</t>
  </si>
  <si>
    <t>1F</t>
  </si>
  <si>
    <t>STRUMENTO DI MISURA GUASTO A TERRA</t>
  </si>
  <si>
    <t>QUADRO DI COLLEGAMENTO A TERRA</t>
  </si>
  <si>
    <t xml:space="preserve">INTERRUTTORE AUTOMATICO STAMPATO A TRE POLI </t>
  </si>
  <si>
    <t xml:space="preserve">CONTATORE KWH CON AZZERAMENTO </t>
  </si>
  <si>
    <t xml:space="preserve">INDICATORE DI FASE </t>
  </si>
  <si>
    <t xml:space="preserve">VOLTMETRO CON COMMUTATORE </t>
  </si>
  <si>
    <t xml:space="preserve">PULSANTE CON LAMPADA DI SEGNALAZIONE </t>
  </si>
  <si>
    <t xml:space="preserve">COMMUTATORE CAMBIO FASE </t>
  </si>
  <si>
    <t xml:space="preserve">SISTEMA DI INTERBLOCCO PER ESCLUDERE IL COLLEGAMENTO ALLA RETE QUANDO I GENERATORI SONO ATTIVI </t>
  </si>
  <si>
    <t>QUADRO ELETTRICO DI EMERGENZA, TIPO "DEAD FRONT"</t>
  </si>
  <si>
    <t xml:space="preserve">QUADRO PANNELLO GENERATORE </t>
  </si>
  <si>
    <t>INTERRUTTORE AUTOMATICO TRIPOLARE</t>
  </si>
  <si>
    <t xml:space="preserve">WATTMETRO </t>
  </si>
  <si>
    <t xml:space="preserve">LAMPADA INDICAZIONE ACB "OFF" </t>
  </si>
  <si>
    <t xml:space="preserve">LAMPADA INDICAZIONE ACB "ON" </t>
  </si>
  <si>
    <t xml:space="preserve">LAMPADA INDICAZIONE RISCALDATORE </t>
  </si>
  <si>
    <t xml:space="preserve">MONITOR GUASTO A TERRA CON DISPOSITIVO DI ALLARME </t>
  </si>
  <si>
    <t>REGOLATORE DI TENSIONE</t>
  </si>
  <si>
    <t>PANNELLO DISTRIBUZIONE EMERGENZA 440 V</t>
  </si>
  <si>
    <t>SEZIONE DISTRIBUZIONE EMERGENZA 220 V</t>
  </si>
  <si>
    <t>AMPEROMETRO CON SELETTORE DI FASE</t>
  </si>
  <si>
    <t xml:space="preserve">VOLTMETRO CON SELETTORE DI FASE </t>
  </si>
  <si>
    <t>INTERRUTTORI AUTOMATICI NECESSARI PER I QUADRI DI DISTRIBUZIONE</t>
  </si>
  <si>
    <t>GRUPPO QUADRI SALA MACCHINE</t>
  </si>
  <si>
    <t>QUADRO ELETTRICO PRINCIPALE 690V</t>
  </si>
  <si>
    <t>QUADRO ELETTRICO PRINCIPALE 440V</t>
  </si>
  <si>
    <t>QUADRO ELETTRICO PRINCIPALE 220V</t>
  </si>
  <si>
    <t>QUADRI DI DISTRIBUZIONE SECONDARIA IN CC IN BASSA TENSIONE</t>
  </si>
  <si>
    <t>QUADRO ELETTRICO 24 V DC</t>
  </si>
  <si>
    <t>QUADRO BATTERIE</t>
  </si>
  <si>
    <t>AVVIATORI</t>
  </si>
  <si>
    <t>33000</t>
  </si>
  <si>
    <t>SISTEMI DI ILLUMINAZIONE ( O IMPIANTO LUCE)</t>
  </si>
  <si>
    <t>33100</t>
  </si>
  <si>
    <t>IMPIANTI DI DISTRIBUZIONE LUCE</t>
  </si>
  <si>
    <t>33110</t>
  </si>
  <si>
    <t>33111</t>
  </si>
  <si>
    <t>CIRCUITI DI DISTRIBUZIONE LUCE</t>
  </si>
  <si>
    <t>IMPIANTO LUCI LOCALE APPARATO MOTORE</t>
  </si>
  <si>
    <t>GRUPPO IMPIANTI DI ILLUMINAZIONE ELETTRICA PER ALLOGGI</t>
  </si>
  <si>
    <t>33200</t>
  </si>
  <si>
    <t>LAMPADE, FANALI E DISPOSITIVI LUMINOSI IMPIANTO LUCE</t>
  </si>
  <si>
    <t>33210</t>
  </si>
  <si>
    <t>33211</t>
  </si>
  <si>
    <t>LAMPADA DA SCRIVANIA A FILAMENTO DA 60 W</t>
  </si>
  <si>
    <t>LAMPADA A FLUORESCENZA DA 8 W CON DIFFUSORE</t>
  </si>
  <si>
    <t>LAMPADA SPECCHIO A FLUORESCENZA DA 8 W CON PRESA PER RASOIO SARÀ INSTALLATA NEI BAGNI</t>
  </si>
  <si>
    <t>LAMPADA PROIETTORE DA 300 W, 220 V A.C., DI TIPO INCANDESCENTE PER IL PONTE DI NAVIGAZIONE</t>
  </si>
  <si>
    <t xml:space="preserve">LAMPADA DI TIPO INCANDESCENTE DA 60 W, 24 V D.C. SARÀ INSTALLATA VICINO AD OGNI ZODIAC DI SALVATAGGIO </t>
  </si>
  <si>
    <t>LAMPADA DA TAVOLO INCANDESCENTE PER TAVOLO CARTOGRAFICO CON DIMMER SARÀ INSTALLATA PER IL TAVOLO CARTOGRAFICO</t>
  </si>
  <si>
    <t>LAMPADARIO A SOFFITTO</t>
  </si>
  <si>
    <t>LAMPADA PER CORRIDOIO</t>
  </si>
  <si>
    <t>FARO ALOGENO 150W PONTE SCIALUPPE</t>
  </si>
  <si>
    <t>FARO SIGILLATO 60W 24V PONTE SCIALUPPE</t>
  </si>
  <si>
    <t>FARO ALOGENO 150W STAZIONE ZATTERE DI PRUA</t>
  </si>
  <si>
    <t>GRUPPO IMPIANTI DI ILLUMINAZIONE ELETTRICA PER I PONTI ESTERNI</t>
  </si>
  <si>
    <t>GRUPPO ILLUMINAZIONE DI EMERGENZA</t>
  </si>
  <si>
    <t>39000</t>
  </si>
  <si>
    <t>39900</t>
  </si>
  <si>
    <t>RISPETTI ED ATTREZZI DI BORDO PER L'IMPIANTO ELETTRICO</t>
  </si>
  <si>
    <t>39910</t>
  </si>
  <si>
    <t>39911</t>
  </si>
  <si>
    <t>STRUMENTI ELETTRICI</t>
  </si>
  <si>
    <t>MULTIMETRO DIGITALE PORTATILE</t>
  </si>
  <si>
    <t>MEGGER 500/1000 V DC</t>
  </si>
  <si>
    <t>TRONCHESE ISOLATO 15 CM</t>
  </si>
  <si>
    <t>PINZA ISOLATA 20 CM</t>
  </si>
  <si>
    <t>PINZA AMPEROMETRICA 0–300 A</t>
  </si>
  <si>
    <t>VOLTMETRO DC PORTATILE</t>
  </si>
  <si>
    <t xml:space="preserve">ISPETTORE LIVELLO CELLE BATTERIA </t>
  </si>
  <si>
    <t xml:space="preserve">IDROMETRO </t>
  </si>
  <si>
    <t>TERMOMETRO -20°C / +100°C</t>
  </si>
  <si>
    <t>IMBUTO PER BATTERIA</t>
  </si>
  <si>
    <t>ELETTROLITA PER BATTERIA</t>
  </si>
  <si>
    <t xml:space="preserve">UTENSILE PER FISSAGGIO TERMINALI BATTERIA </t>
  </si>
  <si>
    <t>39920</t>
  </si>
  <si>
    <t>ATTREZZATURE SPECIALI PER IMPIANTO ELETTRICO</t>
  </si>
  <si>
    <t>39921</t>
  </si>
  <si>
    <t>SPECIAL TOOL PER MOTORE WARTSILA</t>
  </si>
  <si>
    <t>SPECIAL TOOL PER TURBOCOMPRESSORE BKK</t>
  </si>
  <si>
    <t>41000</t>
  </si>
  <si>
    <t>SISTEMI PER IL COMANDO E CONTROLLO</t>
  </si>
  <si>
    <t>41100</t>
  </si>
  <si>
    <t>APPARECCHIATURE RAPPRESENTAZIONE DATI TATTICI</t>
  </si>
  <si>
    <t>41110</t>
  </si>
  <si>
    <t>RAPPRESENTAZIONE DATI TATTICI</t>
  </si>
  <si>
    <t>41111</t>
  </si>
  <si>
    <t>SISTEMI DI RAPPRESENTAZIONE DATI TATTICI</t>
  </si>
  <si>
    <t>GRUPPO MONITOR</t>
  </si>
  <si>
    <t>MONITOR 21''  A COLORI E TASTIERA LOCALE CONTROLLO MOTORE</t>
  </si>
  <si>
    <t>MONITOR 21''  A COLORI E TASTIERA LOCALE PLANCIA</t>
  </si>
  <si>
    <t>MONITOR 21''  A COLORI E TASTIERA LOCALE CAPO INGEGNERE</t>
  </si>
  <si>
    <t>SISTEMA UPS</t>
  </si>
  <si>
    <t>CONSOLLE DI CONTROLLO PLANCIA DI COMANDO</t>
  </si>
  <si>
    <t>PANNELLO DI CONTROLLO PROPULSIONE CON INDICATORI</t>
  </si>
  <si>
    <t>PANNELLO DI CONTROLLO PASSO ELICA CON INDICATORI</t>
  </si>
  <si>
    <t>PULSANTE ARRESTO NORMALE PROPULSIONE</t>
  </si>
  <si>
    <t>PULSANTE ARRESTO D’EMERGENZA PROPULSIONE</t>
  </si>
  <si>
    <t>COMMUTATORE MODALITÀ PROPULSIONE / CONTROLLO D’EMERGENZA PROPULSIONE</t>
  </si>
  <si>
    <t>SPIA INDICAZIONE VELOCITÀ COSTANTE PROPULSIONE</t>
  </si>
  <si>
    <t>SPIA ALLARME “UOMO MORTO</t>
  </si>
  <si>
    <t>LEVA TIMONE</t>
  </si>
  <si>
    <t>RUOTA TIMONE COMBINATA</t>
  </si>
  <si>
    <t>REGOLATORE INTENSITÀ LUCI STRUMENTAZIONE</t>
  </si>
  <si>
    <t>PULSANTE ALLARME GENERALE</t>
  </si>
  <si>
    <t>PULSANTE ALLARME INCENDIO</t>
  </si>
  <si>
    <t>CHIAVE LUCI DI SEGNALAZIONE SULL’ALBERO</t>
  </si>
  <si>
    <t>COMANDO TERGICRISTALLI E SPRUZZATORE, COMMUTATORE RISCALDAMENTO</t>
  </si>
  <si>
    <t>UNITÀ DI CONTROLLO VHF</t>
  </si>
  <si>
    <t>PANNELLO TRASMETTITORE TELEGRAFO</t>
  </si>
  <si>
    <t>SISTEMA DI ALLARME MACCHINARI SECONDO CLASSE</t>
  </si>
  <si>
    <t>0I</t>
  </si>
  <si>
    <t>TELEFONO A TRASMISSIONE ACUSTICA</t>
  </si>
  <si>
    <t>TELEFONO AUTOMATICO</t>
  </si>
  <si>
    <t>IMPIANTO DI PUBBLICO ANNUNCIO CON MICROFONO</t>
  </si>
  <si>
    <t>IMPIANTO CCTV</t>
  </si>
  <si>
    <t>ALETTA DI PLANCIA SN</t>
  </si>
  <si>
    <t>PANNELLO CONTROLLO PROPULSIONE CON INDICATORI</t>
  </si>
  <si>
    <t>PRESA LAMPADA SEGNALAZIONE MORSE</t>
  </si>
  <si>
    <t>PANNELLO SECONDARIO VHF</t>
  </si>
  <si>
    <t>ALETTA DI PLANCIA DN</t>
  </si>
  <si>
    <t>CONSOLLE SALA MACCHINE</t>
  </si>
  <si>
    <t>137</t>
  </si>
  <si>
    <t>PANNELLO DI CONTROLLO PROPULSIONE \ POSTAZIONE DI MANOVRA</t>
  </si>
  <si>
    <t>INDICATORE DI GIRI MOTORI ELETTRICI PROPULSIONE</t>
  </si>
  <si>
    <t>SISTEMA SICUREZZA PROPULSIONE</t>
  </si>
  <si>
    <t>MONITORAGGIO E CONTROLLO INNESTI RIDUTTORE</t>
  </si>
  <si>
    <t>MONITORAGGIO E CONTROLLO SISTEMA DI PROPULSIONE ALTERNATIVO</t>
  </si>
  <si>
    <t>SISTEMA DI ALLARME E MONITORAGGIO IMPIANTO ALIMENTAZIONE GAS COMBUSTIBILE</t>
  </si>
  <si>
    <t>DISPLAY SLAVE ECDIS</t>
  </si>
  <si>
    <t>INDICATORE ORE FUNZIONAMENTO MOTORI ELETTRICI PROPULSIONE</t>
  </si>
  <si>
    <t>INDICATORE POTENZA SULL’ASSE</t>
  </si>
  <si>
    <t>SISTEMA MONITORAGGIO CONSUMI CARBURANTE</t>
  </si>
  <si>
    <t>SISTEMA MONITORAGGIO TEMPERATURA CUSCINETTI E AVVOLGIMENTI MOTORI ELETTRICI PROPULSIONE</t>
  </si>
  <si>
    <t>PANNELLO RICEVITORE DI TELEGRAFO</t>
  </si>
  <si>
    <t>INDICATORE ANGOLO TIMONE</t>
  </si>
  <si>
    <t>INDICATORE GIRI ALBERO ELICA</t>
  </si>
  <si>
    <t>SISTEMA AVVIAMENTO/ARRESTO REMOTO E AUTOMATICHE GENERATORE EMERGENZA</t>
  </si>
  <si>
    <t>RIPETITORE CORRENTOMETRO</t>
  </si>
  <si>
    <t>RIPETITORE DGPS</t>
  </si>
  <si>
    <t>SISTEMA PRESSIONE ACQUA DI RAFFREDDAMENTO HT MOTORI GENERATORI</t>
  </si>
  <si>
    <t>SISTEMA PRESSIONE OLIO LUBRIFICANTE MOTORI GENERATORI</t>
  </si>
  <si>
    <t>SISTEMA PRESSIONE OLIO LUBRIFICANTE RIDUTTORE</t>
  </si>
  <si>
    <t>SISTEMA PRESSIONE SERBATOI ARIA DI AVVIAMENTO</t>
  </si>
  <si>
    <t>SISTEMA PRESSIONE ACQUA DI RAFFREDDAMENTO LT MOTORI GENERATORI</t>
  </si>
  <si>
    <t>SISTEMA  PRESSIONE ARIA STRUMENTALE</t>
  </si>
  <si>
    <t>SISTEMA TEMPERATURA E PRESSIONE ACQUA CALDA PRESSURIZZATA</t>
  </si>
  <si>
    <t>SISTEMA  PRESSIONE ARIA DI SOVRALIMENTAZIONE MOTORI GENERATORI</t>
  </si>
  <si>
    <t>SISTEMA PRESSIONE ALIMENTAZIONE OLIO COMBUSTIBILE MOTORI GENERATORI</t>
  </si>
  <si>
    <t xml:space="preserve">ALLARME GUASTO ALIMENTAZIONE SU CONSOLE DI CONTROLLO MOTORE </t>
  </si>
  <si>
    <t>CONSOLLE COP</t>
  </si>
  <si>
    <t>CONSOLLE DI NAVIGAZIONE</t>
  </si>
  <si>
    <t>PC</t>
  </si>
  <si>
    <t>DISPLAY 20"</t>
  </si>
  <si>
    <t>TASTIERA</t>
  </si>
  <si>
    <t>MOUSE</t>
  </si>
  <si>
    <t>STAMPANTE A3</t>
  </si>
  <si>
    <t>UNITÀ GPS SECONDARIA</t>
  </si>
  <si>
    <t>TAVOLO CARTEGGIO</t>
  </si>
  <si>
    <t>41410</t>
  </si>
  <si>
    <t>APPARECCHIATURE DI INTEFARCCIA E SMISTAMENTO DEI DATI DI SISTEMA</t>
  </si>
  <si>
    <t>41411</t>
  </si>
  <si>
    <t>SISTEMA DI TRASFERIMENTO DATI (DTS)</t>
  </si>
  <si>
    <t>QUADRO AVVIATORI</t>
  </si>
  <si>
    <t>QUADRO SISTEMA DI ALLARME E MONITORAGGIO MACCHINARI</t>
  </si>
  <si>
    <t>QUADRO AUTOMAZIONE IMPIANTO ALIMENTAZIONE GAS COMBUSTIBILE</t>
  </si>
  <si>
    <t>QUADRO AUTOMAZIONE UTENTI DUAL FUEL</t>
  </si>
  <si>
    <t>QUADRO SISTEMA TELELETTURA LIVELLI SERBATOI</t>
  </si>
  <si>
    <t>SISTEMI COMUNICAZIONE DATI DIGITALI</t>
  </si>
  <si>
    <t>IMPIANTI DI COMUNICAZIONE DATI DIGITALI</t>
  </si>
  <si>
    <t>CMS- COMUNICAZIONE DATI DIGITALI</t>
  </si>
  <si>
    <t>GRUPPO SISTEMI INFORMATICI COMUNI</t>
  </si>
  <si>
    <t>GRUPPO CONNESSIONI A DOPPIA RETE DA PREDISPORRE E POSTAZIONE PC</t>
  </si>
  <si>
    <t xml:space="preserve">PRESE DI RETE ETHERNET CLASSE 6 + B100 </t>
  </si>
  <si>
    <t>SERVER DI RETE</t>
  </si>
  <si>
    <t xml:space="preserve">MODEM PER IL COLLEGAMENTO DELLA RETE DATI AL SISTEMA DI COMUNICAZIONE SATELLITARE VSAT PER LA TRASMISSIONE DATI </t>
  </si>
  <si>
    <t>GRUPPO COMPONENTI ELETTRICI</t>
  </si>
  <si>
    <t>42000</t>
  </si>
  <si>
    <t>SISTEMI DI NAVIGAZIONE</t>
  </si>
  <si>
    <t>42100</t>
  </si>
  <si>
    <t>SISTEMI NON ELETTRICI/ELETRONICI DI AIUTO ALLA NAVIGAZIONE (es: Bussole)</t>
  </si>
  <si>
    <t>42110</t>
  </si>
  <si>
    <t>42111</t>
  </si>
  <si>
    <t>SISTEMA DI NAVIGAZIONE - BUSSOLA MAGNETICA</t>
  </si>
  <si>
    <t>BUSSOLA MAGNETICA</t>
  </si>
  <si>
    <t>42200</t>
  </si>
  <si>
    <t>SISTEMI ELETTRICI DI AIUTO ALLA NAVIGAZIONE (INCLUSE LUCI DI NAVIGAZIONE)</t>
  </si>
  <si>
    <t>42210</t>
  </si>
  <si>
    <t>IMPIANTI DI AIUTO ELETTRICI ALLA NAVIGAZIONE (INCLUSE LUCI DI NAVIGAZIONE)</t>
  </si>
  <si>
    <t>42211</t>
  </si>
  <si>
    <t>APPARATI DI AIUTO ELETTRICI ALLA NAVIGAZIONE (INCLUSE LUCI DI NAVIGAZIONE)</t>
  </si>
  <si>
    <t>PANNELLO DI CONTROLLO LUCI DI NAVIGAZIONE</t>
  </si>
  <si>
    <t>PANNELLO DI CONTROLLO LUCI DI SEGNALAZIONE</t>
  </si>
  <si>
    <t>PANNELLO DI CONTROLLO LUCI DI NAVIGAZIONE STAND-BY</t>
  </si>
  <si>
    <t>INTERRUTTORE BIPOLARE</t>
  </si>
  <si>
    <t xml:space="preserve">GRUPPO LUCI DI NAVIGAZIONE </t>
  </si>
  <si>
    <t>LUCE BIANCA 60W</t>
  </si>
  <si>
    <t>LUCE ROSSA 60W</t>
  </si>
  <si>
    <t>LUCE VERDE 60W</t>
  </si>
  <si>
    <t>LUCE BIANCA 40W</t>
  </si>
  <si>
    <t>GRUPPO LUCI DI SEGNALAZIONE</t>
  </si>
  <si>
    <t>LUCI DOPPIE NUC R0SSE 40W</t>
  </si>
  <si>
    <t>LUCI DOPPIE RAM 40W</t>
  </si>
  <si>
    <t>GRUPPO LUCI SI SEGNALAZIONE MORSE</t>
  </si>
  <si>
    <t>LUCE 80W</t>
  </si>
  <si>
    <t>LAMPADA DI SEGNALAZIONE DIURNA</t>
  </si>
  <si>
    <t>GRUPPO LUCI PANAMA</t>
  </si>
  <si>
    <t>LUCE DI GOVERNO BLU 20W</t>
  </si>
  <si>
    <t>LUCE DI PREFERENZA BLU 40W</t>
  </si>
  <si>
    <t>LUCE DI TRAFFICO VERDE 40W</t>
  </si>
  <si>
    <t>LUCE DI PERICOLO ROSSA 40W</t>
  </si>
  <si>
    <t>LUCI DI SEPARAZIONE TRAFFICO SINGAPORE VERDE</t>
  </si>
  <si>
    <t>GRUPPO LUCI CANALE SUEZ</t>
  </si>
  <si>
    <t>LUCE ROSSA 40W</t>
  </si>
  <si>
    <t>LUCE VERDE 40W</t>
  </si>
  <si>
    <t>PROIETTORE DI RICERCA CANALE DI SUEZ</t>
  </si>
  <si>
    <t>GRU MANUALE</t>
  </si>
  <si>
    <t>PROIETTORE XENO</t>
  </si>
  <si>
    <t>42310</t>
  </si>
  <si>
    <t>IMPIANTI DI NAVIGAZIONE ELETTRONICI</t>
  </si>
  <si>
    <t>42315</t>
  </si>
  <si>
    <t>GPS</t>
  </si>
  <si>
    <t>RIPETITORE</t>
  </si>
  <si>
    <t>INTERFACCIA NMEA</t>
  </si>
  <si>
    <t>INTERFACCIA POSIZIONAMENTO DINAMICO</t>
  </si>
  <si>
    <t>42316</t>
  </si>
  <si>
    <t>SISTEMA DI IDENTIFICAZIONE AUTOMATICA (AIS)</t>
  </si>
  <si>
    <t>42400</t>
  </si>
  <si>
    <t>SISTEMI DI NAVIGAZIONE ELETTRONICI ACUSTICI</t>
  </si>
  <si>
    <t>42410</t>
  </si>
  <si>
    <t>ECOSCANDAGLI</t>
  </si>
  <si>
    <t>42411</t>
  </si>
  <si>
    <t>ECOSCANDAGLIO</t>
  </si>
  <si>
    <t>INDICATORE PRINCIPALE</t>
  </si>
  <si>
    <t>RIPETITORE DIGITALE DI PROFONDITA</t>
  </si>
  <si>
    <t>TRASDUTTORE</t>
  </si>
  <si>
    <t>42600</t>
  </si>
  <si>
    <t>SISTEMI ELETTRICI PER LA NAVIGAZIONE</t>
  </si>
  <si>
    <t>42610</t>
  </si>
  <si>
    <t>GIROBUSSOLE ED SSA</t>
  </si>
  <si>
    <t>42611</t>
  </si>
  <si>
    <t>SISTEMA GIROBUSSOLE</t>
  </si>
  <si>
    <t>GIROBUSSOLA</t>
  </si>
  <si>
    <t>42613</t>
  </si>
  <si>
    <t>RIPETITORI DI GIROBUSSOLE</t>
  </si>
  <si>
    <t>RIPETITORE GIROBUSSOLE ANALOGICO</t>
  </si>
  <si>
    <t>RIPETITORE GIROBUSSOLE DIGITALE</t>
  </si>
  <si>
    <t>RIPETITORE GIROSCOPICO AZIMUTALE A DUE ANELLI</t>
  </si>
  <si>
    <t>RIPETITORE GIROSCOPICO AZIMUTALE AD UN ANELLO</t>
  </si>
  <si>
    <t>42620</t>
  </si>
  <si>
    <t>SISTEMI ELETTRICI DI NAVGAZIONE (ESCLUSO GIROBUSSOLE ED ECOSCANDAGLI) - SISTEMI DI RILEVAZIONE ROLLIO E BECCHEGGIO, SOLCOMETRI, ECC. ­</t>
  </si>
  <si>
    <t>42622</t>
  </si>
  <si>
    <t>SOLCOMETRO</t>
  </si>
  <si>
    <t>INDICATORE DIGITAE</t>
  </si>
  <si>
    <t>PANNELLO SECONDARIO</t>
  </si>
  <si>
    <t>42623</t>
  </si>
  <si>
    <t>NAVRAD - ECDIS (ELECTRONIC CHARTS DISPLAY AND INFORMATION SYSTEM)</t>
  </si>
  <si>
    <t>DISPLAY 26" MIN</t>
  </si>
  <si>
    <t>DISPLAY SECONDARI</t>
  </si>
  <si>
    <t>42624</t>
  </si>
  <si>
    <t>SISTEMI DI RILEVAZIONE ED INDICAZIONE DEL ROLLIO E DEL BECCHEGGIO</t>
  </si>
  <si>
    <t>SENSORE DI ASSETTO</t>
  </si>
  <si>
    <t>INDICATORE DI ASSETTO</t>
  </si>
  <si>
    <t>42625</t>
  </si>
  <si>
    <t>OROLOGI E CRONOMETRI</t>
  </si>
  <si>
    <t>OROLOGIO A PARETE DIGITALE</t>
  </si>
  <si>
    <t>CRONOMETRO</t>
  </si>
  <si>
    <t>42800</t>
  </si>
  <si>
    <t>CONTROLLO E SORVEGLIANZA DELLA NAVIGAZIONE</t>
  </si>
  <si>
    <t>42810</t>
  </si>
  <si>
    <t>SISTEMI DI CONTROLLO, SORVEGLIANZA E SUPPORTO ALLA NAVIGAZIONE</t>
  </si>
  <si>
    <t>42811</t>
  </si>
  <si>
    <t>SISTEMA ELABORAZIONE E DISTRIBUZIONE DATI NAVE</t>
  </si>
  <si>
    <t>SISTEMA DI SICUREZZA PLANCIA</t>
  </si>
  <si>
    <t>UNITÀ DI CONTROLLO</t>
  </si>
  <si>
    <t>UNITÀ DI ALLARME REMOTO</t>
  </si>
  <si>
    <t>PULSANTE CHIAMATA DI EMERGENZA</t>
  </si>
  <si>
    <t>UNITÀ DI ACCETTAZIONE REMOTA</t>
  </si>
  <si>
    <t>UNITÀ DI REST REMOTO DI ALLARMI</t>
  </si>
  <si>
    <t>43000</t>
  </si>
  <si>
    <t>COMUNICAZIONI INTERNE</t>
  </si>
  <si>
    <t>43200</t>
  </si>
  <si>
    <t>SISTEMI TELEFONICI</t>
  </si>
  <si>
    <t>43210</t>
  </si>
  <si>
    <t>IMPIANTI TELEFONICI</t>
  </si>
  <si>
    <t>43211</t>
  </si>
  <si>
    <t>IMPIANTO TELEFONICO</t>
  </si>
  <si>
    <t>43212</t>
  </si>
  <si>
    <t>SIST. TELEFONICO AUDIO POTENZIATO</t>
  </si>
  <si>
    <t>43213</t>
  </si>
  <si>
    <t>IMPIANTO MAGNETOFONICO (NON AMPLIFICATO)</t>
  </si>
  <si>
    <t>43400</t>
  </si>
  <si>
    <t>SISTEMI DI INTRATTENIMENTO ED ADDESTRAMENTO</t>
  </si>
  <si>
    <t>43410</t>
  </si>
  <si>
    <t>IMPIANTI DI INTRATTENIMENTO ED ADDESTRAMENTO</t>
  </si>
  <si>
    <t>43411</t>
  </si>
  <si>
    <t>IMPIANTO RETE MUSICA E CERIMONIA</t>
  </si>
  <si>
    <t>IMPIANTO CENTRALIZZATO RADIO</t>
  </si>
  <si>
    <t>IMPIANTO CENTRALIZZATO TV</t>
  </si>
  <si>
    <t>43600</t>
  </si>
  <si>
    <t>SISTEMI DI ALLARME, AVVISATORI E SICUREZZA</t>
  </si>
  <si>
    <t>43610</t>
  </si>
  <si>
    <t>IMPIANTI DI ALLARME, AVVISATORI E SICUREZZA</t>
  </si>
  <si>
    <t>43611</t>
  </si>
  <si>
    <t>SISTEMA DI ALLARME GENERALE</t>
  </si>
  <si>
    <t>43612</t>
  </si>
  <si>
    <t>SISTEMA DI RICEZIONE SONORA</t>
  </si>
  <si>
    <t>43613</t>
  </si>
  <si>
    <t>SISTEMA DI ALLARME SALA MACCHINE</t>
  </si>
  <si>
    <t>UNITÀ CON COMMUTATORE A TRE POSIZIONI</t>
  </si>
  <si>
    <t>ALLARME ACUSTICO E VISIVO INTEGRATO NEL SISTEMA DI ALLARME MACCHINARI</t>
  </si>
  <si>
    <t xml:space="preserve">SISTEMA DI ALLARME PRESSIONE </t>
  </si>
  <si>
    <t>SISTEMA DI ALLARME TEMPERATURA</t>
  </si>
  <si>
    <t>ALLARME DI CHIAMATA PERSONALE SALA MACCHINE</t>
  </si>
  <si>
    <t>ALLARME DEAD-MAN PER SALA MACCHINE</t>
  </si>
  <si>
    <t>43614</t>
  </si>
  <si>
    <t>RILEVATORI DI MOVIMENTO A INFRAROSSI</t>
  </si>
  <si>
    <t>43615</t>
  </si>
  <si>
    <t>SISTEMA DI RILEVAMENTO GAS</t>
  </si>
  <si>
    <t>EXTERNAL ACOUSTIC SIGNAL</t>
  </si>
  <si>
    <t>Consilium</t>
  </si>
  <si>
    <t>EXTERNAL ROTATING VISUAL SIGNAL</t>
  </si>
  <si>
    <t>INTERNAL ACOUSTIC SIGNAL</t>
  </si>
  <si>
    <t>INTERNAL ROTATING VISUAL SIGNAL</t>
  </si>
  <si>
    <t>CONTROL UNIT</t>
  </si>
  <si>
    <t>SENSOR GROUP</t>
  </si>
  <si>
    <t>FIXED GAS DETECTOR</t>
  </si>
  <si>
    <t>AT01</t>
  </si>
  <si>
    <t>AT02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</si>
  <si>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</si>
  <si>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</si>
  <si>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</si>
  <si>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</si>
  <si>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</si>
  <si>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</si>
  <si>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</si>
  <si>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</si>
  <si>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</si>
  <si>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</si>
  <si>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</si>
  <si>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</si>
  <si>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</si>
  <si>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</si>
  <si>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</si>
  <si>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</si>
  <si>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</si>
  <si>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</si>
  <si>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AT21</t>
  </si>
  <si>
    <t>AT22</t>
  </si>
  <si>
    <t>AT23</t>
  </si>
  <si>
    <t>AT24</t>
  </si>
  <si>
    <t>AT25</t>
  </si>
  <si>
    <t>AT26</t>
  </si>
  <si>
    <t>AT27</t>
  </si>
  <si>
    <t>AT28</t>
  </si>
  <si>
    <t>AT29</t>
  </si>
  <si>
    <t>AT30</t>
  </si>
  <si>
    <t>AT34</t>
  </si>
  <si>
    <t>AT35</t>
  </si>
  <si>
    <t>AT41</t>
  </si>
  <si>
    <t>AT503</t>
  </si>
  <si>
    <t>FIXED GAS DETECTOR (AIR DUCT)</t>
  </si>
  <si>
    <t>AT_DW1</t>
  </si>
  <si>
    <t>AT_DW2</t>
  </si>
  <si>
    <t>AT_DW3</t>
  </si>
  <si>
    <t>AT_DW4</t>
  </si>
  <si>
    <t>43616</t>
  </si>
  <si>
    <t>SISTEMA DI ALLARME INCENDIO</t>
  </si>
  <si>
    <t>RILEVATORE DI FUMO</t>
  </si>
  <si>
    <t xml:space="preserve">RILEVATORE DI TEMPERATURA </t>
  </si>
  <si>
    <t>RILEVATORE DI TEMPERATURA PER LOCALI FUMATORI</t>
  </si>
  <si>
    <t>43617</t>
  </si>
  <si>
    <t>SISTEMA ALLARME CELLE VIVERI</t>
  </si>
  <si>
    <t>43618</t>
  </si>
  <si>
    <t>SISTEMA DI ALLARME ABBANDONO NAVE</t>
  </si>
  <si>
    <t>43619</t>
  </si>
  <si>
    <t xml:space="preserve">SISTEMA DI ALLARME CO2 </t>
  </si>
  <si>
    <t>43700</t>
  </si>
  <si>
    <t>SISTEMI TRASMISSIONE ORDINI</t>
  </si>
  <si>
    <t>43710</t>
  </si>
  <si>
    <t>IMPIANTO TRASMISSIONE ORDINI</t>
  </si>
  <si>
    <t>43711</t>
  </si>
  <si>
    <t>TELEGRAFI DI MACCHINA</t>
  </si>
  <si>
    <t>SISTEMA TELEGRAFO</t>
  </si>
  <si>
    <t>PANNELLO TRASMETTITORE CON RICEVITORE E CICALINO IN PLANCIA</t>
  </si>
  <si>
    <t>RICEVITORE CON GONG VICINO AL DISTRIBUTORE OLIO ELICA CPP</t>
  </si>
  <si>
    <t>RICEVITORE CON CICALINO NEL QUADRO COMANDO SALA MACCHINE</t>
  </si>
  <si>
    <t>43730</t>
  </si>
  <si>
    <t>IMPIANTO INDICATORE VENTO</t>
  </si>
  <si>
    <t>43731</t>
  </si>
  <si>
    <t>RETE VENTO</t>
  </si>
  <si>
    <t>ANEMOMETRO</t>
  </si>
  <si>
    <t>43800</t>
  </si>
  <si>
    <t>SISTEMI DI CONTROLLO INTEGRATI</t>
  </si>
  <si>
    <t>43810</t>
  </si>
  <si>
    <t>IMPIANTI DI CONTROLLO INTEGRATI</t>
  </si>
  <si>
    <t>43811</t>
  </si>
  <si>
    <t>SISTEMA DI POSIZIONAMENTO DINAMICO</t>
  </si>
  <si>
    <t>AUTOPILOTA</t>
  </si>
  <si>
    <t>GIROPILOTA</t>
  </si>
  <si>
    <t>POSTAZIONE OPERATORE DP</t>
  </si>
  <si>
    <t>JOYSTICK (MODALITA SEMIAUTOMATICO)</t>
  </si>
  <si>
    <t>LEVE (MODALITA MANUALE)</t>
  </si>
  <si>
    <t>SELETTORE DI MODALITA</t>
  </si>
  <si>
    <t>ARRESTO DI EMERGENZA</t>
  </si>
  <si>
    <t>DISPLAY</t>
  </si>
  <si>
    <t>GRUPPO ALLARMI VISIVI</t>
  </si>
  <si>
    <t>GRUPPO ALLARMI ACUSTICI</t>
  </si>
  <si>
    <t>GRUPPO MEZZI COMUNICAZIONE INTERNA</t>
  </si>
  <si>
    <t>43900</t>
  </si>
  <si>
    <t>SISTEMI TELEVISIVI E DI REGISTRAZIONE (+)</t>
  </si>
  <si>
    <t>43910</t>
  </si>
  <si>
    <t>IMPIANTI TELEVISIVI A CIRCUITO CHIUSO</t>
  </si>
  <si>
    <t>43911</t>
  </si>
  <si>
    <t>TELEVISIONI A CIRCUITO CHIUSO</t>
  </si>
  <si>
    <t>SISTEMA DI VIDEOSORVEGLIANZA</t>
  </si>
  <si>
    <t>43920</t>
  </si>
  <si>
    <t>IMPIANTI DI REGISTRAZIONE</t>
  </si>
  <si>
    <t>43921</t>
  </si>
  <si>
    <t>APPARATI DI REGISTRAZIONE</t>
  </si>
  <si>
    <t>SISTEMA DI REGISTRAZIONE DATI DI NAVIGAZIONE</t>
  </si>
  <si>
    <t>UNITÀ ACQUISIZIONE DATI</t>
  </si>
  <si>
    <t>MODULO DI MEMORIA</t>
  </si>
  <si>
    <t>INTERFACCIA ANALOGICA/DIGITALE</t>
  </si>
  <si>
    <t>IDENTIFICAZIONE E TRCCIAMENTO A LUNGO RAGGIO</t>
  </si>
  <si>
    <t>44000</t>
  </si>
  <si>
    <t>COMUNICAZIONI ESTERNE</t>
  </si>
  <si>
    <t>44100</t>
  </si>
  <si>
    <t>SISTEMI RADIO</t>
  </si>
  <si>
    <t>44110</t>
  </si>
  <si>
    <t>PARCO ANTENNE</t>
  </si>
  <si>
    <t>44111</t>
  </si>
  <si>
    <t>ANTENNE</t>
  </si>
  <si>
    <t>ANTENNA GPS</t>
  </si>
  <si>
    <t>ANTENNA SEGNALI IALA</t>
  </si>
  <si>
    <t>GRUPPO ANTENNE RADIO</t>
  </si>
  <si>
    <t>ANTENNA AM/FM</t>
  </si>
  <si>
    <t>ANTENNA VSAT</t>
  </si>
  <si>
    <t>ANTENNA TV</t>
  </si>
  <si>
    <t>44150</t>
  </si>
  <si>
    <t>IMPIANTO RICETRASMETTITORI</t>
  </si>
  <si>
    <t>44151</t>
  </si>
  <si>
    <t>RICETRASMETTITORI</t>
  </si>
  <si>
    <t>STAZIONE RADIOTELEFONICA (SSB) MF/HF</t>
  </si>
  <si>
    <t>44152</t>
  </si>
  <si>
    <t>TRASMETTITORE PEP</t>
  </si>
  <si>
    <t>NAVTEX</t>
  </si>
  <si>
    <t>WEATHERFAX</t>
  </si>
  <si>
    <t>SISTEMA RADIO PER BANDE V/UHF</t>
  </si>
  <si>
    <t>UNITÀ DI CONTROLLO ANTENNA</t>
  </si>
  <si>
    <t>44160</t>
  </si>
  <si>
    <t>IMPIANTO DI CENTRALIZZAZIONE RADIO</t>
  </si>
  <si>
    <t>44164</t>
  </si>
  <si>
    <t>APPARECCHIATURE DI COMUNICAZIONE, VARIE</t>
  </si>
  <si>
    <t>STAZIONE VHF TIMONERIA</t>
  </si>
  <si>
    <t>STAZIONE VHF CARICO</t>
  </si>
  <si>
    <t>APPARATO DI COMUNICAZIONE DI BORDO PORTATILE VHF</t>
  </si>
  <si>
    <t>APPARATO DI COMUNICAZIONE DI BORDO PORTATILE UHF</t>
  </si>
  <si>
    <t>CUFFIE</t>
  </si>
  <si>
    <t>44170</t>
  </si>
  <si>
    <t>IMPIANTI DI COMUNICAZIONE SATELLITARE</t>
  </si>
  <si>
    <t>44171</t>
  </si>
  <si>
    <t>APPARATI DI COMUNICAZIONE SATELLITALE</t>
  </si>
  <si>
    <t>SISTEMA DI COMUNICAZIONE SATELLITARE PILOT UNIT + V-SAT</t>
  </si>
  <si>
    <t>ROUTER SATELLITARE</t>
  </si>
  <si>
    <t>SWITCH ETHERNET</t>
  </si>
  <si>
    <t>SWITCH VOIP</t>
  </si>
  <si>
    <t>TELEFONO ANALOGICO</t>
  </si>
  <si>
    <t>UPS</t>
  </si>
  <si>
    <t>SISTEMA DI COMUNICAZIONE SATELLITARE INMARSAT-C</t>
  </si>
  <si>
    <t>TELEX</t>
  </si>
  <si>
    <t>44300</t>
  </si>
  <si>
    <t>SISTEMI DI COMUNICAZIONE AUDIO - OTTICI</t>
  </si>
  <si>
    <t>44310</t>
  </si>
  <si>
    <t>IMPIANTI DI COMUNICAZIONE AUDIO - OTTICI</t>
  </si>
  <si>
    <t>44312</t>
  </si>
  <si>
    <t>APPARATI AUDIO</t>
  </si>
  <si>
    <t>CAMPANA  (MANULE ED ELETTRICA)</t>
  </si>
  <si>
    <t>GONG ELETTRICO</t>
  </si>
  <si>
    <t>CORNO DA NEBBIA MECCANICO</t>
  </si>
  <si>
    <t>GRUPPO FISCHIO AD ARIA COMPRESSA</t>
  </si>
  <si>
    <t xml:space="preserve">FISCHIETTO AD ARIA COMPRESSA </t>
  </si>
  <si>
    <t>RISCALDATORE</t>
  </si>
  <si>
    <t>SISTEMA DI CONTROLLO</t>
  </si>
  <si>
    <t>45000</t>
  </si>
  <si>
    <t>SISTEMI DI SORVEGLIANZA DI SUPERFICIE</t>
  </si>
  <si>
    <t>45100</t>
  </si>
  <si>
    <t>SISTEMI RADAR DI SORVEGLIANZA DI SUPERFICIE (NAVIGAZIONE)</t>
  </si>
  <si>
    <t>45120</t>
  </si>
  <si>
    <t>RADAR DI SORVEGLIANZA DI SUPERFICIE BANDA S (2 - 4 GHz)</t>
  </si>
  <si>
    <t>45121</t>
  </si>
  <si>
    <t>RADAR DI SORVEGLIANZA DI SUPERFICIE BANDA S N° 1</t>
  </si>
  <si>
    <t>N4599</t>
  </si>
  <si>
    <t>45140</t>
  </si>
  <si>
    <t>RADAR DI SORVEGLIANZA DI SUPERFICIE BANDA X (8 - 12 GHz)</t>
  </si>
  <si>
    <t>45141</t>
  </si>
  <si>
    <t>RADAR DI SORVEGLIANZA DI SUPERFICIE BANDA X N° 1</t>
  </si>
  <si>
    <t>49000</t>
  </si>
  <si>
    <t>49300</t>
  </si>
  <si>
    <t>SISTEMI AUTOMATICI DI ELABORAZIONE DATI (NON RELATIVI AL SISTEMA DI COMBATTIMENTO)</t>
  </si>
  <si>
    <t>49310</t>
  </si>
  <si>
    <t>SISTEMI DI GESTIONE DI ELABORAZIONE DATI (NON RELATIVI AL SISTEMA DI COMBATTIMENTO)</t>
  </si>
  <si>
    <t>49311</t>
  </si>
  <si>
    <t>SISTEMA DI AUTOMAZIONE PER LA PROPULSIONE</t>
  </si>
  <si>
    <t>SISTEMA DI AUTOMAZIONE PER I RISCALDATORI DI ACQUA PRESSURIZZATA</t>
  </si>
  <si>
    <t>SISTEMA DI AUTOMAZIONE PER I GENERATORI DF</t>
  </si>
  <si>
    <t>SISTEMA PER L'AUTOMAZIONE DEI SEPARATORI</t>
  </si>
  <si>
    <t>SISTEMA PER L'AUTOMAZIONE DEI COMPRESSORI</t>
  </si>
  <si>
    <t xml:space="preserve">SISTEMA PER L'AUTOMAZIONE DEI MOTORI ELETTRICI </t>
  </si>
  <si>
    <t>49900</t>
  </si>
  <si>
    <t>RISPETTI ED ATTREZZI DI BORDO PER GLI IMPIANTO DI COMANDO E SCOPERTA</t>
  </si>
  <si>
    <t>49910</t>
  </si>
  <si>
    <t>RISPETTI ED ATTREZZI DI BORDO PER GLI IMPIANTI DI COMANDO E SCOPERTA</t>
  </si>
  <si>
    <t>49911</t>
  </si>
  <si>
    <t>ATTREZZATURA NAUTICA</t>
  </si>
  <si>
    <t>BUSSOLA</t>
  </si>
  <si>
    <t>INDICATORE DI GIRI</t>
  </si>
  <si>
    <t>MEGAFONO</t>
  </si>
  <si>
    <t>LAMPADA ALDIS</t>
  </si>
  <si>
    <t>ANEMOMETRO ELETTRICO</t>
  </si>
  <si>
    <t>BAROMETRO</t>
  </si>
  <si>
    <t>SESTANTE</t>
  </si>
  <si>
    <t>BINOCOLO</t>
  </si>
  <si>
    <t>RIGHELLO</t>
  </si>
  <si>
    <t>TERMOMETRO</t>
  </si>
  <si>
    <t>TORCIA</t>
  </si>
  <si>
    <t>SEGNALE NERO CILINDRICO</t>
  </si>
  <si>
    <t>SEGNALE NERO ROMBO</t>
  </si>
  <si>
    <t>SEGNALE ANCORAGGIO SFERA</t>
  </si>
  <si>
    <t>IMPIANTI AUSILIARI - GENERALITÀ</t>
  </si>
  <si>
    <t>TUBI TROPPO PIENO, SFOGHI D'ARIA E SONDE</t>
  </si>
  <si>
    <t>SFOGHI D'ARIA</t>
  </si>
  <si>
    <t xml:space="preserve">SFOGO DI TUBAZIONI A DOPPIA PARETE PER GAS E APPARECCHIATURE </t>
  </si>
  <si>
    <t>SFOGO DI APPARECCHIATURE DF</t>
  </si>
  <si>
    <t>SONDE</t>
  </si>
  <si>
    <t>51000</t>
  </si>
  <si>
    <t>CLIMATIZZAZIONE</t>
  </si>
  <si>
    <t>51100</t>
  </si>
  <si>
    <t>SISTEMI DI RISCALDAMENTO LOCALI</t>
  </si>
  <si>
    <t>51110</t>
  </si>
  <si>
    <t>IMPIANTO DI RISCALDAMENTO LOCALI</t>
  </si>
  <si>
    <t>51111</t>
  </si>
  <si>
    <t>APPARATI PER IL RISCALDAMENTO DEI LOCALI</t>
  </si>
  <si>
    <t>ELEMENTO RISCALDANTE ELETTRICO PLANCIA N°1</t>
  </si>
  <si>
    <t>320.24.017-600</t>
  </si>
  <si>
    <t>TE388</t>
  </si>
  <si>
    <t>440V</t>
  </si>
  <si>
    <t>ELEMENTO RISCALDANTE ELETTRICO PLANCIA N°2</t>
  </si>
  <si>
    <t>320.24.017-601</t>
  </si>
  <si>
    <t>ELEMENTO RISCALDANTE ELETTRICO CUCINA</t>
  </si>
  <si>
    <t>320.24.017-602</t>
  </si>
  <si>
    <t>51200</t>
  </si>
  <si>
    <t>SISTEMI DI VENTILAZIONE/ESTRAZIONE (FUORI APPARATO MOTORE)</t>
  </si>
  <si>
    <t>51210</t>
  </si>
  <si>
    <t>IMPIANTO VENTILAZIONE/ESTRAZIONE (FUORI APPARATO MOTORE)</t>
  </si>
  <si>
    <t>51211</t>
  </si>
  <si>
    <t>VENTILATORI ED ESTRATTORI</t>
  </si>
  <si>
    <t>5121101</t>
  </si>
  <si>
    <t>GRUPPO VENTILATORI ESTRAZIONE</t>
  </si>
  <si>
    <t>5121102</t>
  </si>
  <si>
    <t>GRUPPO VENTILATORI MANDATA</t>
  </si>
  <si>
    <t>5121103</t>
  </si>
  <si>
    <t>IMPIANTO CONDOTTE DISTRIBUZIONE ARIA</t>
  </si>
  <si>
    <t>BRIDGE AIR HAN.ROOM SUPPLY AIR FAN CENTRIFUGAL TYPE</t>
  </si>
  <si>
    <t>202</t>
  </si>
  <si>
    <t>SISTEMI DI VENTILAZIONE/ESTRAZIONE LOCALI A.M.</t>
  </si>
  <si>
    <t>IMPIANTO VENTILAZIONE/ESTRAZIONE ENTRO APPARATO MOTORE</t>
  </si>
  <si>
    <t>51311</t>
  </si>
  <si>
    <t>CK 315 C</t>
  </si>
  <si>
    <t>320.24.017-323-E-20</t>
  </si>
  <si>
    <t>6.1</t>
  </si>
  <si>
    <t>0.007</t>
  </si>
  <si>
    <t>51400</t>
  </si>
  <si>
    <t>SERVIZIO CONDIZIONAMENTO DELL'ARIA</t>
  </si>
  <si>
    <t>51430</t>
  </si>
  <si>
    <t>UNITÀ' DI CONDIZIONAMENTO AUTONOME</t>
  </si>
  <si>
    <t>51431</t>
  </si>
  <si>
    <t>CONDIZIONATORI AUTONOMI</t>
  </si>
  <si>
    <t>5143101</t>
  </si>
  <si>
    <t>UNITÀ DI CONDIZIONAMENTO CENTRALE</t>
  </si>
  <si>
    <t>204</t>
  </si>
  <si>
    <t>320.24.017-200B</t>
  </si>
  <si>
    <t>5143102</t>
  </si>
  <si>
    <t xml:space="preserve">UNITÀ FANCOIL DX LOC. ECR </t>
  </si>
  <si>
    <t>5143103</t>
  </si>
  <si>
    <t>UNITÀ SPLIT LOC. PLANCIA</t>
  </si>
  <si>
    <t>320.24.017-202A</t>
  </si>
  <si>
    <t>REFRIGERANTE R410A</t>
  </si>
  <si>
    <t>5143104</t>
  </si>
  <si>
    <t>UNITÀ SPLIT LOC. CUCINA</t>
  </si>
  <si>
    <t>320.24.017-203A</t>
  </si>
  <si>
    <t>5143105</t>
  </si>
  <si>
    <t>KIT RICAMBI ATTUATORE SAX61.03</t>
  </si>
  <si>
    <t>AC432</t>
  </si>
  <si>
    <t>Siemens_Actuators SAX.. SAY.. SAV.. SAL.._en</t>
  </si>
  <si>
    <t>51600</t>
  </si>
  <si>
    <t>SISTEMI DI REFRIGERAZIONE (FRIGORIFERI)</t>
  </si>
  <si>
    <t>51610</t>
  </si>
  <si>
    <t>IMPIANTI FRIGORIFERI SERVIZIO NAVE</t>
  </si>
  <si>
    <t>51611</t>
  </si>
  <si>
    <t>COMPRESSORI/AEROREFRIGERANTI CELLE VIVERI, CELLE VERDURA, CELLE SURGELATI</t>
  </si>
  <si>
    <t>5161101</t>
  </si>
  <si>
    <t>PROVISION REFRIGERATING PLANT</t>
  </si>
  <si>
    <t>213</t>
  </si>
  <si>
    <t>CALDERINE AUSILIARIE E RISCALDATORI CON ALTRE FONTI DI CALORE</t>
  </si>
  <si>
    <t>RISCALDATORI A RECUPERO DI ENERGIA</t>
  </si>
  <si>
    <t>SKID GCU</t>
  </si>
  <si>
    <t>IMPIANTO DI RISCALDAMENTO ACQUA CALDA PRESSURIZZATA</t>
  </si>
  <si>
    <t>52000</t>
  </si>
  <si>
    <t>SERVIZI ACQUA MARE</t>
  </si>
  <si>
    <t>SISTEMI ANTINCENDIO E FILTRI LAVAGGIO AD ACQUA MARE</t>
  </si>
  <si>
    <t>TUBOLATURA ANTINCENDIO - LAVAGGIO ACQUA MARE</t>
  </si>
  <si>
    <t>TUBOLATURA ANTINCENDIO - LAVAGGIO ACQUA MARE (CON VALVOLE ED ACCESSORI)</t>
  </si>
  <si>
    <t>IDRANTE ANTINCENDIO</t>
  </si>
  <si>
    <t>POMPE ANTINCENDIO - LAVAGGIO ACQUA MARE</t>
  </si>
  <si>
    <t>2202-3005-03</t>
  </si>
  <si>
    <t>2202-3005-03 Fire fighting water supply system schematic pdf-NB-21</t>
  </si>
  <si>
    <t>POMPA ANTINCENDIO - LAVAGGIO ACQUA MARE N° 1</t>
  </si>
  <si>
    <t>NSL100-415/D02</t>
  </si>
  <si>
    <t>145</t>
  </si>
  <si>
    <t>R0304</t>
  </si>
  <si>
    <t>550806-05-01</t>
  </si>
  <si>
    <t>POMPA ANTINCENDIO - LAVAGGIO ACQUA MARE N° 2</t>
  </si>
  <si>
    <t>146</t>
  </si>
  <si>
    <t>550806-06-01</t>
  </si>
  <si>
    <t>POMPA ANTINCENDIO DI EMERGENZA</t>
  </si>
  <si>
    <t>NSL125-215/D02-P</t>
  </si>
  <si>
    <t>147</t>
  </si>
  <si>
    <t>550806-07-01</t>
  </si>
  <si>
    <t>IMPIANTO DI NEBULIZZAZIONE</t>
  </si>
  <si>
    <t>IMPIANTO DI NEBULIZZAZIONE AD ACQUA MARE</t>
  </si>
  <si>
    <t>APPARATI DEGLI IMPIANTI DI NEBULIZZAZIONE AD ACQUA MARE +</t>
  </si>
  <si>
    <t>IMPIANTO ANTINCENDIO AD ACQUA NEBULIZZATA</t>
  </si>
  <si>
    <t>52400</t>
  </si>
  <si>
    <t>SERVIZI AUSILIARI ACQUA MARE</t>
  </si>
  <si>
    <t>52430</t>
  </si>
  <si>
    <t>IMPIANTO ANTIVEGETATIVO</t>
  </si>
  <si>
    <t>52431</t>
  </si>
  <si>
    <t>IMPIANTO ANTIVEGETATIVO N° 1</t>
  </si>
  <si>
    <t>COP 4</t>
  </si>
  <si>
    <t>C-D-8773</t>
  </si>
  <si>
    <t>A3170</t>
  </si>
  <si>
    <t>N0416 24 SG118 KShips completa</t>
  </si>
  <si>
    <t>52600</t>
  </si>
  <si>
    <t>OMBRINALI E SCARICHI DEI PONTI</t>
  </si>
  <si>
    <t>52610</t>
  </si>
  <si>
    <t>52611</t>
  </si>
  <si>
    <t>SCARICHI IGIENICO - SANITARI</t>
  </si>
  <si>
    <t>IMPIANTO IGIENICO SANITARIO</t>
  </si>
  <si>
    <t>IMPIANTO DI ACQUA DOLCE - FREDDA</t>
  </si>
  <si>
    <t>POMPA ACQUA FREDDA N°1</t>
  </si>
  <si>
    <t>DPHI 2.3/3 B</t>
  </si>
  <si>
    <t>157-01</t>
  </si>
  <si>
    <t>28/2024 1938386-1</t>
  </si>
  <si>
    <t>2202-3020-04 Hot and cold water system schematic pdf</t>
  </si>
  <si>
    <t>POMPA ACQUA FREDDA N°2</t>
  </si>
  <si>
    <t>157-02</t>
  </si>
  <si>
    <t>28/2024 1938386-2</t>
  </si>
  <si>
    <t>UNITÀ STERILIZZANTE UV</t>
  </si>
  <si>
    <t>055</t>
  </si>
  <si>
    <t>Non ancora installato</t>
  </si>
  <si>
    <t>2202-3020-04</t>
  </si>
  <si>
    <t>FILTRO DI REGOLAZIONE PH</t>
  </si>
  <si>
    <t>054</t>
  </si>
  <si>
    <t>POMPA DI TRASFERIMENTO ACQUA FREDDA N°1</t>
  </si>
  <si>
    <t>ESL25-180N/A12</t>
  </si>
  <si>
    <t>159-01</t>
  </si>
  <si>
    <t>553539-08-01/2024</t>
  </si>
  <si>
    <t>POMPA DI TRASFERIMENTO ACQUA FREDDA N°2</t>
  </si>
  <si>
    <t>159-02</t>
  </si>
  <si>
    <t>553539-09-01/2024</t>
  </si>
  <si>
    <t>POMPA SERBATOIO DRENAGGIO ACQUA DOLCE</t>
  </si>
  <si>
    <t>057</t>
  </si>
  <si>
    <t>553539-05-01/2024</t>
  </si>
  <si>
    <t>2202-3010-02 Fresh and Sea Water Cooling System Schematics PDF</t>
  </si>
  <si>
    <t>COMMON MOTOR STARTER POMPE CENTRIFUGHE 157</t>
  </si>
  <si>
    <t>COMMON MOTOR STARTER POMPE DI TRASFERIMENTO 159</t>
  </si>
  <si>
    <t>TUBOLATURE</t>
  </si>
  <si>
    <t>SERBATOIO</t>
  </si>
  <si>
    <t>IMPIANTO DI ACQUA DOLCE - CALDA</t>
  </si>
  <si>
    <t>BOILER ELETTRICO</t>
  </si>
  <si>
    <t>158</t>
  </si>
  <si>
    <t>2024/RA/01/692</t>
  </si>
  <si>
    <t>POMPA CENTRIFUGA ELETTRICA N°1</t>
  </si>
  <si>
    <t>160-01</t>
  </si>
  <si>
    <t>POMPA CENTRIFUGA ELETTRICA N°2</t>
  </si>
  <si>
    <t>160-02</t>
  </si>
  <si>
    <t>COMMON MOTOR STARTER POMPE CENTRIFUGHE 160</t>
  </si>
  <si>
    <t>IMPIANTO DI SCARICO SANITARIO</t>
  </si>
  <si>
    <t>TRAPPOLA DEL GRASSO</t>
  </si>
  <si>
    <t>164</t>
  </si>
  <si>
    <t>2411.0000TG80.067</t>
  </si>
  <si>
    <t>2202-3003-03 Grey water discharge and internal scuppers system schematic PDF</t>
  </si>
  <si>
    <t>2202-3003-03</t>
  </si>
  <si>
    <t>GREY WATER AND SEWAGE VACUUM COLLECTING AND TREATMENT PLANT</t>
  </si>
  <si>
    <t xml:space="preserve">2411.0STPN420.309 </t>
  </si>
  <si>
    <t>2202-3007-04 Sewage collecting and treatment system schematic PDF</t>
  </si>
  <si>
    <t>2202-3007-04</t>
  </si>
  <si>
    <t>Vacuum unit Jets Edge S</t>
  </si>
  <si>
    <t>VUS201L</t>
  </si>
  <si>
    <t>N2756</t>
  </si>
  <si>
    <t>Toilet JETS Charm Wall</t>
  </si>
  <si>
    <t>TO611PO</t>
  </si>
  <si>
    <t>POMPA ACQUE REFLUE</t>
  </si>
  <si>
    <t>SA 35-135/12 A-2-H</t>
  </si>
  <si>
    <t>166</t>
  </si>
  <si>
    <t>550806-09-01</t>
  </si>
  <si>
    <t>GRUPPO FONTANELLE ACQUA POTABILE</t>
  </si>
  <si>
    <t>SERVIZIO ESAURIMENTO E ZAVORRA</t>
  </si>
  <si>
    <t>TUBOLATURA IMPIANTO DI ESAURIMENTO E ZAVORRA</t>
  </si>
  <si>
    <t>IMPIANTO ESAURIMENTO ZAVORRA (COMPONENTI)</t>
  </si>
  <si>
    <t>CASSA ACQUA DI SENTINA OLEOSA</t>
  </si>
  <si>
    <t>POMPE E AUTOMATISMI DELL'IMPIANTO ESAURIMENTO E ZAVORRA</t>
  </si>
  <si>
    <t xml:space="preserve">IMPIANTO DI ZAVORRA </t>
  </si>
  <si>
    <t>2202-3018-05</t>
  </si>
  <si>
    <t>2202-3018-05 Ballast system schematic PDF</t>
  </si>
  <si>
    <t>POMPA DI ZAVORRA N°1</t>
  </si>
  <si>
    <t>NSL200-330/D14</t>
  </si>
  <si>
    <t>221-01</t>
  </si>
  <si>
    <t>550806-01-01</t>
  </si>
  <si>
    <t>2202-3010-02</t>
  </si>
  <si>
    <t>040-01</t>
  </si>
  <si>
    <t>POMPA DI ZAVORRA N°2</t>
  </si>
  <si>
    <t>221-02</t>
  </si>
  <si>
    <t>550806-02-01</t>
  </si>
  <si>
    <t>DOL STARTER POMPA DI ZAVORRA N°1 221-01</t>
  </si>
  <si>
    <t>DOL STARTER POMPA DI ZAVORRA N°2 221-02</t>
  </si>
  <si>
    <t>IMPIANTO DI SENTINA</t>
  </si>
  <si>
    <t>2202-3015-05</t>
  </si>
  <si>
    <t>2202-3015-05 Bilge system schematic PDF</t>
  </si>
  <si>
    <t>POMPA DI SENTINA</t>
  </si>
  <si>
    <t>NSL100-330/D02</t>
  </si>
  <si>
    <t>144</t>
  </si>
  <si>
    <t>550806-04-01</t>
  </si>
  <si>
    <t xml:space="preserve">POMPA DI SENTINA PER LOCALE APPARATO MOTORE </t>
  </si>
  <si>
    <t>E0DD QUANTUM-i30</t>
  </si>
  <si>
    <t>148</t>
  </si>
  <si>
    <t>SPEQ 30-0168</t>
  </si>
  <si>
    <t>STANDARD PUMP EUROPE</t>
  </si>
  <si>
    <t>FC23A5009</t>
  </si>
  <si>
    <t>POMPA DI SENTINA PER LOCALE AGGHIACCIO TIMONI</t>
  </si>
  <si>
    <t>E0DD QUANTUM-i80</t>
  </si>
  <si>
    <t>151</t>
  </si>
  <si>
    <t>SPEQ 80-0065</t>
  </si>
  <si>
    <t>FJ23B5019</t>
  </si>
  <si>
    <t xml:space="preserve">EIETTORE DI SENTINA PER LOCALE ELICA DI MANOVRA DI PRUA </t>
  </si>
  <si>
    <t>2-2-3</t>
  </si>
  <si>
    <t>152</t>
  </si>
  <si>
    <t>2301283M</t>
  </si>
  <si>
    <t>N2585</t>
  </si>
  <si>
    <t xml:space="preserve">EIETTORE DI SENTINA PER LOCALE STIVE NEL CASTELLO E POZZETTI CATENE </t>
  </si>
  <si>
    <t>153</t>
  </si>
  <si>
    <t xml:space="preserve">EIETTORI DI SENTINA PER STIVE DI CARICO </t>
  </si>
  <si>
    <t>4-5-5</t>
  </si>
  <si>
    <t>154</t>
  </si>
  <si>
    <t>2301289M</t>
  </si>
  <si>
    <t xml:space="preserve">EIETTORI DI SENTINA PER COFFERDAM AREE DI CARICO </t>
  </si>
  <si>
    <t>155</t>
  </si>
  <si>
    <t>MOTOR STARTER POMPA SENTINA 144</t>
  </si>
  <si>
    <t>H2JJ4</t>
  </si>
  <si>
    <t>53000</t>
  </si>
  <si>
    <t>SERVIZI ACQUA DOLCE</t>
  </si>
  <si>
    <t>53100</t>
  </si>
  <si>
    <t>SERVIZIO PRODUZIONE ACQUA DOLCE</t>
  </si>
  <si>
    <t>53150</t>
  </si>
  <si>
    <t>IMPIANTI DI DISSALAZIONE AD OSMOSI INVERSA</t>
  </si>
  <si>
    <t>53151</t>
  </si>
  <si>
    <t>IMPIANTO DI DISSALAZIONE AD OSMOSI INVERSA N° 1</t>
  </si>
  <si>
    <t>DESALINATOR SWD 10-80</t>
  </si>
  <si>
    <t>D7032</t>
  </si>
  <si>
    <t>PREHEATING UNIT FOR FRESH WATER GENERATOR</t>
  </si>
  <si>
    <t>HWU</t>
  </si>
  <si>
    <t>047</t>
  </si>
  <si>
    <t>P2881827313-9913-LAY0001</t>
  </si>
  <si>
    <t>0592-136</t>
  </si>
  <si>
    <t>FRESH WATER GENERATOR</t>
  </si>
  <si>
    <t>SWD-10-80-110</t>
  </si>
  <si>
    <t>049</t>
  </si>
  <si>
    <t>P2881827313-9913-LAY000B</t>
  </si>
  <si>
    <t>2451827313_SWD</t>
  </si>
  <si>
    <t>SISTEMI DI REFRIGERAZIONE DELL' ACQUA DOLCE</t>
  </si>
  <si>
    <t>IMPIANTO DI RAFFREDDAMENTO ACQUA DI MARE E ACQUA DOLCE</t>
  </si>
  <si>
    <t>IMPIANTO RAFFREDDAMENTO ACQUA DOLCE LT</t>
  </si>
  <si>
    <t>POMPA DI RAFFREDDAMENTO ACQUA DOLCE LT N°1</t>
  </si>
  <si>
    <t>NSL200-265B/A14</t>
  </si>
  <si>
    <t>041-01</t>
  </si>
  <si>
    <t>553539-03-01</t>
  </si>
  <si>
    <t>POMPA DI RAFFREDDAMENTO ACQUA DOLCE LT N°2</t>
  </si>
  <si>
    <t>041-02</t>
  </si>
  <si>
    <t>553539-04-01</t>
  </si>
  <si>
    <t>VASO DI ESPANSIONE ACQUA DOLCE LT</t>
  </si>
  <si>
    <t>046</t>
  </si>
  <si>
    <t>SCAMBIATORE DI CALORE ACQUA MARE/ACQUA DOLCE LT N°1</t>
  </si>
  <si>
    <t>T21-MFM</t>
  </si>
  <si>
    <t>042-01</t>
  </si>
  <si>
    <t>AAM1025838</t>
  </si>
  <si>
    <t>SCAMBIATORE DI CALORE ACQUA MARE/ACQUA DOLCE LT N°2</t>
  </si>
  <si>
    <t>042-02</t>
  </si>
  <si>
    <t>AAM1025839</t>
  </si>
  <si>
    <t>POMPA ACQUA MARE RAFFREDDAMENTO LT N°1</t>
  </si>
  <si>
    <t>NSL250-265D14</t>
  </si>
  <si>
    <t>553539-01-01</t>
  </si>
  <si>
    <t>POMPA ACQUA MARE RAFFREDDAMENTO LT N°2</t>
  </si>
  <si>
    <t>040-02</t>
  </si>
  <si>
    <t>553539-02-01</t>
  </si>
  <si>
    <t>VFD POMPA ACQUA MARE RAFFREDDAMENTO 040</t>
  </si>
  <si>
    <t>QUV053146_2 Pag 16</t>
  </si>
  <si>
    <t>QUV053146_2</t>
  </si>
  <si>
    <t>VFD</t>
  </si>
  <si>
    <t>BYPASS DOL POMPA ACQUA MARE RAFFREDDAMENTO 040</t>
  </si>
  <si>
    <t>BYPASS DOL</t>
  </si>
  <si>
    <t>COMMON MOTOR STARTER POMPE DI RAFFREDDAMENTO ACQUA DOLCE 041</t>
  </si>
  <si>
    <t>PREHEATING UNIT FOR 3 X D.F.G.E.</t>
  </si>
  <si>
    <t>1REBEEDF5010</t>
  </si>
  <si>
    <t>048</t>
  </si>
  <si>
    <t>4106186 01</t>
  </si>
  <si>
    <t>54000</t>
  </si>
  <si>
    <t>COMBUSTIBILI/LUBRIFICANTI (MOVIMENTAZIONE E IMMAGAZZINAMENTO)</t>
  </si>
  <si>
    <t>54100</t>
  </si>
  <si>
    <t>SERVIZIO TRAVASO DEL COMBUSTIBILE</t>
  </si>
  <si>
    <t>2202-3002-03 Fuel oil filling and transfer system schematic PDF</t>
  </si>
  <si>
    <t>2202-3002-03</t>
  </si>
  <si>
    <t>54110</t>
  </si>
  <si>
    <t>IMPIANTI DI TRAVASO COMBUSTIBILE (COMPENSATO E NON)</t>
  </si>
  <si>
    <t>54111</t>
  </si>
  <si>
    <t>IMPIANTO DI TRAVASO NON COMPENSATO DEL COMBUSTIBILE</t>
  </si>
  <si>
    <t>IMPIANTO RIEMPIMENTO</t>
  </si>
  <si>
    <t>UNITÀ PORTATILE CAMPIONAMENTO BUNKER</t>
  </si>
  <si>
    <t>058A</t>
  </si>
  <si>
    <t>SISTEMA OVERFLOW</t>
  </si>
  <si>
    <t>IMPIANTO TRASFERIMENTO COMBUSTIBILE</t>
  </si>
  <si>
    <t>FUEL OIL SAMPLING UNIT POMPE DI TRASFERIMENTO MGO PRUA</t>
  </si>
  <si>
    <t>058B</t>
  </si>
  <si>
    <t>FUEL OIL SAMPLING UNIT POMPE DI TRASFERIMENTO MGO POPPA</t>
  </si>
  <si>
    <t>058C</t>
  </si>
  <si>
    <t>PILOT FUEL TANK</t>
  </si>
  <si>
    <t>071</t>
  </si>
  <si>
    <t>M.G.O. TANK</t>
  </si>
  <si>
    <t>123</t>
  </si>
  <si>
    <t>54120</t>
  </si>
  <si>
    <t>POMPE E FILTRI DELL'IMPIANTO TRAVASO COMBUSTIBILE (COMPENSATO E NON)</t>
  </si>
  <si>
    <t>54121</t>
  </si>
  <si>
    <t>POMPE DELL'IMPIANTO DI TRAVASO COMBUSTIBILE (COMPENSATO E NON)</t>
  </si>
  <si>
    <t>POMPA DI TRASFERIMENTO MGO PRUA N°1</t>
  </si>
  <si>
    <t>HD81EFM-1U3B25</t>
  </si>
  <si>
    <t>072-01</t>
  </si>
  <si>
    <t>550806-12-01</t>
  </si>
  <si>
    <t>POMPA DI TRASFERIMENTO MGO PRUA N°2</t>
  </si>
  <si>
    <t>072-02</t>
  </si>
  <si>
    <t>550806-15-01</t>
  </si>
  <si>
    <t>POMPA DI TRASFERIMENTO MGO POPPA N°1</t>
  </si>
  <si>
    <t>HD51EFM-12B2S</t>
  </si>
  <si>
    <t>059-01</t>
  </si>
  <si>
    <t>5500806-10-01</t>
  </si>
  <si>
    <t>POMPA DI TRASFERIMENTO MGO POPPA N°2</t>
  </si>
  <si>
    <t>059-02</t>
  </si>
  <si>
    <t>5500806-14-01</t>
  </si>
  <si>
    <t>MOTOR STARTER POMPE DI TRASFERIMENTO MGO PRUA 072</t>
  </si>
  <si>
    <t>MOTOR STARTER POMPE DI TRASFERIMENTO MGO POPPA 059</t>
  </si>
  <si>
    <t>54122</t>
  </si>
  <si>
    <t>FILTRI DELL'IMPIANTO DI TRAVASO COMBUSTIBILE (COMPENSATO E NON)</t>
  </si>
  <si>
    <t>FILTRO MGO</t>
  </si>
  <si>
    <t>060</t>
  </si>
  <si>
    <t>54123</t>
  </si>
  <si>
    <t>DEPURATORI DELL'IMPIANTO DI TRAVASO COMBUSTIBILE (COMPENSATO E NON)</t>
  </si>
  <si>
    <t>SKID DI PURIFICAZIONE IMPIANTO COMBUSTIBILE</t>
  </si>
  <si>
    <t>SEPARATOR OTC 2-02-137</t>
  </si>
  <si>
    <t>OTC 2-02-137</t>
  </si>
  <si>
    <t>062</t>
  </si>
  <si>
    <t>9987-0592-828</t>
  </si>
  <si>
    <t>9610-969</t>
  </si>
  <si>
    <t>MG.O. PURIFIER FEED PUMP</t>
  </si>
  <si>
    <t>KF 12 RF 2-D1</t>
  </si>
  <si>
    <t>065</t>
  </si>
  <si>
    <t>9085-2105-000</t>
  </si>
  <si>
    <t>D8273</t>
  </si>
  <si>
    <t>9990-0377-753</t>
  </si>
  <si>
    <t>FILTRO PURIFICATORE MGO</t>
  </si>
  <si>
    <t>064</t>
  </si>
  <si>
    <t>0018-2525-600</t>
  </si>
  <si>
    <t>D9860</t>
  </si>
  <si>
    <t>PN 25</t>
  </si>
  <si>
    <t>CONTROL LINE COMPL.</t>
  </si>
  <si>
    <t>1/2"</t>
  </si>
  <si>
    <t>9913-8220-610</t>
  </si>
  <si>
    <t>TDK_827312_EN_DO_OTC 2#9610-969.pdf</t>
  </si>
  <si>
    <t>P&amp;ID</t>
  </si>
  <si>
    <t>10-1-002</t>
  </si>
  <si>
    <t>CONTROL CABINET</t>
  </si>
  <si>
    <t>8400-0007-035</t>
  </si>
  <si>
    <t>+CC</t>
  </si>
  <si>
    <t>SET OF SPARE PARTS FOR 2 YEARS</t>
  </si>
  <si>
    <t>2050-9902-510</t>
  </si>
  <si>
    <t>M.G.O. FILTRATION UNIT</t>
  </si>
  <si>
    <t>WP1-C4-1000</t>
  </si>
  <si>
    <t>066</t>
  </si>
  <si>
    <t>22-C4-2D-340-U00</t>
  </si>
  <si>
    <t>#2406-4979</t>
  </si>
  <si>
    <t>1x230,3x400/440, 50/60Hz</t>
  </si>
  <si>
    <t>0,28-0,33</t>
  </si>
  <si>
    <t>M.G.O. COOLER F0R3X D.F.G.E,</t>
  </si>
  <si>
    <t>KS10-BCV-413B L1100</t>
  </si>
  <si>
    <t>067</t>
  </si>
  <si>
    <t>A24-39908A</t>
  </si>
  <si>
    <t>55000</t>
  </si>
  <si>
    <t>SERVIZI ARIA, GAS, FLUIDI DIVERSI</t>
  </si>
  <si>
    <t>55100</t>
  </si>
  <si>
    <t>SERVIZIO ARIA COMPRESSA</t>
  </si>
  <si>
    <t>55120</t>
  </si>
  <si>
    <t>IMPIANTO ARIA COMPRESSA MEDIA E BASSA PRESSIONE</t>
  </si>
  <si>
    <t>55121</t>
  </si>
  <si>
    <t>IMPIANTO ARIA COMPRESSA MEDIA E BASSAPRESSIONE (COMPONENTI)</t>
  </si>
  <si>
    <t>2202-3004-02 Ship service and ER compressed air system schematic PDF_copy</t>
  </si>
  <si>
    <t>2202-3004-02</t>
  </si>
  <si>
    <t>IMPIANTO DI AVVIAMENTO DDGG ARIA COMPRESSA</t>
  </si>
  <si>
    <t>COMPRESSORE ARIA AVVIAMENTO N°1</t>
  </si>
  <si>
    <t>XA060</t>
  </si>
  <si>
    <t>094-01</t>
  </si>
  <si>
    <t>N1016</t>
  </si>
  <si>
    <t>XA060-00436</t>
  </si>
  <si>
    <t>690V/60Hz</t>
  </si>
  <si>
    <t>1775 RPM</t>
  </si>
  <si>
    <t>15 kW</t>
  </si>
  <si>
    <t>COMPRESSORE ARIA AVVIAMENTO N°2</t>
  </si>
  <si>
    <t>094-02</t>
  </si>
  <si>
    <t>XA060-00437</t>
  </si>
  <si>
    <t>RICEVITORE ARIA DI AVVIAMENTO N°1</t>
  </si>
  <si>
    <t>2024/XG/01/1101</t>
  </si>
  <si>
    <t>095-01</t>
  </si>
  <si>
    <t>100N24073</t>
  </si>
  <si>
    <t>FORNITI DA WARTZILA</t>
  </si>
  <si>
    <t>STAZIONE DI RIDUZIONE PRESSIONE AVVIAMENTO N°1</t>
  </si>
  <si>
    <t>AR/002V</t>
  </si>
  <si>
    <t>4766S2</t>
  </si>
  <si>
    <t>573660 SG118-EE-COMPRESSORS - Technical documentation</t>
  </si>
  <si>
    <t>RICEVITORE ARIA DI AVVIAMENTO N°2</t>
  </si>
  <si>
    <t>095-02</t>
  </si>
  <si>
    <t>100N24074</t>
  </si>
  <si>
    <t>STAZIONE DI RIDUZIONE PRESSIONE AVVIAMENTO N°2</t>
  </si>
  <si>
    <t>AR/001V</t>
  </si>
  <si>
    <t>IMPIANTO ARIA DI SERVIZIO / UTENZE</t>
  </si>
  <si>
    <t>COMPRESSORE ARIA DI SERVIZIO/UTENZE N°1</t>
  </si>
  <si>
    <t>S22</t>
  </si>
  <si>
    <t>096-01</t>
  </si>
  <si>
    <t>S22A8C60M7M4405</t>
  </si>
  <si>
    <t>440V/60Hz</t>
  </si>
  <si>
    <t>24,3 kW</t>
  </si>
  <si>
    <t>51,7</t>
  </si>
  <si>
    <t>G1B-S11-22</t>
  </si>
  <si>
    <t>SEPARATORE CICLONICO CON FLANGE</t>
  </si>
  <si>
    <t>DF-C</t>
  </si>
  <si>
    <t>AR*021DV</t>
  </si>
  <si>
    <t>130804S1</t>
  </si>
  <si>
    <t>2,18</t>
  </si>
  <si>
    <t>0,00147</t>
  </si>
  <si>
    <t>130804S2</t>
  </si>
  <si>
    <t>COMPRESSORE ARIA DI SERVIZIO/UTENZE N°2</t>
  </si>
  <si>
    <t>096-02</t>
  </si>
  <si>
    <t>RICEVITORE ARIA DI SERVIZIO/UTENZE NAVE</t>
  </si>
  <si>
    <t>WELDTEAM</t>
  </si>
  <si>
    <t>097</t>
  </si>
  <si>
    <t>TV101000M</t>
  </si>
  <si>
    <t>3-3181-1000</t>
  </si>
  <si>
    <t>STAZIONE DI RIDUZIONE PRESSIONE SERVIZIO/UTENZE</t>
  </si>
  <si>
    <t>AR/022V</t>
  </si>
  <si>
    <t>IMPIANTO ALIMENTAZIONE ARIA STRUMENTAZIONE / CONTROLLO</t>
  </si>
  <si>
    <t>RICEVITORE ARIA STRUMENTI/CONTROLLO</t>
  </si>
  <si>
    <t>098</t>
  </si>
  <si>
    <t>ESSICCATORE ARIA DI CONTROLLO N°1</t>
  </si>
  <si>
    <t xml:space="preserve">B-DRY  300 </t>
  </si>
  <si>
    <t>099-01</t>
  </si>
  <si>
    <t>B-DRY  300-DPC</t>
  </si>
  <si>
    <t>24AD001652</t>
  </si>
  <si>
    <t>0,057</t>
  </si>
  <si>
    <t>230V/60Hz</t>
  </si>
  <si>
    <t>2202-3024-03 Automation compressed air system schematic</t>
  </si>
  <si>
    <t>2202-3024-03</t>
  </si>
  <si>
    <t>ESSICCATORE ARIA DI CONTROLLO N°2</t>
  </si>
  <si>
    <t>099-02</t>
  </si>
  <si>
    <t>24AD001653</t>
  </si>
  <si>
    <t>SISTEMI DI ESTINZIONE INCENDIO</t>
  </si>
  <si>
    <t>IMPIANTI ANTINCENDIO CHIMICI</t>
  </si>
  <si>
    <t>IMPIANTI A POLVERE</t>
  </si>
  <si>
    <t>CHEMICAL POWDER SYSTEM FOR FIRE FIGHTING ON CARGO AREA DECK N°1(SB)</t>
  </si>
  <si>
    <t>WZ08.02.1.55</t>
  </si>
  <si>
    <t>181-01</t>
  </si>
  <si>
    <t>DRY Chemical Powder - FTC-DCP-27_1104</t>
  </si>
  <si>
    <t>FTC-DCP-27-GA-S</t>
  </si>
  <si>
    <t>CHEMICAL POWDER SYSTEM FOR FIRE FIGHTING ON CARGO AREA DECK N°2(PS)</t>
  </si>
  <si>
    <t>WZ08.02.1.4</t>
  </si>
  <si>
    <t>181-02</t>
  </si>
  <si>
    <t>KIT RICAMBI</t>
  </si>
  <si>
    <t>50.13.002</t>
  </si>
  <si>
    <t>IMPIANTI A CO2 ED HALON</t>
  </si>
  <si>
    <t>IMPIANTI A CO2</t>
  </si>
  <si>
    <t>IMPIANTO CENTRALIZZATO ANTINCENDIO A CO₂ SALA MOTORE</t>
  </si>
  <si>
    <t>FTC-CO2-A</t>
  </si>
  <si>
    <t>183</t>
  </si>
  <si>
    <t>FTC-CO2-2420 R1</t>
  </si>
  <si>
    <t>HP CO2 Fire extinguisher system_1005534_354251599</t>
  </si>
  <si>
    <t>FTC-CO2-2420-GA</t>
  </si>
  <si>
    <t>IMPIANTI ANTINCENDIO AD ACQUA</t>
  </si>
  <si>
    <t>IMPIANTO ANTINCENDIO WATER MIST</t>
  </si>
  <si>
    <t>FTC-WMS-A</t>
  </si>
  <si>
    <t>182</t>
  </si>
  <si>
    <t>FTC-WMS-105</t>
  </si>
  <si>
    <t>VIKING LIFE-SAVING EQUIPMENT ITALIA</t>
  </si>
  <si>
    <t>Local application Water mist system_1005534_354262734</t>
  </si>
  <si>
    <t>55600</t>
  </si>
  <si>
    <t>SISTEMI OLEODINAMICI</t>
  </si>
  <si>
    <t>55610</t>
  </si>
  <si>
    <t>IMPIANTI OLEODINAMICI SERVIZIO NAVE</t>
  </si>
  <si>
    <t>55611</t>
  </si>
  <si>
    <t>IMPIANTO IDRAULICO PER VALVOLE AZIONATE IDRAULICAMENTE</t>
  </si>
  <si>
    <t>A1462</t>
  </si>
  <si>
    <t>HYDRAULIC POWER UNIT</t>
  </si>
  <si>
    <t>F4-02-07/SG118</t>
  </si>
  <si>
    <t>174</t>
  </si>
  <si>
    <t>AS5205</t>
  </si>
  <si>
    <t>SC5209</t>
  </si>
  <si>
    <t>0.3 c) ASSIEMI</t>
  </si>
  <si>
    <t>AS5205 - ASSEMBLY HPU FOR REMOTE CONTROL VALVE 150 l</t>
  </si>
  <si>
    <t>VALVES REMOTE CONTROL SYSTEM CABINET N°1</t>
  </si>
  <si>
    <t>173-01</t>
  </si>
  <si>
    <t>AS5619</t>
  </si>
  <si>
    <t>AS5619 - COMANDO EMERGENZA FISSO PER ACT DOPPIO EFFETTO - AZ/026V</t>
  </si>
  <si>
    <t>VALVES REMOTE CONTROL SYSTEM CABINET N°2</t>
  </si>
  <si>
    <t>173-02</t>
  </si>
  <si>
    <t>AS5635</t>
  </si>
  <si>
    <t>AS5635 - COMANDO EMERGENZA FISSO PER ACT SINGOLO EFFETTO - AZ/040V</t>
  </si>
  <si>
    <t>VALVES REMOTE CONTROL SYSTEM CABINET N°3</t>
  </si>
  <si>
    <t>173-03</t>
  </si>
  <si>
    <t>AS5636</t>
  </si>
  <si>
    <t>SC5617A2</t>
  </si>
  <si>
    <t>AS5636 - COMANDO EMERGENZA FISSO PER ACT DOPPIO EFFETTO - MR/016V</t>
  </si>
  <si>
    <t>POMPA BARELLABILE DI EMERGENZA</t>
  </si>
  <si>
    <t>175</t>
  </si>
  <si>
    <t>AS5618</t>
  </si>
  <si>
    <t>AS5618 - ASSIEME BARELLABILE x MANOVRA RACK EV</t>
  </si>
  <si>
    <t>VRC SOLENOID VALVES RACK 50 PLACES</t>
  </si>
  <si>
    <t>ASS604</t>
  </si>
  <si>
    <t>ASS604 - VRC SOLENOID VALVES RACK 50 PLACEs</t>
  </si>
  <si>
    <t>IMPIANTO IDRAULICO ARGANI E VERRICELLI PRUA</t>
  </si>
  <si>
    <t>IMPIANTO IDRAULICO VERRICELLI POPPA</t>
  </si>
  <si>
    <t xml:space="preserve">IMPIANTO IDRAULICO PER ELICA A PASSO VARIABILE </t>
  </si>
  <si>
    <t>ELETTROPOMPA</t>
  </si>
  <si>
    <t xml:space="preserve">SERBATOIO OLIO </t>
  </si>
  <si>
    <t>55700</t>
  </si>
  <si>
    <t>GAS LIQUIDI TRASPORTATI</t>
  </si>
  <si>
    <t>55710</t>
  </si>
  <si>
    <t>55711</t>
  </si>
  <si>
    <t xml:space="preserve">CARGO SYSTEM (CS) </t>
  </si>
  <si>
    <t>GAS &amp; HEAT</t>
  </si>
  <si>
    <t>GH119-DWG-005-09 Process Flow Diagram (PFD)</t>
  </si>
  <si>
    <t>CARGO TANK NO. 1</t>
  </si>
  <si>
    <t>TK101</t>
  </si>
  <si>
    <t>LEVEL RADAR GAUGE</t>
  </si>
  <si>
    <t>INTERNAL TEMPERATURE SENSOR</t>
  </si>
  <si>
    <t>INTERNAL PRESSURE SENSOR</t>
  </si>
  <si>
    <t>SKIN TEMPERATURE SENSOR</t>
  </si>
  <si>
    <t>CARGO TANK NO. 2</t>
  </si>
  <si>
    <t>TK102</t>
  </si>
  <si>
    <t>CARGO PUMP NO. 1</t>
  </si>
  <si>
    <t>NDW</t>
  </si>
  <si>
    <t>P102</t>
  </si>
  <si>
    <t>T1543UK NDW A7</t>
  </si>
  <si>
    <t>CARGO PUMP NO. 2</t>
  </si>
  <si>
    <t>P103</t>
  </si>
  <si>
    <t>CARGO PUMP NO. 3</t>
  </si>
  <si>
    <t>P202</t>
  </si>
  <si>
    <t>CARGO PUMP NO. 4</t>
  </si>
  <si>
    <t>P203</t>
  </si>
  <si>
    <t>SPRAY PUMP NO. 1</t>
  </si>
  <si>
    <t>ARTIKA 160 – 3S</t>
  </si>
  <si>
    <t>P104</t>
  </si>
  <si>
    <t>GR0000650 / VA0000126-7</t>
  </si>
  <si>
    <t>A5890</t>
  </si>
  <si>
    <t>MA0000056 - Artika 160-3S - VA0000126-7 - ODV24-00418 - s.n. 38330-38331</t>
  </si>
  <si>
    <t>SPRAY PUMP NO. 2</t>
  </si>
  <si>
    <t>P204</t>
  </si>
  <si>
    <t>CARGO SUB-COOLER NO.1</t>
  </si>
  <si>
    <t xml:space="preserve">StirLNG-4 LC </t>
  </si>
  <si>
    <t>E303A</t>
  </si>
  <si>
    <t>H2KT8</t>
  </si>
  <si>
    <t>0948-1</t>
  </si>
  <si>
    <t>01 Maintenance manual - StirLNG-4 LC - J0948 - IT01</t>
  </si>
  <si>
    <t>CARGO SUB-COOLER NO.2</t>
  </si>
  <si>
    <t>E303B</t>
  </si>
  <si>
    <t>CARGO SUB-COOLER NO.3</t>
  </si>
  <si>
    <t>E303C</t>
  </si>
  <si>
    <t>0948-3</t>
  </si>
  <si>
    <t>CARGO SUB-COOLER NO.4</t>
  </si>
  <si>
    <t>E303D</t>
  </si>
  <si>
    <t>0948-4</t>
  </si>
  <si>
    <t xml:space="preserve">VAPOUR RETURN COMPRESSOR </t>
  </si>
  <si>
    <t>KR305</t>
  </si>
  <si>
    <t>NEA</t>
  </si>
  <si>
    <t>909001486</t>
  </si>
  <si>
    <t>MANIFOLD STATIONS  (UPPER)</t>
  </si>
  <si>
    <t>MANIFOLD STATIONS  (LOWER)</t>
  </si>
  <si>
    <t xml:space="preserve">CLOSED DRAIN SYSTEM  </t>
  </si>
  <si>
    <t xml:space="preserve">VENT SYSTEM  </t>
  </si>
  <si>
    <t>55711010J</t>
  </si>
  <si>
    <t xml:space="preserve">SHIP TO SHIP BUNKERING SYSTEM (STS) </t>
  </si>
  <si>
    <t>A9320</t>
  </si>
  <si>
    <t>TWL_S1940_IOM_01 Rev01</t>
  </si>
  <si>
    <t xml:space="preserve">SHIP TO TRUCK SYSTEM </t>
  </si>
  <si>
    <t xml:space="preserve">GAS FUEL SUPPLY SYSTEM (GFSS)  </t>
  </si>
  <si>
    <t xml:space="preserve">BOG FUEL COMPRESSOR  </t>
  </si>
  <si>
    <t>X-ROW 110-140 GS</t>
  </si>
  <si>
    <t>KR306</t>
  </si>
  <si>
    <t>C6517</t>
  </si>
  <si>
    <t xml:space="preserve">BOG COMPRESSOR PRE-HEATER  </t>
  </si>
  <si>
    <t>E308</t>
  </si>
  <si>
    <t>CALOPERM</t>
  </si>
  <si>
    <t>SC10514866001</t>
  </si>
  <si>
    <t xml:space="preserve">BOG COMPRESSOR AFTER COOLER  </t>
  </si>
  <si>
    <t>E310</t>
  </si>
  <si>
    <t>GARDNER DENVER</t>
  </si>
  <si>
    <t>840073</t>
  </si>
  <si>
    <t xml:space="preserve">BOG HEATER  </t>
  </si>
  <si>
    <t>E304</t>
  </si>
  <si>
    <t xml:space="preserve">LNG VAPORIZER  </t>
  </si>
  <si>
    <t>E302</t>
  </si>
  <si>
    <t>840072</t>
  </si>
  <si>
    <t xml:space="preserve">GAS FUEL BUFFER TANK  </t>
  </si>
  <si>
    <t>D701</t>
  </si>
  <si>
    <t>840071</t>
  </si>
  <si>
    <t>GAS MASTER VALVE (GCU)</t>
  </si>
  <si>
    <t>GAS MASTER VALVE (DDGG)</t>
  </si>
  <si>
    <t xml:space="preserve">AUXILIARIES </t>
  </si>
  <si>
    <t>LT GLYCOL WATER SYSTEM</t>
  </si>
  <si>
    <t>LTGW CHILLER</t>
  </si>
  <si>
    <t>GRWC 210</t>
  </si>
  <si>
    <t>188</t>
  </si>
  <si>
    <t>GH119-DWG-049-05 UFD - Glycol water system</t>
  </si>
  <si>
    <t>GH119-DWG-049-05 UFD</t>
  </si>
  <si>
    <t>IN ORDINE CE NE SONO DUE!</t>
  </si>
  <si>
    <t>HT GLYCOL WATER SYSTEM</t>
  </si>
  <si>
    <t>GH119-DWG-040-04 - P&amp;ID - estratto ausiliari</t>
  </si>
  <si>
    <t>EXPANSION TANK</t>
  </si>
  <si>
    <t>D507</t>
  </si>
  <si>
    <t>ELECTRIC DRIVEN HTGW PUMP NO. 1</t>
  </si>
  <si>
    <t>NSL100-265/A13</t>
  </si>
  <si>
    <t>185-01</t>
  </si>
  <si>
    <t>553539-12-01</t>
  </si>
  <si>
    <t>ELECTRIC DRIVEN HTGW PUMP NO. 2</t>
  </si>
  <si>
    <t>185-02</t>
  </si>
  <si>
    <t>553539-13-01</t>
  </si>
  <si>
    <t>HTGW/LOW TEMPERATURE FRESH WATER HEAT EXCHANGER NO. 1</t>
  </si>
  <si>
    <t>S19A-1G16</t>
  </si>
  <si>
    <t>186-01</t>
  </si>
  <si>
    <t>39-25824</t>
  </si>
  <si>
    <t>HTGW/LOW TEMPERATURE FRESH WATER HEAT EXCHANGER NO. 2</t>
  </si>
  <si>
    <t>186-02</t>
  </si>
  <si>
    <t>39-25825</t>
  </si>
  <si>
    <t>HTGW/PRESSURIZED HOT WATER FROM GCU HEAT EXCHANGER NO. 1</t>
  </si>
  <si>
    <t>187-01</t>
  </si>
  <si>
    <t>HTGW/PRESSURIZED HOT WATER FROM GCU HEAT EXCHANGER NO. 2</t>
  </si>
  <si>
    <t>187-02</t>
  </si>
  <si>
    <t>INSTRUMENT AIR SYSTEM</t>
  </si>
  <si>
    <t>NITOGERN GENERATION SYSTEM</t>
  </si>
  <si>
    <t>MEMBRANE NITROGEN GENERATOR SKID N°1</t>
  </si>
  <si>
    <t>NM - 27</t>
  </si>
  <si>
    <t>176-01</t>
  </si>
  <si>
    <t>220/60/1</t>
  </si>
  <si>
    <t>1,3 kW</t>
  </si>
  <si>
    <t>13 BARG</t>
  </si>
  <si>
    <t>MEMBRANE NITROGEN GENERATOR SKID N°2</t>
  </si>
  <si>
    <t>176-02</t>
  </si>
  <si>
    <t xml:space="preserve">COMPRESSORE DEL GENERATORE DI AZOTO N°1 </t>
  </si>
  <si>
    <t>CSD 130 - 13 T</t>
  </si>
  <si>
    <t>177-01</t>
  </si>
  <si>
    <t>1049-9841847</t>
  </si>
  <si>
    <t>690/60/3</t>
  </si>
  <si>
    <t>80,5Kw</t>
  </si>
  <si>
    <t>COMPRESSORE DEL GENERATORE DI AZOTO N°2</t>
  </si>
  <si>
    <t>177-02</t>
  </si>
  <si>
    <t>1050-9841864</t>
  </si>
  <si>
    <t>NITROGEN GENERATOR SYSTEM TANK</t>
  </si>
  <si>
    <t>RT 3</t>
  </si>
  <si>
    <t>178-01</t>
  </si>
  <si>
    <t>178</t>
  </si>
  <si>
    <t>AIR DRYER FOR NITROGEN SYSTEM N°1</t>
  </si>
  <si>
    <t>DC - 16</t>
  </si>
  <si>
    <t>179 -01</t>
  </si>
  <si>
    <t>902701.00070-1001</t>
  </si>
  <si>
    <t>CSD_6C_11412893_10-000_00E</t>
  </si>
  <si>
    <t>FCSDST-0124.00</t>
  </si>
  <si>
    <t>AIR DRYER FOR NITROGEN SYSTEM N°2</t>
  </si>
  <si>
    <t>179 -02</t>
  </si>
  <si>
    <t>902701.00070-1002</t>
  </si>
  <si>
    <t>SERBATOIO DI RISERVA DI AZOTO</t>
  </si>
  <si>
    <t>D801</t>
  </si>
  <si>
    <t>2202-3023-03 Nitrogen dry air connection lines schematic in E.R PDF</t>
  </si>
  <si>
    <t>2202-3023-03</t>
  </si>
  <si>
    <t>178-02</t>
  </si>
  <si>
    <t xml:space="preserve">PORTABLE DEW POINT METER  </t>
  </si>
  <si>
    <t>ELECTRICAL SYSTEM</t>
  </si>
  <si>
    <t>CARGO PUMP VFD STARTER</t>
  </si>
  <si>
    <t>PROMEL</t>
  </si>
  <si>
    <t>SPRAY PUMP VFD STARTER</t>
  </si>
  <si>
    <t>BOG COMPRESSOR VFD STARTER</t>
  </si>
  <si>
    <t>CARGO SUBCOOLERS START / DELTA STARTER</t>
  </si>
  <si>
    <t>VAPOUR RETURN COMPRESSOR DOL STARTER</t>
  </si>
  <si>
    <t>LNG COMPOSITION ANALYSER</t>
  </si>
  <si>
    <t>SOCRATE</t>
  </si>
  <si>
    <t xml:space="preserve">GAS FUEL MEASURING SYSTEM  </t>
  </si>
  <si>
    <t>PRESSURE GAUGE</t>
  </si>
  <si>
    <t>TEMPERATURE GAUGES</t>
  </si>
  <si>
    <t>FLOW METER FOR GENSET FLOW MEASURE</t>
  </si>
  <si>
    <t>FLOW METER FOR GCU FLOW MEASURE</t>
  </si>
  <si>
    <t>AUTOMATION SYSTEM</t>
  </si>
  <si>
    <t>KONGSBERG</t>
  </si>
  <si>
    <t xml:space="preserve">CONTROL UNIT  </t>
  </si>
  <si>
    <t>UPS SYSTEM</t>
  </si>
  <si>
    <t xml:space="preserve">OPERATOR CONTROL STATION  </t>
  </si>
  <si>
    <t>EMERGENCY SHUT DOWN (ESD) SYSTEM</t>
  </si>
  <si>
    <t>EMERGENCY SHUT DOWN (ESD) PUSHBUTTON, INTEGRATED</t>
  </si>
  <si>
    <t>EMERGENCY SHUT DOWN (ESD) PUSHBUTTON, LOOSE ITEM)</t>
  </si>
  <si>
    <t>CUSTODY TRANSFER SYSTEM</t>
  </si>
  <si>
    <t>LOGIC UNIT CABINET</t>
  </si>
  <si>
    <t>CONTROL STATION</t>
  </si>
  <si>
    <t>CONTROL STATION PRINTER</t>
  </si>
  <si>
    <t>56000</t>
  </si>
  <si>
    <t>IMPIANTI PER IL GOVERNO DELLA NAVE</t>
  </si>
  <si>
    <t>56100</t>
  </si>
  <si>
    <t>SISTEMI DI CONTROLLO ROTTA E QUOTA</t>
  </si>
  <si>
    <t>56110</t>
  </si>
  <si>
    <t>IMPIANTI TIMONERIA PER UNITÀ' DI SUPERFICIE</t>
  </si>
  <si>
    <t>56111</t>
  </si>
  <si>
    <t>IMPIANTI TIMONERIA</t>
  </si>
  <si>
    <t>IMPIANTO TIMONERIA ELETTROIDRAULICA</t>
  </si>
  <si>
    <t>TRS-SR642 FCP-132</t>
  </si>
  <si>
    <t>RRM000612577</t>
  </si>
  <si>
    <t>KM-Steering San Giorgio Del Porto Spa Hull no SG118 Rev10</t>
  </si>
  <si>
    <t>DMN000295221</t>
  </si>
  <si>
    <t>B</t>
  </si>
  <si>
    <t>ATTUATORE A PALE ROTANTI SR642 Ø240 2x67 Ø46H7</t>
  </si>
  <si>
    <t>SR 642 FCP-240</t>
  </si>
  <si>
    <t>216</t>
  </si>
  <si>
    <t>RRRM00475782</t>
  </si>
  <si>
    <t>23S000606-240001</t>
  </si>
  <si>
    <t>0001</t>
  </si>
  <si>
    <t>POMPA IDRAULICA FCP, M132, SAUER SNM2/17, 17CCM</t>
  </si>
  <si>
    <t>FCP-17</t>
  </si>
  <si>
    <t>217-01</t>
  </si>
  <si>
    <t>PU-9312-17</t>
  </si>
  <si>
    <t>0002</t>
  </si>
  <si>
    <t>MOTORE ELETTRICO HMA2-132S-4, 575/690V, B35, RESTAMP</t>
  </si>
  <si>
    <t>HMA2-132S-4</t>
  </si>
  <si>
    <t>RRM000411996</t>
  </si>
  <si>
    <t>0003</t>
  </si>
  <si>
    <t>217-02</t>
  </si>
  <si>
    <t>VALVOLA DI DISTRIBUZIONE (ASSIEME) FV4-01, SR642 Ø22</t>
  </si>
  <si>
    <t>FV4-01</t>
  </si>
  <si>
    <t>RRM000520180</t>
  </si>
  <si>
    <t>0004</t>
  </si>
  <si>
    <t>LINEE IDRAULICHE</t>
  </si>
  <si>
    <t>SUPPORTO TIMONE SR640</t>
  </si>
  <si>
    <t>792-SR640</t>
  </si>
  <si>
    <t>0012</t>
  </si>
  <si>
    <t>POWER TAKE OFF SR642, 2X70</t>
  </si>
  <si>
    <t>PT-9867-70</t>
  </si>
  <si>
    <t>0013</t>
  </si>
  <si>
    <t>MANOMETRO FCP, 2.5 BAR, VISIVO</t>
  </si>
  <si>
    <t>RRM000459507</t>
  </si>
  <si>
    <t>0015</t>
  </si>
  <si>
    <t>COPERCHIO SR640</t>
  </si>
  <si>
    <t>60804-10076-640</t>
  </si>
  <si>
    <t>0016</t>
  </si>
  <si>
    <t>CABLAGGIO</t>
  </si>
  <si>
    <t>UNITÀ DI FEEDBACK SG,FBU,72°,2X5K,24VDC</t>
  </si>
  <si>
    <t>RRM000560875</t>
  </si>
  <si>
    <t>0099</t>
  </si>
  <si>
    <t>PRESENTE DISEGNO DMN000303295 PAG 226 E 227</t>
  </si>
  <si>
    <t>ET025-9818</t>
  </si>
  <si>
    <t>A-9818</t>
  </si>
  <si>
    <t>SCATOLA DI GIUNZIONE TIMONERIA, FCP, P-T, IP66</t>
  </si>
  <si>
    <t>RRM000445141</t>
  </si>
  <si>
    <t>SPARE PART KIT</t>
  </si>
  <si>
    <t>RRM000505914</t>
  </si>
  <si>
    <t>PART LIST</t>
  </si>
  <si>
    <t>CONTROLLI MOTORE FCP IP44</t>
  </si>
  <si>
    <t>231-239</t>
  </si>
  <si>
    <t>DMN000303219,DMN000327828</t>
  </si>
  <si>
    <t>CONVERTER DI FREQUENZA DANFOSS VLT FC302 IP55</t>
  </si>
  <si>
    <t>240-241</t>
  </si>
  <si>
    <t>0000-0139,0000-0322</t>
  </si>
  <si>
    <t>PANNELLO DI COMANDO PLANCIA</t>
  </si>
  <si>
    <t>DMN000298435</t>
  </si>
  <si>
    <t>DISEGNO ASSENTE</t>
  </si>
  <si>
    <t>PANNELLO DI COMANDO CONTROLL ROOM</t>
  </si>
  <si>
    <t>STAZIONE DI CONTROLLO PRINCIPALE IP22-MINI WHEEL FU CONTROLLER</t>
  </si>
  <si>
    <t>DMN000327383</t>
  </si>
  <si>
    <t>SI DISEGNO MA ID DIFFERENTE PAG244</t>
  </si>
  <si>
    <t>INDOOR WING IP22 -MINI WHEEL FU CONTROLLER</t>
  </si>
  <si>
    <t>UNITA' DI DITRIBUZIONE ENERGIA</t>
  </si>
  <si>
    <t>DMN000298452</t>
  </si>
  <si>
    <t>SI DISEGNO MA ID DIFFERENTE PAG245</t>
  </si>
  <si>
    <t>PANNELLO DI CONTROLLO BACKUP NON FOLLOW UP (PB4)</t>
  </si>
  <si>
    <t>DMN000298448</t>
  </si>
  <si>
    <t>SI DISEGNO MA ID DIFFERENTE PAG246</t>
  </si>
  <si>
    <t>PANNELLO DI COMANDO (PB4)</t>
  </si>
  <si>
    <t>DMN000298449</t>
  </si>
  <si>
    <t>SI DISEGNO MA ID DIFFERENTE PAG247</t>
  </si>
  <si>
    <t>PANNELLO DI CONTROLLO POMPA DI BACKUP (PB4)</t>
  </si>
  <si>
    <t>DMN000298450</t>
  </si>
  <si>
    <t>SI DISEGNO MA ID DIFFERENTE PAG248</t>
  </si>
  <si>
    <t>UNITÀ DI CONTROLLO SEGMENTO (SCU)</t>
  </si>
  <si>
    <t>349386/B</t>
  </si>
  <si>
    <t>SCU</t>
  </si>
  <si>
    <t>UNITÀ REGOLATRICE DIGITALE (DGU)</t>
  </si>
  <si>
    <t>330136-C</t>
  </si>
  <si>
    <t>DGU</t>
  </si>
  <si>
    <t>INTERFACCIA MOTORE PRINCIPALE (MEI)</t>
  </si>
  <si>
    <t>330153-A</t>
  </si>
  <si>
    <t>MEI</t>
  </si>
  <si>
    <t>TELEMOTORE ELETTRICO C2XE (C2XE)</t>
  </si>
  <si>
    <t>341338-B</t>
  </si>
  <si>
    <t>RIO-C2xe</t>
  </si>
  <si>
    <t>INDICATORE PANORAMICO DEL TIMONE</t>
  </si>
  <si>
    <t>RRM000563022</t>
  </si>
  <si>
    <t>DMN000303905/A</t>
  </si>
  <si>
    <t>CONVERTITORE DI SEGNALI E ALIMENTAZIONE</t>
  </si>
  <si>
    <t>DMN000304697</t>
  </si>
  <si>
    <t>INDICATORE ANGOLO TIMONE XL (144x144)</t>
  </si>
  <si>
    <t>DMN000303904</t>
  </si>
  <si>
    <t>SI DISEGNO MA ID DIFFERENTE PAG266</t>
  </si>
  <si>
    <t>INDICATORE ANGOLO TIMONE XL144</t>
  </si>
  <si>
    <t>INDICATORE ANGOLO TIMONE BW (144x144)</t>
  </si>
  <si>
    <t>DMN000304042</t>
  </si>
  <si>
    <t>FINE CORSA ELETTRICO</t>
  </si>
  <si>
    <t>NON PRESENTE MANUALE</t>
  </si>
  <si>
    <t>FERMO MECCANICO</t>
  </si>
  <si>
    <t>SISTEMA DI CONTROLLO IMPIANTO DI GOVERNO</t>
  </si>
  <si>
    <t>226-227</t>
  </si>
  <si>
    <t>DMN000303295</t>
  </si>
  <si>
    <t>NON PRESENTI ALTRE INDICAZIONI</t>
  </si>
  <si>
    <t>PANEL PC 7''</t>
  </si>
  <si>
    <t>430925/B</t>
  </si>
  <si>
    <t>56200</t>
  </si>
  <si>
    <t>TIMONE</t>
  </si>
  <si>
    <t>56210</t>
  </si>
  <si>
    <t>56211</t>
  </si>
  <si>
    <t>TIMONE 1</t>
  </si>
  <si>
    <t>ASSE TIMONE</t>
  </si>
  <si>
    <t>GRUPPO CUSCINETTI</t>
  </si>
  <si>
    <t>BOCCOLE</t>
  </si>
  <si>
    <t>SISTEMA DI INGRASSAGGIO AUTOMATICO</t>
  </si>
  <si>
    <t>GUARNIZIONE SUPERIORE</t>
  </si>
  <si>
    <t>GUARNIZIONE INFERIORE</t>
  </si>
  <si>
    <t>SKEG</t>
  </si>
  <si>
    <t>56800</t>
  </si>
  <si>
    <t>SISTEMI DI MANOVRA AUSILIARI (ELICHE DI MANOVRA)</t>
  </si>
  <si>
    <t>56810</t>
  </si>
  <si>
    <t>IMPIANTI DI CONTROLLO E MANOVRA PROPULSORI</t>
  </si>
  <si>
    <t>56811</t>
  </si>
  <si>
    <t>IMPIANTO ELICA DI MANOVRA DI PRUA N°1</t>
  </si>
  <si>
    <t xml:space="preserve">THRUSTER TRASVERSALE </t>
  </si>
  <si>
    <t>STT 002 FP</t>
  </si>
  <si>
    <t>500kW</t>
  </si>
  <si>
    <t>SGDP Manual_STT 2 FP Stern</t>
  </si>
  <si>
    <t>SERBATOIO OLIO COMPLETO</t>
  </si>
  <si>
    <t>1242350</t>
  </si>
  <si>
    <t>SERBATOIO LEACON</t>
  </si>
  <si>
    <t>1264920</t>
  </si>
  <si>
    <t>-</t>
  </si>
  <si>
    <t>GIUNTO  E-MOTOR</t>
  </si>
  <si>
    <t>COMPONENTE ELASTICO</t>
  </si>
  <si>
    <t>QUADRO ELETTRICO</t>
  </si>
  <si>
    <t>PARTI UNITÀ PRINCIPALE TH</t>
  </si>
  <si>
    <t>1266366</t>
  </si>
  <si>
    <t>PARTI ALA SINISTRA UNITÀ TH (PS)</t>
  </si>
  <si>
    <t>1266367</t>
  </si>
  <si>
    <t>PARTI ALA DESTRA UNITÀ TH (STB)</t>
  </si>
  <si>
    <t>1266368</t>
  </si>
  <si>
    <t>VITE TESTA CILINDRICA M18 X 50</t>
  </si>
  <si>
    <t>1021337</t>
  </si>
  <si>
    <t>RICAMBI STT 2 FP</t>
  </si>
  <si>
    <t>1266032</t>
  </si>
  <si>
    <t>RICAMBI SISTEMA ELETTRICO</t>
  </si>
  <si>
    <t>1249354</t>
  </si>
  <si>
    <t>MOTORE ELETTRICO</t>
  </si>
  <si>
    <t>FCS355LX/4</t>
  </si>
  <si>
    <t>D4205817</t>
  </si>
  <si>
    <t>VFD MOTORE ELETTRICO</t>
  </si>
  <si>
    <t>ELK-SDRV-3</t>
  </si>
  <si>
    <t>231</t>
  </si>
  <si>
    <t>PRJ.000511/DRV.0003</t>
  </si>
  <si>
    <t>COMANDO DI EMERGENZA LOCALE</t>
  </si>
  <si>
    <t>56812</t>
  </si>
  <si>
    <t>IMPIANTO ELICA DI MANOVRA DI POPPA N°1</t>
  </si>
  <si>
    <t>008</t>
  </si>
  <si>
    <t>1264194</t>
  </si>
  <si>
    <t>STT-102602</t>
  </si>
  <si>
    <t xml:space="preserve">GIUNTO </t>
  </si>
  <si>
    <t>CENTAFLEX-A-400</t>
  </si>
  <si>
    <t>56813</t>
  </si>
  <si>
    <t>CS355LX/4</t>
  </si>
  <si>
    <t>009</t>
  </si>
  <si>
    <t>D4205818</t>
  </si>
  <si>
    <t>143</t>
  </si>
  <si>
    <t>PRJ.000511/DRV.0004</t>
  </si>
  <si>
    <t>56814</t>
  </si>
  <si>
    <t>56818</t>
  </si>
  <si>
    <t>57000</t>
  </si>
  <si>
    <t>SISTEMI PER IL RIFORNIMENTO</t>
  </si>
  <si>
    <t>SISTEMI DI MOVIMENTAZIONE DEI MATERIALI/APPARECCHIATURE</t>
  </si>
  <si>
    <t>IMPIANTI ELEVATORI DEI CARICHI NAVE</t>
  </si>
  <si>
    <t>57211</t>
  </si>
  <si>
    <t>APPARECCHI DI SOLLEVAMENTO FISSI N° 1</t>
  </si>
  <si>
    <t xml:space="preserve">GRU ELETTROIDRAULICA PER PROVVISTE </t>
  </si>
  <si>
    <t>M200EL</t>
  </si>
  <si>
    <t>A9655</t>
  </si>
  <si>
    <t>SORMEC O&amp;M_1824-M200_rev00</t>
  </si>
  <si>
    <t>1.8 PANORAMICA DELLA MACCHINA</t>
  </si>
  <si>
    <t>57212</t>
  </si>
  <si>
    <t>APPARECCHI DI SOLLEVAMENTO FISSI N° 2</t>
  </si>
  <si>
    <t>GRU PER MOVIMENTAZIONE TUBI FLESSIBILI</t>
  </si>
  <si>
    <t>M15/SA</t>
  </si>
  <si>
    <t>IUM_1724-modello SORMEC M15SA_rev00</t>
  </si>
  <si>
    <t>PANORAMICA DELLA MACCHINA</t>
  </si>
  <si>
    <t>57213</t>
  </si>
  <si>
    <t>APPARECCHI DI SOLLEVAMENTO FISSI N° 3</t>
  </si>
  <si>
    <t>GRU A TRAVE CARRELLATA PER SALA MACCHINE</t>
  </si>
  <si>
    <t>SISTEMA A TRAVI SOSPESE</t>
  </si>
  <si>
    <t>CARRELLO MOTORIZZATO</t>
  </si>
  <si>
    <t>GRUPPO PARANCHI</t>
  </si>
  <si>
    <t>57214</t>
  </si>
  <si>
    <t>APPARECCHI DI SOLLEVAMENTO FISSI N° 4</t>
  </si>
  <si>
    <t>GRU A TRAVE CARRELLATA PONTE PIATTAFORMA</t>
  </si>
  <si>
    <t>57215</t>
  </si>
  <si>
    <t>APPARECCHI DI SOLLEVAMENTO FISSI N° 5</t>
  </si>
  <si>
    <t>GRU A TRAVE CARRELLATA PONTE COPERTA</t>
  </si>
  <si>
    <t>57216</t>
  </si>
  <si>
    <t>APPARECCHI DI SOLLEVAMENTO FISSI N° 6</t>
  </si>
  <si>
    <t>GRU A TRAVE CARRELLATA SEPARATORI</t>
  </si>
  <si>
    <t>CARRELLO</t>
  </si>
  <si>
    <t>58000</t>
  </si>
  <si>
    <t>SISTEMI DI MANOVRA MECCANICI</t>
  </si>
  <si>
    <t>58100</t>
  </si>
  <si>
    <t>SISTEMI DI MOVIMENTAZIONE E STIVAGGIO ANCORE</t>
  </si>
  <si>
    <t>58110</t>
  </si>
  <si>
    <t>IMPIANTI DI MOVIMENTAZIONE E STIVAGGIO ANCORE</t>
  </si>
  <si>
    <t>58111</t>
  </si>
  <si>
    <t>MPIANTO DI MOVIMENTAZIONE E STIVAGGIO ANCORE (COMPONENTI)</t>
  </si>
  <si>
    <t>FERMACATENA A RULLO DX CS-R-48, 50 [mm] K2, K3</t>
  </si>
  <si>
    <t>CS48K3/SB</t>
  </si>
  <si>
    <t>D032224.0000</t>
  </si>
  <si>
    <t>1HJJL</t>
  </si>
  <si>
    <t>Technical Manual Chain Stopper CS-R-48, 50 [mm] K2, K3 dwg. D032224.0000 DMT 23473</t>
  </si>
  <si>
    <t>FERMACATENA A RULLO SX CS-R-48, 50 [mm] K2, K3</t>
  </si>
  <si>
    <t>CS48K3/PS</t>
  </si>
  <si>
    <t>ARGANO SALPA ANCORA DX MW2</t>
  </si>
  <si>
    <t>AMW H48K3/SB</t>
  </si>
  <si>
    <t>MW2</t>
  </si>
  <si>
    <t xml:space="preserve">D048893.0000 </t>
  </si>
  <si>
    <t>[ATEX] Technical Manual Anchor Mooring Winch AMW-121-H-48 [mm] K3 dwg. D048893.0000 DMT 23473</t>
  </si>
  <si>
    <t>PJ23A473.04</t>
  </si>
  <si>
    <t>ARGANO SALPA ANCORA SX MW1</t>
  </si>
  <si>
    <t>AMW H48K3/PS</t>
  </si>
  <si>
    <t>MW1</t>
  </si>
  <si>
    <t>D048893.0100</t>
  </si>
  <si>
    <t xml:space="preserve">ARGANO DI ORMEGGIO SUL PONTE DI COPERTA DIETRO AI SALPANCORA </t>
  </si>
  <si>
    <t>MW-020-H120KN</t>
  </si>
  <si>
    <t>MW3</t>
  </si>
  <si>
    <t>D048895.0000</t>
  </si>
  <si>
    <t>[ATEX] Technical Manual Mooring Winch MW-020-H-120 [kN] dwg. D048895.0000 DMT 23473</t>
  </si>
  <si>
    <t>INTERFACCIA ELETTRICA</t>
  </si>
  <si>
    <t>ANCORA E CATENA</t>
  </si>
  <si>
    <t>HPU</t>
  </si>
  <si>
    <t>58200</t>
  </si>
  <si>
    <t>SISTEMI DI TONNEGGIO E RIMORCHIO</t>
  </si>
  <si>
    <t>58210</t>
  </si>
  <si>
    <t>IMPIANTI DI TONNEGGIO E RIMORCHIO</t>
  </si>
  <si>
    <t>58211</t>
  </si>
  <si>
    <t>COMPONENTI DELL'IMPIANTO DI TONNEGGIO E RIMORCHIO (COMPONENTI)</t>
  </si>
  <si>
    <t xml:space="preserve">ARGANO DI ORMEGGIO SUL PONTE DI COPERTA DAVANTI AL CASTELLO ALLOGGI </t>
  </si>
  <si>
    <t>MW4</t>
  </si>
  <si>
    <t>[ATEX] Technical Manual Mooring Winch MW-020-H-120 [kN] dwg. D048895.0100 DMT 23473</t>
  </si>
  <si>
    <t>PJ23B473.04</t>
  </si>
  <si>
    <t>ARGANO DI ORMEGGIO SUL PONTE DI POPPA DX</t>
  </si>
  <si>
    <t>MW-021-H120KN</t>
  </si>
  <si>
    <t>MW6</t>
  </si>
  <si>
    <t>D048895.0100</t>
  </si>
  <si>
    <t>[ATEX] Technical Manual Mooring Winch MW-021-H-120 [kN] dwg. D048894.0100 DMT 23473</t>
  </si>
  <si>
    <t>ARGANO DI ORMEGGIO SUL PONTE DI POPPA SX</t>
  </si>
  <si>
    <t>MW5</t>
  </si>
  <si>
    <t>D048894.0000</t>
  </si>
  <si>
    <t>[ATEX] Technical Manual Mooring Winch MW-021-H-120 [kN] dwg. D048894.0000 DMT 23473</t>
  </si>
  <si>
    <t>MOORING FITTINGS AND ROPER</t>
  </si>
  <si>
    <t>58300</t>
  </si>
  <si>
    <t>IMPIANTI DI MOVIMENTAZIONE DELLE IMBARCAZIONI E RELATIVE SISTEMAZIONI</t>
  </si>
  <si>
    <t>58320</t>
  </si>
  <si>
    <t>APPARECCHIATURE PER IL SALVATAGGIO (OLTRE LE IMBARCAZIONI)</t>
  </si>
  <si>
    <t>58321</t>
  </si>
  <si>
    <t>SCIALUPPA DI SALVATAGGIO FREEFALL</t>
  </si>
  <si>
    <t>GES-21 MKI</t>
  </si>
  <si>
    <t>Approval drawing book for frefall boat-davit - rescue boat</t>
  </si>
  <si>
    <t>G-505808</t>
  </si>
  <si>
    <t>NLDE-3(380J)-3</t>
  </si>
  <si>
    <t>20,6kW</t>
  </si>
  <si>
    <t>ELICA</t>
  </si>
  <si>
    <t>BRASS 18 INCHES</t>
  </si>
  <si>
    <t>UGELLO DELL’ELICA</t>
  </si>
  <si>
    <t>STRUMENTAZIONE</t>
  </si>
  <si>
    <t>SISTEMA DI RAFFREDDAMENTO</t>
  </si>
  <si>
    <t>IMPIANTO DI SCARICO</t>
  </si>
  <si>
    <t>SERBATOIO CARBURANTE</t>
  </si>
  <si>
    <t>SISTEMA DI SGANCIO</t>
  </si>
  <si>
    <t>HRS-10</t>
  </si>
  <si>
    <t>TENDITORI DI SOSPENSIONE</t>
  </si>
  <si>
    <t>ALIMENTAZIONE ELETTRICA</t>
  </si>
  <si>
    <t>42VAC</t>
  </si>
  <si>
    <t>LUCI POSIZIONE</t>
  </si>
  <si>
    <t>12 VDC</t>
  </si>
  <si>
    <t>FARO RICERCA PORTATILE</t>
  </si>
  <si>
    <t>LUCI CABINA</t>
  </si>
  <si>
    <t>POMPA SENTINA MANUALE</t>
  </si>
  <si>
    <t>ALTERNATORE</t>
  </si>
  <si>
    <t>BATTERIA PRINCIPALE</t>
  </si>
  <si>
    <t>BATTERIA SECONDARIA</t>
  </si>
  <si>
    <t>INTERRUTTORE PRINCIPALE</t>
  </si>
  <si>
    <t>INTERRUTTORE SECONDARIO</t>
  </si>
  <si>
    <t>INTERRUTORE UTENZE ELETTRICHE</t>
  </si>
  <si>
    <t>CAVO ALIMENTAZIONE</t>
  </si>
  <si>
    <t>15 METERS</t>
  </si>
  <si>
    <t>EQUIPAGGIAMENTO -GES-21</t>
  </si>
  <si>
    <t>1-MAN-0670-7 GES21 MKII Lifeboat</t>
  </si>
  <si>
    <t>GRUPPO ATTREZZATURE DI SALVATAGGIO, SICUREZZA ED EMERGENZA</t>
  </si>
  <si>
    <t>SALVAGENTE ANULARE</t>
  </si>
  <si>
    <t xml:space="preserve">GIUBBOTTO SALVAGENTE </t>
  </si>
  <si>
    <t>LANCIA FUMOGENI PNEUMATICO</t>
  </si>
  <si>
    <t>FUMOGENO A PARACADUTE</t>
  </si>
  <si>
    <t>TUTA IMMERSIVA</t>
  </si>
  <si>
    <t>RADIO VHF</t>
  </si>
  <si>
    <t>RADIOFARO ELETTRONICO DI POSIZIONE (EPIRB)</t>
  </si>
  <si>
    <t>TRANSPONDER RADAR (SART)</t>
  </si>
  <si>
    <t>DAVIT PER SCIALUPPA DI SALVATAGGIO FREEFALL</t>
  </si>
  <si>
    <t>HD-21 MKII</t>
  </si>
  <si>
    <t>440/42VAC</t>
  </si>
  <si>
    <t>G-504430</t>
  </si>
  <si>
    <t>ARGANO</t>
  </si>
  <si>
    <t>INI winch IYJ2.53-40-57-18-ZPN</t>
  </si>
  <si>
    <t>690V/3ph/60Hz</t>
  </si>
  <si>
    <t>11,6kW</t>
  </si>
  <si>
    <t>CENTRALINA IDRAULICA AUTONOMA INTEGRATA</t>
  </si>
  <si>
    <t>G-502395</t>
  </si>
  <si>
    <t>132M-4</t>
  </si>
  <si>
    <t>POMPA IDRAULICA</t>
  </si>
  <si>
    <t>GALTECH 2SPA16-10N 16.5ccm</t>
  </si>
  <si>
    <t>FILTRO DI RITORNO</t>
  </si>
  <si>
    <t>MPT1103CAG20A10BP01</t>
  </si>
  <si>
    <t xml:space="preserve">CARTUCCIA FILTRO </t>
  </si>
  <si>
    <t>MF100-3-A10HB</t>
  </si>
  <si>
    <t>PISTONI IDRAULICI</t>
  </si>
  <si>
    <t>DS-00716</t>
  </si>
  <si>
    <t>QUADRO AVVIAMENTO ELETTRICO</t>
  </si>
  <si>
    <t>HUAHAI</t>
  </si>
  <si>
    <t>G-504787</t>
  </si>
  <si>
    <t>UNITÀ DI CONTROLLO REMOTO ELETTRICO</t>
  </si>
  <si>
    <t>DERXIN</t>
  </si>
  <si>
    <t>G-504785</t>
  </si>
  <si>
    <t>IMBARCAZIONE DI SOCCORSO</t>
  </si>
  <si>
    <t>MATRIX-450</t>
  </si>
  <si>
    <t>G-500081</t>
  </si>
  <si>
    <t>MOTORE FUORIBORDO</t>
  </si>
  <si>
    <t>NORSAFE MARINE 15 HP</t>
  </si>
  <si>
    <t>CIRCUITO RAFFREDDAMENTO ACQUA MARE</t>
  </si>
  <si>
    <t>VALVOLE ATTACCO SERBATOIO</t>
  </si>
  <si>
    <t>BRACHE DI SOLLEVAMENTO A TRE PUNTI</t>
  </si>
  <si>
    <t>CAVI MARINI</t>
  </si>
  <si>
    <t>LUCE DI POSIZIONE</t>
  </si>
  <si>
    <t>LUCE BUSSOLA</t>
  </si>
  <si>
    <t>RCH 36</t>
  </si>
  <si>
    <t>EQUIPAGGIAMENTO -MATRIX 450</t>
  </si>
  <si>
    <t>5-MAN-0106-9 Manual for Matrix450 rescue boat</t>
  </si>
  <si>
    <t>DAVIT PER IMBARCAZIONE DI SOCCORSO</t>
  </si>
  <si>
    <t>NCR-25 P</t>
  </si>
  <si>
    <t>NRC-25 P - 3,5 M - TSD-0355-4</t>
  </si>
  <si>
    <t>GANCIO RILASCIO</t>
  </si>
  <si>
    <t>RCH36 COMBI HOOK</t>
  </si>
  <si>
    <t>7-MAN-1197-5 Manual for RCH36 Hook</t>
  </si>
  <si>
    <t>BATTELLO AUTOGONFIABILE N°1</t>
  </si>
  <si>
    <t>BATTELLO AUTOCONFIABILE N°2</t>
  </si>
  <si>
    <t>58330</t>
  </si>
  <si>
    <t>PICCOLI BATTELLI, MOTOBARCHE E GOMMONI</t>
  </si>
  <si>
    <t>58331</t>
  </si>
  <si>
    <t>IMBARCAZIONE DI SOCCORSO UOMO A MARE</t>
  </si>
  <si>
    <t>MOTORE FUORI BORDO 40Kw</t>
  </si>
  <si>
    <t>VHF</t>
  </si>
  <si>
    <t>FARI DI RICERCA</t>
  </si>
  <si>
    <t xml:space="preserve">ARGANO PER IMBARCAZIONE DI SALVATAGGIO </t>
  </si>
  <si>
    <t>ZATTERA DI SALVATAGGIO</t>
  </si>
  <si>
    <t>59000</t>
  </si>
  <si>
    <t>59300</t>
  </si>
  <si>
    <t>IMPIANTI DI CONTROLLO INQUINAMENTO AMBIENTALE</t>
  </si>
  <si>
    <t>59310</t>
  </si>
  <si>
    <t>IMPIANTI DI TRATTAMENTO DEI LIQUAMI ACQUE DI SCARICO F. B.</t>
  </si>
  <si>
    <t>59311</t>
  </si>
  <si>
    <t>IMPIANTI ACQUE NERE</t>
  </si>
  <si>
    <t>UNITA DI TRATTAMENTO ACQUE NERE</t>
  </si>
  <si>
    <t>STPN 420</t>
  </si>
  <si>
    <t>165</t>
  </si>
  <si>
    <t>FA268900006</t>
  </si>
  <si>
    <t>DETEGASA</t>
  </si>
  <si>
    <t>DATEGASA</t>
  </si>
  <si>
    <t>2411.0STPN420.309</t>
  </si>
  <si>
    <t>Manuale Detegasa + certificati</t>
  </si>
  <si>
    <t>STPN-26890-G03I</t>
  </si>
  <si>
    <t>59320</t>
  </si>
  <si>
    <t>IMPIANTI SEPARATORI DELLE ACQUE OLEOSE</t>
  </si>
  <si>
    <t>59321</t>
  </si>
  <si>
    <t>SEPARATORE SENTINA OLEOSA</t>
  </si>
  <si>
    <t>OWSANP-2.5</t>
  </si>
  <si>
    <t>149</t>
  </si>
  <si>
    <t>2405.OWSANP.183</t>
  </si>
  <si>
    <t>POMPA DEL SEPARATORE ACQUE OLEOSE</t>
  </si>
  <si>
    <t>150</t>
  </si>
  <si>
    <t>POMPA DI SENTINA OLEOSA PER SEPARATORE ACQUA OLEOSA</t>
  </si>
  <si>
    <t>HD51EFM-1U2B2S</t>
  </si>
  <si>
    <t>070</t>
  </si>
  <si>
    <t>550806-03-01</t>
  </si>
  <si>
    <t>DD5214</t>
  </si>
  <si>
    <t xml:space="preserve">SKID TRATTAMENTO ACQUA DI ZAVORRA </t>
  </si>
  <si>
    <t>CompactClean OPTIMO 500</t>
  </si>
  <si>
    <t>222</t>
  </si>
  <si>
    <t>546945-01-01</t>
  </si>
  <si>
    <t>BWTS FILTER UNIT WITH AUTOMATIC BACKFLUSHING</t>
  </si>
  <si>
    <t>ACB</t>
  </si>
  <si>
    <t>223</t>
  </si>
  <si>
    <t>2202-3025-02 ER fresh water service system PDF</t>
  </si>
  <si>
    <t>2202-3025-02</t>
  </si>
  <si>
    <t>BALLAST WATER TREATMENT CONTROL PANEL</t>
  </si>
  <si>
    <t>226</t>
  </si>
  <si>
    <t xml:space="preserve">CASSA ACQUA DI SENTINA PULITA </t>
  </si>
  <si>
    <t>59330</t>
  </si>
  <si>
    <t>IMPIANTI PER IL CONTROLLO INQUINAMENTO INDUSTRIALE E DA SOLIDI</t>
  </si>
  <si>
    <t>59331</t>
  </si>
  <si>
    <t>TRATTAMENTO RIFIUTI SOLIDI</t>
  </si>
  <si>
    <t>INCENERITORE A COMBUSTIBILE LIQUIDO</t>
  </si>
  <si>
    <t>59900</t>
  </si>
  <si>
    <t>RISPETTI ED ATTREZZI DI BORDO PER GLI IMPIANTI AUSILIARI</t>
  </si>
  <si>
    <t>RISPETTI ED ATTREZZI DI BORDO PER PER GLI IMPIANTI AUSILIARI</t>
  </si>
  <si>
    <t xml:space="preserve">SCALA DI CORDA PER PILOTI </t>
  </si>
  <si>
    <t>SCALA DI JACOB</t>
  </si>
  <si>
    <t>59920</t>
  </si>
  <si>
    <t>ATTREZZATURE SPECIALI PER PER GLI IMPIANTI AUSILIARI</t>
  </si>
  <si>
    <t>59921</t>
  </si>
  <si>
    <t>SET OF TOOLS AND ACCESSORIES SEPARATORE MGO</t>
  </si>
  <si>
    <t>2050-9901-060</t>
  </si>
  <si>
    <t>PROTEZIONE DEL PERSONALE / DISPOSITIVI DI SICUREZZA CONTRO I GAS</t>
  </si>
  <si>
    <t>TOOL</t>
  </si>
  <si>
    <t xml:space="preserve">SET DI EQUIPAGGIAMENTO DI SICUREZZA </t>
  </si>
  <si>
    <t>APPARECCHIO DI RESPIRAZIONE AUTONOMO</t>
  </si>
  <si>
    <t>INDUMENTI PROTETTIVI</t>
  </si>
  <si>
    <t>LINEA DI VITA IGNIFUGA</t>
  </si>
  <si>
    <t>LAMPADA ANTIDEFLAGRANTE</t>
  </si>
  <si>
    <t>SET DI BOMBOLE DI RISERVA</t>
  </si>
  <si>
    <t>COMPRESSORE D’ARIA (ALTA PRESSIONE)</t>
  </si>
  <si>
    <t>COLLETTORE DI RICARICA</t>
  </si>
  <si>
    <t>BARELLA</t>
  </si>
  <si>
    <t>PARANCO 2000Kg</t>
  </si>
  <si>
    <t>STIRLING SUBCOOLER TOOL</t>
  </si>
  <si>
    <t>30.77_IOM</t>
  </si>
  <si>
    <t>NEUMAN&amp;ESSER VRC TOOL</t>
  </si>
  <si>
    <t>61000</t>
  </si>
  <si>
    <t>ACCESSORI DI ALLESTIMENTO</t>
  </si>
  <si>
    <t>61300</t>
  </si>
  <si>
    <t>CORDAMI, SARTIAME E TENDE</t>
  </si>
  <si>
    <t>61310</t>
  </si>
  <si>
    <t>61311</t>
  </si>
  <si>
    <t>GRUPPO TENDE OSCURANTI</t>
  </si>
  <si>
    <t>62000</t>
  </si>
  <si>
    <t>COMPARTIMENTAZIONE NON STRUTTURALE</t>
  </si>
  <si>
    <t>62300</t>
  </si>
  <si>
    <t>SCALE</t>
  </si>
  <si>
    <t>62310</t>
  </si>
  <si>
    <t>SCALE TRANNE LE SISTEMAZIONI</t>
  </si>
  <si>
    <t>62313</t>
  </si>
  <si>
    <t>PASSERELLE</t>
  </si>
  <si>
    <t>PASSERELLA IN ALLUMINIO CON CORRIMANO RITIRABILE 9M</t>
  </si>
  <si>
    <t>PASSERELLA IN ALLUMINIO CON CORRIMANO RITIRABILE 12M</t>
  </si>
  <si>
    <t>62400</t>
  </si>
  <si>
    <t>PORTE NON STRUTTURALI</t>
  </si>
  <si>
    <t>62410</t>
  </si>
  <si>
    <t>62412</t>
  </si>
  <si>
    <t>PORTE NON STRUTTURALI FUORI APPARATO MOTORE</t>
  </si>
  <si>
    <t>PORTA STANDARD</t>
  </si>
  <si>
    <t>MANIGLIA</t>
  </si>
  <si>
    <t>CERNIERA</t>
  </si>
  <si>
    <t>FERMAPORTA</t>
  </si>
  <si>
    <t>SERRATURA</t>
  </si>
  <si>
    <t>PORTA A CHIUSURA AUTOMATICA</t>
  </si>
  <si>
    <t>MECCANISMO DI CHIUSURA UTOMATICA</t>
  </si>
  <si>
    <t>PORTA STAGNE A GAS</t>
  </si>
  <si>
    <t>DISPOSITIVO DI ARRESTO E FISSAGGIO</t>
  </si>
  <si>
    <t>PORTA A TENUTA STAGNA</t>
  </si>
  <si>
    <t>62500</t>
  </si>
  <si>
    <t>PORTELLINI, FINESTRINI ED OBLÒ</t>
  </si>
  <si>
    <t>62510</t>
  </si>
  <si>
    <t>62511</t>
  </si>
  <si>
    <t>OBLÒ</t>
  </si>
  <si>
    <t>SISTEMA SBRINAMENTO VETRI PLANCIA</t>
  </si>
  <si>
    <t>SISTEMA TERGICRISTALLI VETRI PLANCIA</t>
  </si>
  <si>
    <t>SERBATOIO ACQUA DETERGENTE</t>
  </si>
  <si>
    <t>161</t>
  </si>
  <si>
    <t>63000</t>
  </si>
  <si>
    <t>PROTETTIVI E RIVESTIMENTI</t>
  </si>
  <si>
    <t>63300</t>
  </si>
  <si>
    <t>PROTEZIONE CATODICA</t>
  </si>
  <si>
    <t>63320</t>
  </si>
  <si>
    <t>PROTEZIONE CATODICA A CORRENTE IMPRESSA</t>
  </si>
  <si>
    <t>63321</t>
  </si>
  <si>
    <t>PROTEZIONE CATODICA A CORRENTE IMPRESSA (COMPONENTI)</t>
  </si>
  <si>
    <t>ICCP 150</t>
  </si>
  <si>
    <t>P-D-9171</t>
  </si>
  <si>
    <t>N0416 24 iccp150 SG118 KShips completa</t>
  </si>
  <si>
    <t>CELLE FRIGO (ACCESSORI, RIVESTIMENTI, ALLESTIMENTI)</t>
  </si>
  <si>
    <t>CELLE FRIGORIFERE DEI VIVERI DI BORDO</t>
  </si>
  <si>
    <t>CELLA FRIGORIFERA</t>
  </si>
  <si>
    <t>PULSANTE ALLARME</t>
  </si>
  <si>
    <t>64000</t>
  </si>
  <si>
    <t>AREE DI VITA</t>
  </si>
  <si>
    <t>64100</t>
  </si>
  <si>
    <t>ARREDAMENTO AREE DI VITA UFFICIALI</t>
  </si>
  <si>
    <t>64110</t>
  </si>
  <si>
    <t>QUADRATI UFFICIALI</t>
  </si>
  <si>
    <t>64111</t>
  </si>
  <si>
    <t>ARREDAMENTO DEL QUADRATO UFFICIALI</t>
  </si>
  <si>
    <t>CABINA DOPPIA</t>
  </si>
  <si>
    <t>SOGGIORNO</t>
  </si>
  <si>
    <t>FRIGORIFERO 60L</t>
  </si>
  <si>
    <t>CASSAFORTE</t>
  </si>
  <si>
    <t>STEREO CON LETTORE CD</t>
  </si>
  <si>
    <t>TV LED</t>
  </si>
  <si>
    <t>LETTORE DVD</t>
  </si>
  <si>
    <t>CAMERA DOPPIA</t>
  </si>
  <si>
    <t>CABINA SINGOLA</t>
  </si>
  <si>
    <t>TV</t>
  </si>
  <si>
    <t>CAMERA</t>
  </si>
  <si>
    <t xml:space="preserve">CABINA UFFICIALI </t>
  </si>
  <si>
    <t>CUCCETTA SINGOLA</t>
  </si>
  <si>
    <t>64120</t>
  </si>
  <si>
    <t>64121</t>
  </si>
  <si>
    <t>FRIGORIFERO 200L</t>
  </si>
  <si>
    <t>LETTORE DVD-VCR</t>
  </si>
  <si>
    <t>UNITÀ RADIO-CD</t>
  </si>
  <si>
    <t>ARREDAMENTO AREE DI VITA SOTTUFFICIALI</t>
  </si>
  <si>
    <t>ARREDAMENTO AREE DI VITA DEI SOTTUFFICIALI</t>
  </si>
  <si>
    <t xml:space="preserve">CABINA SOTTUFFICIALI </t>
  </si>
  <si>
    <t>CABINA PILOTA-ARMATORE</t>
  </si>
  <si>
    <t>CUCCETTA DOPPIA</t>
  </si>
  <si>
    <t>CABINA CUOCO</t>
  </si>
  <si>
    <t>ARREDAMENTO AREE DI VITA MARINAI</t>
  </si>
  <si>
    <t>64310</t>
  </si>
  <si>
    <t>64311</t>
  </si>
  <si>
    <t>CABINA EQUIPAGGIO</t>
  </si>
  <si>
    <t>MENSA MARINAI</t>
  </si>
  <si>
    <t>ARREDAMENTO MENSA MARINAI</t>
  </si>
  <si>
    <t>64400</t>
  </si>
  <si>
    <t>64410</t>
  </si>
  <si>
    <t>LOCALI IGIENE ED ACCESSORI</t>
  </si>
  <si>
    <t>64411</t>
  </si>
  <si>
    <t>ARREDI DEI LOCALI IGIENE ED ACCESSORI</t>
  </si>
  <si>
    <t>SPOGLIATOIO</t>
  </si>
  <si>
    <t>BAGNO</t>
  </si>
  <si>
    <t>WC</t>
  </si>
  <si>
    <t>LAVABO</t>
  </si>
  <si>
    <t xml:space="preserve">DOCCIA </t>
  </si>
  <si>
    <t>WC PUBBLICO</t>
  </si>
  <si>
    <t>MISCELATORE</t>
  </si>
  <si>
    <t>LAMPADA A SPECCHIO</t>
  </si>
  <si>
    <t>SPOGLIATOIO SUL PONTE</t>
  </si>
  <si>
    <t>BAGNO OSPEDALE</t>
  </si>
  <si>
    <t>DOCCIA MODULARE</t>
  </si>
  <si>
    <t>DOCCETTA CON TUBO FLEX</t>
  </si>
  <si>
    <t xml:space="preserve">ARMADIETTO CON LAMPADA INTEGRATA </t>
  </si>
  <si>
    <t>BAGNO CABINE</t>
  </si>
  <si>
    <t xml:space="preserve">ARMADIETTO CONLAMPADA INTEGRATA </t>
  </si>
  <si>
    <t>BAGNO PLANCIA</t>
  </si>
  <si>
    <t>ARREDAMENTO AREE DI SVAGO</t>
  </si>
  <si>
    <t>ARREDI AREE DI SVAGO</t>
  </si>
  <si>
    <t>PALESTRA</t>
  </si>
  <si>
    <t>CYCLETTE</t>
  </si>
  <si>
    <t>VOGATORE</t>
  </si>
  <si>
    <t>SALA FUMATORI</t>
  </si>
  <si>
    <t>65000</t>
  </si>
  <si>
    <t>AREE DI SERVIZIO</t>
  </si>
  <si>
    <t>65100</t>
  </si>
  <si>
    <t>AREE PER PREPARAZIONE ALIMENTI E SERVIZI COLLEGATI</t>
  </si>
  <si>
    <t>65110</t>
  </si>
  <si>
    <t>ARREDAMENTO DELLE AREE PER PREPARAZIONE ALIMENTI E SERVIZI COLLEGATI</t>
  </si>
  <si>
    <t>65111</t>
  </si>
  <si>
    <t>ATTREZZATURE ED ARREDIDELLE AREE PER PREPARAZIONE ALIMENTI</t>
  </si>
  <si>
    <t>CUCINA</t>
  </si>
  <si>
    <t>PIANO COTTURA ELETTRICO</t>
  </si>
  <si>
    <t>FORNO A CONVEZIONE</t>
  </si>
  <si>
    <t>FRIGGITRICE</t>
  </si>
  <si>
    <t>FORNO A FICROONDE</t>
  </si>
  <si>
    <t>FORNO PER PANE</t>
  </si>
  <si>
    <t>FRIGORIFERO 400L</t>
  </si>
  <si>
    <t>CONGELATORE 100 L</t>
  </si>
  <si>
    <t>ROBOT CUCINA MULTIUSO</t>
  </si>
  <si>
    <t>IMPASTATRICE</t>
  </si>
  <si>
    <t>AFFETTATRICE</t>
  </si>
  <si>
    <t>SEGHETTO ELETTRICO</t>
  </si>
  <si>
    <t>CUOCIRISO</t>
  </si>
  <si>
    <t>LAVELLO DOPPIO</t>
  </si>
  <si>
    <t>MISCELATORE DOPPIO GIREVOLE</t>
  </si>
  <si>
    <t>MACCHINA CAFFÈ ESPRESSO</t>
  </si>
  <si>
    <t>MACCHINA CAFFÈ AMERICANO</t>
  </si>
  <si>
    <t>DISPENSA</t>
  </si>
  <si>
    <t>LAVELLO PER LAVAGGIO MANI</t>
  </si>
  <si>
    <t xml:space="preserve">MISCELATORE DOPPIO ORIENTABILE (LUNGHEZZA CIRCA 600 MM) </t>
  </si>
  <si>
    <t>CONTENITORE DEI RIFIUTI CON COPERCHIO</t>
  </si>
  <si>
    <t>MISCELATORE DOPPIO ORIENTABILE</t>
  </si>
  <si>
    <t>LAVASTOVIGLIE</t>
  </si>
  <si>
    <t>PIASTRA CALDA</t>
  </si>
  <si>
    <t>FRIGORIFERO 100 LITRI</t>
  </si>
  <si>
    <t>MACCHINA DA CAFFÈ</t>
  </si>
  <si>
    <t>65200</t>
  </si>
  <si>
    <t>AREE DEL SERVIZIO SANITARIO</t>
  </si>
  <si>
    <t>65210</t>
  </si>
  <si>
    <t>ARREDAMENTO DELLE AREE DEL SERVIZIO SANITARIO</t>
  </si>
  <si>
    <t>65211</t>
  </si>
  <si>
    <t>ATTREZZATURE ED ARREDI DEL SERVIZIO SANITARIO</t>
  </si>
  <si>
    <t>LOCALE OSPEDALE</t>
  </si>
  <si>
    <t>ARMADIETTO OCN SERRATURA</t>
  </si>
  <si>
    <t>65212</t>
  </si>
  <si>
    <t>ARMADIETTO REFRIGERATO CON SERRATURA</t>
  </si>
  <si>
    <t>LAVANDERIA</t>
  </si>
  <si>
    <t>ARREDI DELLA LAVANDERIA</t>
  </si>
  <si>
    <t>APPARECCHIATURE DELLA LAVANDERIA</t>
  </si>
  <si>
    <t xml:space="preserve">LAVATRICI INDUSTRIALI, 12 KG </t>
  </si>
  <si>
    <t xml:space="preserve">ASCIUGATRICE A TAMBURO </t>
  </si>
  <si>
    <t>RULLO PER BUCATO</t>
  </si>
  <si>
    <t xml:space="preserve">LAVATOIO IN ACCIAIO INOX </t>
  </si>
  <si>
    <t xml:space="preserve">FERRI DA STIRO </t>
  </si>
  <si>
    <t xml:space="preserve">ASSE DA STIRO </t>
  </si>
  <si>
    <t>BARRA APPENDIABITI</t>
  </si>
  <si>
    <t>MOBILETTO PER LA BIANCHERIA</t>
  </si>
  <si>
    <t>65600</t>
  </si>
  <si>
    <t>AREE STOCCAGGIO / ELIMINAZIONE RIFIUTI</t>
  </si>
  <si>
    <t>65610</t>
  </si>
  <si>
    <t>ARREDAMENTO AREE STOCCAGGIO / ELIMINAZIONE RIFIUTI</t>
  </si>
  <si>
    <t>65611</t>
  </si>
  <si>
    <t>ARREDAMENTO AREE STOCCAGGIO / ELIMINAZIONE RIFIUTI (COMPONENTI)</t>
  </si>
  <si>
    <t>BIDONE RIFIUTI</t>
  </si>
  <si>
    <t xml:space="preserve">COMPATTATORE RIFIUTI </t>
  </si>
  <si>
    <t>66000</t>
  </si>
  <si>
    <t>AREE DI LAVORO</t>
  </si>
  <si>
    <t>66100</t>
  </si>
  <si>
    <t>SEGRETERIE ED UFFICI</t>
  </si>
  <si>
    <t>66110</t>
  </si>
  <si>
    <t>ARREDAMENTO SEGRETERIE ED UFFICI</t>
  </si>
  <si>
    <t>66111</t>
  </si>
  <si>
    <t>ARREDI SEGRETERIE ED UFFICI</t>
  </si>
  <si>
    <t>66200</t>
  </si>
  <si>
    <t>CENTRALI DI CONTROLLO</t>
  </si>
  <si>
    <t>66210</t>
  </si>
  <si>
    <t>ARREDAMENTO CENTRALI DI CONTROLLO (COP)</t>
  </si>
  <si>
    <t>66211</t>
  </si>
  <si>
    <t>ARREDI DELLA COP</t>
  </si>
  <si>
    <t>SALA DI CONTROLLO MACCHINE</t>
  </si>
  <si>
    <t>SEDIA GIREVOLE</t>
  </si>
  <si>
    <t>SALA DI CONTROLLO DEL CARICO</t>
  </si>
  <si>
    <t>MONITOR</t>
  </si>
  <si>
    <t>ARMADIO DI CONTROLLO POMPE-VALVOLE</t>
  </si>
  <si>
    <t>CENTRALI DI SICUREZZA</t>
  </si>
  <si>
    <t>ARREDAMENTO CENTRALI DI SICUREZZA (COP)</t>
  </si>
  <si>
    <t>ARREDI DELLA CS</t>
  </si>
  <si>
    <t>POSTAZIONE ANTINCENDIO</t>
  </si>
  <si>
    <t>MANICHETTA ANTINCENDIO</t>
  </si>
  <si>
    <t>ESTINTORE A CO2</t>
  </si>
  <si>
    <t>ESTINTORE A POLVERE</t>
  </si>
  <si>
    <t>STIPETTI DI SICUREZZA</t>
  </si>
  <si>
    <t>AUTORESPIRATORE (EEBD)</t>
  </si>
  <si>
    <t xml:space="preserve">DIVISA DEL POMPIERE </t>
  </si>
  <si>
    <t>POSTAZIONE ANTINCENDIO (controllo danno)</t>
  </si>
  <si>
    <t>CONSOLLE CONTROLLO</t>
  </si>
  <si>
    <t>PLANCIA</t>
  </si>
  <si>
    <t>SEDIA REGOLABILE SCORREVOLE</t>
  </si>
  <si>
    <t>FRIGORIFERO 90L</t>
  </si>
  <si>
    <t>STAZIONE RADIO</t>
  </si>
  <si>
    <t>STAZIONE CARTEGGIO</t>
  </si>
  <si>
    <t>66500</t>
  </si>
  <si>
    <t>OFFICINE, LABORATORI, AREE DI PROVA</t>
  </si>
  <si>
    <t>66510</t>
  </si>
  <si>
    <t>ARREDAMENTO LABORATORI ED AREE DI PROVA MECCANICI/ELETTRICI</t>
  </si>
  <si>
    <t>66511</t>
  </si>
  <si>
    <t>ARREDI, APPARECCHIATURE E STRUMENTAZIONE DEI LABORATORI ED AREE DI TEST MEC. - E.</t>
  </si>
  <si>
    <t>GRUPPO MACCHINARI, ATTREZZATURE DI TAGLIO E SALDATURA</t>
  </si>
  <si>
    <t xml:space="preserve">TORNIO </t>
  </si>
  <si>
    <t>T080F/440V/60</t>
  </si>
  <si>
    <t>128</t>
  </si>
  <si>
    <t>TRAPANO A COLONNA DA BANCO</t>
  </si>
  <si>
    <t>T072/440V/60</t>
  </si>
  <si>
    <t>129</t>
  </si>
  <si>
    <t xml:space="preserve">TRAPANO MANUALE </t>
  </si>
  <si>
    <t xml:space="preserve">MOLA A DOPPIO DISCO Ø 250 MM </t>
  </si>
  <si>
    <t>130</t>
  </si>
  <si>
    <t xml:space="preserve">AVVITATORE PNEUMATICO </t>
  </si>
  <si>
    <t>LAPPATRICE PER VALVOLE ELETTRICA</t>
  </si>
  <si>
    <t>SEGA DA TAGLIO ELETTRICA</t>
  </si>
  <si>
    <t>ELECTRIC WELDING SET</t>
  </si>
  <si>
    <t>131</t>
  </si>
  <si>
    <t>TRASFORMATORE DI SALDATURA</t>
  </si>
  <si>
    <t xml:space="preserve">SALDATRICE TIG PER ACCIAIO INOX 250 A </t>
  </si>
  <si>
    <t>SALDATRICE DC TRASPORTABILE</t>
  </si>
  <si>
    <t>ARMADIO IN ACCIAIO PER BOMBOLE GAS</t>
  </si>
  <si>
    <t>OXYACETYLENE SET</t>
  </si>
  <si>
    <t>132</t>
  </si>
  <si>
    <t xml:space="preserve">BOMBOLA OSSIGENO 40 LITRI MARCA UNITOR </t>
  </si>
  <si>
    <t xml:space="preserve">BOMBOLA ACETILENE 40 LITRI MARCA UNITOR </t>
  </si>
  <si>
    <t xml:space="preserve">TESTE DI PRERISCALDO </t>
  </si>
  <si>
    <t>GRUPPO TUBI FLESSIBILI</t>
  </si>
  <si>
    <t>50M</t>
  </si>
  <si>
    <t>GRUPPO STRUMENTAZIONE ATTREZZATURE LOCALE MAGAZZINO</t>
  </si>
  <si>
    <t>TAVOLO DA LAVORO IN ACCIAIO CON DOPPIA MORSA</t>
  </si>
  <si>
    <t>134</t>
  </si>
  <si>
    <t>PUNTA DA TRAPANO SCALPELLO PIALLA</t>
  </si>
  <si>
    <t>TRAPANO</t>
  </si>
  <si>
    <t>PIETRA UMIDA</t>
  </si>
  <si>
    <t>CASSETTA ATTREZZI</t>
  </si>
  <si>
    <t>MARTELLO</t>
  </si>
  <si>
    <t>MANDRINO AUTOSERRANTE</t>
  </si>
  <si>
    <t>BACCHETTA DA SALDATURA</t>
  </si>
  <si>
    <t xml:space="preserve">CAVO SECONDARI 5 M CON CONNETTORE A SPINA </t>
  </si>
  <si>
    <t xml:space="preserve">PROLUNGA 20 M CON CONNETTORE </t>
  </si>
  <si>
    <t>TERMINALE DI ALIMENTAZIONE PRIMARIA</t>
  </si>
  <si>
    <t>GRUPPO DI PROVA VALVOLE CARBURANTE</t>
  </si>
  <si>
    <t>GRUPPO DISPOSITIVI VARI SICUREZZA</t>
  </si>
  <si>
    <t>VISIERA PROTETTIVA</t>
  </si>
  <si>
    <t>CASCO</t>
  </si>
  <si>
    <t>SPAZZOLA METALLICA</t>
  </si>
  <si>
    <t>GUANTO IN PELLE</t>
  </si>
  <si>
    <t>GREMBIULE DA SALDATURA</t>
  </si>
  <si>
    <t>LENTE PER CASCO BIANCA</t>
  </si>
  <si>
    <t>LENTE PER CASCO NERA</t>
  </si>
  <si>
    <t>LENTE PER VISIERA PROTETTIVA BIANCA</t>
  </si>
  <si>
    <t>LENTE PER VISIERA PROTETTIVA NERA</t>
  </si>
  <si>
    <t>66520</t>
  </si>
  <si>
    <t>ARREDAMENTO LABORATORI ED AREE DI PROVA PER ELETTRONICA</t>
  </si>
  <si>
    <t>66521</t>
  </si>
  <si>
    <t>ARREDI, APPARECCHIATURE E STRUMENTAZIONELABORATORI ED ARE DITEST ELETTRONICI</t>
  </si>
  <si>
    <t>PANNELLO DI PROVA</t>
  </si>
  <si>
    <t>133</t>
  </si>
  <si>
    <t xml:space="preserve">SET TERMINALI DI PROVA PER 440V AC 3PH 60HZ 10A </t>
  </si>
  <si>
    <t xml:space="preserve">SET TERMINALI DI PROVA PER 220V AC 1PH 5A </t>
  </si>
  <si>
    <t xml:space="preserve">SET TERMINALI DI PROVA PER 24V DC 5A </t>
  </si>
  <si>
    <t xml:space="preserve">VOLTOMETRO AC PER 690V AC </t>
  </si>
  <si>
    <t xml:space="preserve">VOLTOMETRO AC CON COMMUTATORE DI SELEZIONE PER 440V E 220V AC </t>
  </si>
  <si>
    <t xml:space="preserve">VOLTOMETRO DC PER 24V DC </t>
  </si>
  <si>
    <t>AMPEROMETRO 50A</t>
  </si>
  <si>
    <t xml:space="preserve">SET CON STRUMENTO PER TEST DEI FUSIBILI </t>
  </si>
  <si>
    <t xml:space="preserve">INTERRUTTORE AUTOMATICO </t>
  </si>
  <si>
    <t>LAMPADA SPIA SORGENTE</t>
  </si>
  <si>
    <t>PULSANTE DI EMERGENZA PER INTERRUZIONE DI CORRENTE</t>
  </si>
  <si>
    <t>BANCO DA LAVORO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</si>
</sst>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E+00"/>
  </numFmts>
  <fonts count="11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Play"/>
    </font>
    <font>
      <color theme="1"/>
      <name val="Calibri"/>
    </font>
    <font>
      <color theme="1"/>
      <name val="Play"/>
    </font>
    <font>
      <b/>
      <sz val="11.0"/>
      <color theme="1"/>
      <name val="Aptos Narrow"/>
    </font>
    <font>
      <b/>
      <sz val="11.0"/>
      <color theme="1"/>
      <name val="Play"/>
    </font>
    <font>
      <b/>
      <sz val="11.0"/>
      <color theme="1"/>
      <name val="Calibri"/>
    </font>
    <font>
      <b/>
      <color theme="1"/>
      <name val="Play"/>
    </font>
    <font>
      <sz val="11.0"/>
      <color theme="1"/>
      <name val="Calibri"/>
    </font>
    <font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0F9ED5"/>
        <bgColor rgb="FF0F9ED5"/>
      </patternFill>
    </fill>
    <fill>
      <patternFill patternType="solid">
        <fgColor rgb="FF44B3E1"/>
        <bgColor rgb="FF44B3E1"/>
      </patternFill>
    </fill>
    <fill>
      <patternFill patternType="solid">
        <fgColor rgb="FF83CCEB"/>
        <bgColor rgb="FF83CCEB"/>
      </patternFill>
    </fill>
    <fill>
      <patternFill patternType="solid">
        <fgColor rgb="FF83CAEB"/>
        <bgColor rgb="FF83CAEB"/>
      </patternFill>
    </fill>
    <fill>
      <patternFill patternType="solid">
        <fgColor rgb="FFC0E6F5"/>
        <bgColor rgb="FFC0E6F5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45B0E1"/>
        <bgColor rgb="FF45B0E1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4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quotePrefix="1" borderId="1" fillId="0" fontId="4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2" fontId="5" numFmtId="0" xfId="0" applyAlignment="1" applyBorder="1" applyFill="1" applyFont="1">
      <alignment horizontal="center" shrinkToFit="0" wrapText="1"/>
    </xf>
    <xf borderId="1" fillId="2" fontId="5" numFmtId="49" xfId="0" applyAlignment="1" applyBorder="1" applyFont="1" applyNumberFormat="1">
      <alignment horizontal="center" shrinkToFit="0" wrapText="1"/>
    </xf>
    <xf borderId="1" fillId="2" fontId="6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center" shrinkToFit="0" wrapText="1"/>
    </xf>
    <xf borderId="1" fillId="2" fontId="6" numFmtId="49" xfId="0" applyAlignment="1" applyBorder="1" applyFont="1" applyNumberFormat="1">
      <alignment horizontal="center" shrinkToFit="0" wrapText="1"/>
    </xf>
    <xf borderId="1" fillId="3" fontId="1" numFmtId="0" xfId="0" applyBorder="1" applyFill="1" applyFont="1"/>
    <xf borderId="1" fillId="2" fontId="8" numFmtId="0" xfId="0" applyAlignment="1" applyBorder="1" applyFont="1">
      <alignment horizontal="center" shrinkToFit="0" wrapText="1"/>
    </xf>
    <xf borderId="3" fillId="2" fontId="6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vertical="bottom"/>
    </xf>
    <xf borderId="1" fillId="4" fontId="7" numFmtId="0" xfId="0" applyAlignment="1" applyBorder="1" applyFill="1" applyFont="1">
      <alignment horizontal="center" vertical="bottom"/>
    </xf>
    <xf borderId="1" fillId="4" fontId="5" numFmtId="49" xfId="0" applyAlignment="1" applyBorder="1" applyFont="1" applyNumberFormat="1">
      <alignment horizontal="center" vertical="bottom"/>
    </xf>
    <xf borderId="1" fillId="4" fontId="1" numFmtId="49" xfId="0" applyAlignment="1" applyBorder="1" applyFont="1" applyNumberFormat="1">
      <alignment vertical="bottom"/>
    </xf>
    <xf borderId="1" fillId="4" fontId="7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4" fontId="6" numFmtId="0" xfId="0" applyAlignment="1" applyBorder="1" applyFont="1">
      <alignment horizontal="center" shrinkToFit="0" vertical="bottom" wrapText="1"/>
    </xf>
    <xf borderId="1" fillId="4" fontId="5" numFmtId="0" xfId="0" applyAlignment="1" applyBorder="1" applyFont="1">
      <alignment horizontal="center" vertical="bottom"/>
    </xf>
    <xf borderId="3" fillId="4" fontId="1" numFmtId="0" xfId="0" applyAlignment="1" applyBorder="1" applyFont="1">
      <alignment vertical="bottom"/>
    </xf>
    <xf borderId="1" fillId="5" fontId="7" numFmtId="0" xfId="0" applyAlignment="1" applyBorder="1" applyFill="1" applyFont="1">
      <alignment horizontal="center" vertical="bottom"/>
    </xf>
    <xf borderId="1" fillId="5" fontId="5" numFmtId="49" xfId="0" applyAlignment="1" applyBorder="1" applyFont="1" applyNumberFormat="1">
      <alignment horizontal="center" vertical="bottom"/>
    </xf>
    <xf borderId="1" fillId="5" fontId="1" numFmtId="49" xfId="0" applyAlignment="1" applyBorder="1" applyFont="1" applyNumberFormat="1">
      <alignment vertical="bottom"/>
    </xf>
    <xf borderId="1" fillId="5" fontId="7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5" fontId="6" numFmtId="0" xfId="0" applyAlignment="1" applyBorder="1" applyFont="1">
      <alignment horizontal="center" shrinkToFit="0" vertical="bottom" wrapText="1"/>
    </xf>
    <xf borderId="1" fillId="5" fontId="5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1" fillId="6" fontId="7" numFmtId="0" xfId="0" applyAlignment="1" applyBorder="1" applyFill="1" applyFont="1">
      <alignment horizontal="center" vertical="bottom"/>
    </xf>
    <xf borderId="1" fillId="6" fontId="5" numFmtId="49" xfId="0" applyAlignment="1" applyBorder="1" applyFont="1" applyNumberFormat="1">
      <alignment horizontal="center" vertical="bottom"/>
    </xf>
    <xf borderId="1" fillId="6" fontId="1" numFmtId="49" xfId="0" applyAlignment="1" applyBorder="1" applyFont="1" applyNumberFormat="1">
      <alignment vertical="bottom"/>
    </xf>
    <xf borderId="1" fillId="6" fontId="7" numFmtId="0" xfId="0" applyAlignment="1" applyBorder="1" applyFont="1">
      <alignment vertical="bottom"/>
    </xf>
    <xf borderId="1" fillId="7" fontId="1" numFmtId="0" xfId="0" applyAlignment="1" applyBorder="1" applyFill="1" applyFont="1">
      <alignment vertical="bottom"/>
    </xf>
    <xf borderId="1" fillId="7" fontId="6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vertical="bottom"/>
    </xf>
    <xf borderId="1" fillId="6" fontId="5" numFmtId="0" xfId="0" applyAlignment="1" applyBorder="1" applyFont="1">
      <alignment horizontal="center" vertical="bottom"/>
    </xf>
    <xf borderId="3" fillId="7" fontId="1" numFmtId="0" xfId="0" applyAlignment="1" applyBorder="1" applyFont="1">
      <alignment vertical="bottom"/>
    </xf>
    <xf borderId="1" fillId="8" fontId="7" numFmtId="0" xfId="0" applyAlignment="1" applyBorder="1" applyFill="1" applyFont="1">
      <alignment horizontal="center" vertical="bottom"/>
    </xf>
    <xf borderId="1" fillId="8" fontId="5" numFmtId="49" xfId="0" applyAlignment="1" applyBorder="1" applyFont="1" applyNumberFormat="1">
      <alignment horizontal="center" vertical="bottom"/>
    </xf>
    <xf borderId="1" fillId="8" fontId="1" numFmtId="49" xfId="0" applyAlignment="1" applyBorder="1" applyFont="1" applyNumberFormat="1">
      <alignment vertical="bottom"/>
    </xf>
    <xf borderId="1" fillId="8" fontId="7" numFmtId="0" xfId="0" applyAlignment="1" applyBorder="1" applyFont="1">
      <alignment vertical="bottom"/>
    </xf>
    <xf borderId="1" fillId="9" fontId="1" numFmtId="0" xfId="0" applyAlignment="1" applyBorder="1" applyFill="1" applyFont="1">
      <alignment vertical="bottom"/>
    </xf>
    <xf borderId="1" fillId="9" fontId="6" numFmtId="0" xfId="0" applyAlignment="1" applyBorder="1" applyFont="1">
      <alignment horizontal="center" shrinkToFit="0" vertical="bottom" wrapText="1"/>
    </xf>
    <xf borderId="1" fillId="8" fontId="1" numFmtId="0" xfId="0" applyAlignment="1" applyBorder="1" applyFont="1">
      <alignment vertical="bottom"/>
    </xf>
    <xf borderId="1" fillId="8" fontId="5" numFmtId="0" xfId="0" applyAlignment="1" applyBorder="1" applyFont="1">
      <alignment horizontal="center" vertical="bottom"/>
    </xf>
    <xf borderId="3" fillId="9" fontId="1" numFmtId="0" xfId="0" applyAlignment="1" applyBorder="1" applyFont="1">
      <alignment vertical="bottom"/>
    </xf>
    <xf borderId="1" fillId="10" fontId="9" numFmtId="0" xfId="0" applyAlignment="1" applyBorder="1" applyFill="1" applyFont="1">
      <alignment horizontal="center" vertical="bottom"/>
    </xf>
    <xf borderId="1" fillId="10" fontId="9" numFmtId="49" xfId="0" applyAlignment="1" applyBorder="1" applyFont="1" applyNumberFormat="1">
      <alignment horizontal="center" vertical="bottom"/>
    </xf>
    <xf borderId="1" fillId="10" fontId="1" numFmtId="49" xfId="0" applyAlignment="1" applyBorder="1" applyFont="1" applyNumberFormat="1">
      <alignment vertical="bottom"/>
    </xf>
    <xf borderId="1" fillId="10" fontId="9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1" fillId="10" fontId="3" numFmtId="0" xfId="0" applyAlignment="1" applyBorder="1" applyFont="1">
      <alignment vertical="bottom"/>
    </xf>
    <xf borderId="1" fillId="10" fontId="2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1" fillId="10" fontId="6" numFmtId="0" xfId="0" applyAlignment="1" applyBorder="1" applyFont="1">
      <alignment horizontal="center" vertical="bottom"/>
    </xf>
    <xf borderId="3" fillId="10" fontId="1" numFmtId="0" xfId="0" applyAlignment="1" applyBorder="1" applyFont="1">
      <alignment vertical="bottom"/>
    </xf>
    <xf borderId="4" fillId="10" fontId="1" numFmtId="0" xfId="0" applyAlignment="1" applyBorder="1" applyFont="1">
      <alignment vertical="bottom"/>
    </xf>
    <xf borderId="1" fillId="10" fontId="7" numFmtId="0" xfId="0" applyAlignment="1" applyBorder="1" applyFont="1">
      <alignment horizontal="center" vertical="bottom"/>
    </xf>
    <xf borderId="1" fillId="10" fontId="5" numFmtId="49" xfId="0" applyAlignment="1" applyBorder="1" applyFont="1" applyNumberFormat="1">
      <alignment horizontal="center" vertical="bottom"/>
    </xf>
    <xf borderId="1" fillId="10" fontId="7" numFmtId="0" xfId="0" applyAlignment="1" applyBorder="1" applyFont="1">
      <alignment vertical="bottom"/>
    </xf>
    <xf borderId="1" fillId="10" fontId="6" numFmtId="0" xfId="0" applyAlignment="1" applyBorder="1" applyFont="1">
      <alignment horizontal="center" shrinkToFit="0" vertical="bottom" wrapText="1"/>
    </xf>
    <xf borderId="1" fillId="10" fontId="5" numFmtId="0" xfId="0" applyAlignment="1" applyBorder="1" applyFont="1">
      <alignment horizontal="center" vertical="bottom"/>
    </xf>
    <xf borderId="1" fillId="10" fontId="1" numFmtId="0" xfId="0" applyAlignment="1" applyBorder="1" applyFont="1">
      <alignment horizontal="center" vertical="bottom"/>
    </xf>
    <xf borderId="1" fillId="10" fontId="1" numFmtId="49" xfId="0" applyAlignment="1" applyBorder="1" applyFont="1" applyNumberFormat="1">
      <alignment horizontal="center" vertical="bottom"/>
    </xf>
    <xf borderId="1" fillId="10" fontId="4" numFmtId="0" xfId="0" applyAlignment="1" applyBorder="1" applyFont="1">
      <alignment horizontal="center" vertical="bottom"/>
    </xf>
    <xf borderId="1" fillId="10" fontId="4" numFmtId="49" xfId="0" applyAlignment="1" applyBorder="1" applyFont="1" applyNumberFormat="1">
      <alignment horizontal="center" vertical="bottom"/>
    </xf>
    <xf borderId="1" fillId="11" fontId="1" numFmtId="0" xfId="0" applyAlignment="1" applyBorder="1" applyFill="1" applyFont="1">
      <alignment vertical="bottom"/>
    </xf>
    <xf borderId="1" fillId="11" fontId="6" numFmtId="0" xfId="0" applyAlignment="1" applyBorder="1" applyFont="1">
      <alignment horizontal="center" shrinkToFit="0" vertical="bottom" wrapText="1"/>
    </xf>
    <xf borderId="3" fillId="11" fontId="1" numFmtId="0" xfId="0" applyAlignment="1" applyBorder="1" applyFont="1">
      <alignment vertical="bottom"/>
    </xf>
    <xf borderId="1" fillId="10" fontId="3" numFmtId="49" xfId="0" applyAlignment="1" applyBorder="1" applyFont="1" applyNumberFormat="1">
      <alignment horizontal="center" vertical="bottom"/>
    </xf>
    <xf borderId="1" fillId="10" fontId="9" numFmtId="0" xfId="0" applyAlignment="1" applyBorder="1" applyFont="1">
      <alignment horizontal="right" vertical="bottom"/>
    </xf>
    <xf borderId="1" fillId="10" fontId="1" numFmtId="49" xfId="0" applyBorder="1" applyFont="1" applyNumberFormat="1"/>
    <xf borderId="1" fillId="10" fontId="3" numFmtId="0" xfId="0" applyBorder="1" applyFont="1"/>
    <xf borderId="1" fillId="10" fontId="1" numFmtId="0" xfId="0" applyBorder="1" applyFont="1"/>
    <xf borderId="1" fillId="10" fontId="3" numFmtId="0" xfId="0" applyAlignment="1" applyBorder="1" applyFont="1">
      <alignment horizontal="center"/>
    </xf>
    <xf borderId="3" fillId="10" fontId="1" numFmtId="0" xfId="0" applyBorder="1" applyFont="1"/>
    <xf borderId="1" fillId="10" fontId="4" numFmtId="0" xfId="0" applyAlignment="1" applyBorder="1" applyFont="1">
      <alignment horizontal="center"/>
    </xf>
    <xf borderId="5" fillId="10" fontId="1" numFmtId="49" xfId="0" applyBorder="1" applyFont="1" applyNumberFormat="1"/>
    <xf borderId="5" fillId="10" fontId="3" numFmtId="0" xfId="0" applyBorder="1" applyFont="1"/>
    <xf borderId="5" fillId="10" fontId="3" numFmtId="0" xfId="0" applyAlignment="1" applyBorder="1" applyFont="1">
      <alignment horizontal="center"/>
    </xf>
    <xf borderId="5" fillId="10" fontId="1" numFmtId="0" xfId="0" applyBorder="1" applyFont="1"/>
    <xf borderId="6" fillId="10" fontId="1" numFmtId="0" xfId="0" applyBorder="1" applyFont="1"/>
    <xf borderId="1" fillId="10" fontId="4" numFmtId="0" xfId="0" applyAlignment="1" applyBorder="1" applyFont="1">
      <alignment vertical="bottom"/>
    </xf>
    <xf borderId="1" fillId="10" fontId="2" numFmtId="0" xfId="0" applyAlignment="1" applyBorder="1" applyFont="1">
      <alignment vertical="bottom"/>
    </xf>
    <xf borderId="1" fillId="10" fontId="2" numFmtId="0" xfId="0" applyAlignment="1" applyBorder="1" applyFont="1">
      <alignment horizontal="right" vertical="bottom"/>
    </xf>
    <xf borderId="1" fillId="0" fontId="1" numFmtId="49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1" fillId="10" fontId="2" numFmtId="49" xfId="0" applyAlignment="1" applyBorder="1" applyFont="1" applyNumberFormat="1">
      <alignment horizontal="center" vertical="bottom"/>
    </xf>
    <xf borderId="1" fillId="10" fontId="6" numFmtId="49" xfId="0" applyAlignment="1" applyBorder="1" applyFont="1" applyNumberFormat="1">
      <alignment horizontal="center" vertical="bottom"/>
    </xf>
    <xf borderId="1" fillId="8" fontId="5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5" fontId="5" numFmtId="0" xfId="0" applyAlignment="1" applyBorder="1" applyFont="1">
      <alignment vertical="bottom"/>
    </xf>
    <xf borderId="1" fillId="10" fontId="9" numFmtId="49" xfId="0" applyAlignment="1" applyBorder="1" applyFont="1" applyNumberFormat="1">
      <alignment vertical="bottom"/>
    </xf>
    <xf borderId="1" fillId="6" fontId="5" numFmtId="0" xfId="0" applyAlignment="1" applyBorder="1" applyFont="1">
      <alignment vertical="bottom"/>
    </xf>
    <xf quotePrefix="1" borderId="1" fillId="10" fontId="1" numFmtId="49" xfId="0" applyAlignment="1" applyBorder="1" applyFont="1" applyNumberFormat="1">
      <alignment horizontal="center" vertical="bottom"/>
    </xf>
    <xf borderId="7" fillId="10" fontId="3" numFmtId="0" xfId="0" applyAlignment="1" applyBorder="1" applyFont="1">
      <alignment vertical="bottom"/>
    </xf>
    <xf borderId="1" fillId="9" fontId="6" numFmtId="0" xfId="0" applyAlignment="1" applyBorder="1" applyFont="1">
      <alignment horizontal="center" vertical="bottom"/>
    </xf>
    <xf borderId="1" fillId="0" fontId="10" numFmtId="49" xfId="0" applyAlignment="1" applyBorder="1" applyFont="1" applyNumberFormat="1">
      <alignment horizontal="center" vertical="bottom"/>
    </xf>
    <xf quotePrefix="1" borderId="1" fillId="0" fontId="3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1" fillId="10" fontId="5" numFmtId="0" xfId="0" applyAlignment="1" applyBorder="1" applyFont="1">
      <alignment vertical="bottom"/>
    </xf>
    <xf borderId="1" fillId="10" fontId="5" numFmtId="0" xfId="0" applyBorder="1" applyFont="1"/>
    <xf borderId="1" fillId="10" fontId="10" numFmtId="0" xfId="0" applyAlignment="1" applyBorder="1" applyFont="1">
      <alignment vertical="bottom"/>
    </xf>
    <xf borderId="1" fillId="10" fontId="10" numFmtId="0" xfId="0" applyAlignment="1" applyBorder="1" applyFont="1">
      <alignment horizontal="center" vertical="bottom"/>
    </xf>
    <xf borderId="1" fillId="10" fontId="10" numFmtId="49" xfId="0" applyAlignment="1" applyBorder="1" applyFont="1" applyNumberFormat="1">
      <alignment horizontal="center" vertical="bottom"/>
    </xf>
    <xf borderId="1" fillId="10" fontId="10" numFmtId="49" xfId="0" applyAlignment="1" applyBorder="1" applyFont="1" applyNumberFormat="1">
      <alignment vertical="bottom"/>
    </xf>
    <xf quotePrefix="1" borderId="1" fillId="10" fontId="4" numFmtId="0" xfId="0" applyAlignment="1" applyBorder="1" applyFont="1">
      <alignment horizontal="center" vertical="bottom"/>
    </xf>
    <xf borderId="1" fillId="10" fontId="10" numFmtId="0" xfId="0" applyBorder="1" applyFont="1"/>
    <xf borderId="1" fillId="10" fontId="10" numFmtId="49" xfId="0" applyAlignment="1" applyBorder="1" applyFont="1" applyNumberFormat="1">
      <alignment horizontal="center"/>
    </xf>
    <xf borderId="1" fillId="10" fontId="10" numFmtId="0" xfId="0" applyAlignment="1" applyBorder="1" applyFont="1">
      <alignment horizontal="center"/>
    </xf>
    <xf borderId="1" fillId="10" fontId="1" numFmtId="0" xfId="0" applyAlignment="1" applyBorder="1" applyFont="1">
      <alignment horizontal="center"/>
    </xf>
    <xf borderId="1" fillId="10" fontId="1" numFmtId="164" xfId="0" applyAlignment="1" applyBorder="1" applyFont="1" applyNumberFormat="1">
      <alignment vertical="bottom"/>
    </xf>
    <xf borderId="1" fillId="10" fontId="1" numFmtId="49" xfId="0" applyAlignment="1" applyBorder="1" applyFont="1" applyNumberFormat="1">
      <alignment horizontal="center"/>
    </xf>
    <xf borderId="1" fillId="10" fontId="4" numFmtId="2" xfId="0" applyAlignment="1" applyBorder="1" applyFont="1" applyNumberFormat="1">
      <alignment horizontal="center" vertical="bottom"/>
    </xf>
    <xf borderId="1" fillId="10" fontId="2" numFmtId="2" xfId="0" applyAlignment="1" applyBorder="1" applyFont="1" applyNumberFormat="1">
      <alignment horizontal="right" vertical="bottom"/>
    </xf>
    <xf borderId="1" fillId="10" fontId="1" numFmtId="2" xfId="0" applyAlignment="1" applyBorder="1" applyFont="1" applyNumberFormat="1">
      <alignment vertical="bottom"/>
    </xf>
    <xf borderId="1" fillId="10" fontId="4" numFmtId="0" xfId="0" applyAlignment="1" applyBorder="1" applyFont="1">
      <alignment horizontal="right" vertical="bottom"/>
    </xf>
    <xf borderId="1" fillId="8" fontId="7" numFmtId="49" xfId="0" applyAlignment="1" applyBorder="1" applyFont="1" applyNumberFormat="1">
      <alignment horizontal="center" vertical="bottom"/>
    </xf>
    <xf borderId="1" fillId="10" fontId="1" numFmtId="2" xfId="0" applyBorder="1" applyFont="1" applyNumberFormat="1"/>
    <xf borderId="1" fillId="10" fontId="2" numFmtId="0" xfId="0" applyAlignment="1" applyBorder="1" applyFont="1">
      <alignment horizontal="center" shrinkToFit="0" vertical="bottom" wrapText="1"/>
    </xf>
    <xf borderId="1" fillId="10" fontId="6" numFmtId="49" xfId="0" applyAlignment="1" applyBorder="1" applyFont="1" applyNumberFormat="1">
      <alignment horizontal="center"/>
    </xf>
    <xf borderId="1" fillId="10" fontId="1" numFmtId="0" xfId="0" applyAlignment="1" applyBorder="1" applyFont="1">
      <alignment horizontal="right" vertical="bottom"/>
    </xf>
    <xf quotePrefix="1" borderId="1" fillId="10" fontId="10" numFmtId="0" xfId="0" applyAlignment="1" applyBorder="1" applyFont="1">
      <alignment horizontal="center"/>
    </xf>
    <xf quotePrefix="1" borderId="1" fillId="10" fontId="10" numFmtId="0" xfId="0" applyAlignment="1" applyBorder="1" applyFont="1">
      <alignment horizontal="center" vertical="bottom"/>
    </xf>
    <xf borderId="1" fillId="10" fontId="4" numFmtId="0" xfId="0" applyAlignment="1" applyBorder="1" applyFont="1">
      <alignment horizontal="center" shrinkToFit="0" vertical="bottom" wrapText="1"/>
    </xf>
    <xf borderId="1" fillId="10" fontId="10" numFmtId="0" xfId="0" applyAlignment="1" applyBorder="1" applyFont="1">
      <alignment horizontal="right" vertical="bottom"/>
    </xf>
    <xf borderId="1" fillId="0" fontId="9" numFmtId="0" xfId="0" applyAlignment="1" applyBorder="1" applyFont="1">
      <alignment vertical="bottom"/>
    </xf>
    <xf borderId="1" fillId="0" fontId="2" numFmtId="0" xfId="0" applyAlignment="1" applyBorder="1" applyFont="1">
      <alignment horizontal="center" shrinkToFit="0" vertical="bottom" wrapText="1"/>
    </xf>
    <xf quotePrefix="1" borderId="1" fillId="0" fontId="10" numFmtId="0" xfId="0" applyAlignment="1" applyBorder="1" applyFont="1">
      <alignment horizontal="center" vertical="bottom"/>
    </xf>
    <xf borderId="1" fillId="10" fontId="9" numFmtId="0" xfId="0" applyAlignment="1" applyBorder="1" applyFont="1">
      <alignment horizontal="center"/>
    </xf>
    <xf borderId="1" fillId="10" fontId="9" numFmtId="0" xfId="0" applyBorder="1" applyFont="1"/>
    <xf borderId="1" fillId="10" fontId="2" numFmtId="0" xfId="0" applyAlignment="1" applyBorder="1" applyFont="1">
      <alignment horizontal="center"/>
    </xf>
    <xf borderId="1" fillId="10" fontId="9" numFmtId="49" xfId="0" applyBorder="1" applyFont="1" applyNumberFormat="1"/>
    <xf borderId="1" fillId="0" fontId="9" numFmtId="0" xfId="0" applyAlignment="1" applyBorder="1" applyFont="1">
      <alignment horizontal="center" vertical="bottom"/>
    </xf>
    <xf borderId="1" fillId="0" fontId="9" numFmtId="49" xfId="0" applyAlignment="1" applyBorder="1" applyFont="1" applyNumberFormat="1">
      <alignment horizontal="center" vertical="bottom"/>
    </xf>
    <xf quotePrefix="1" borderId="1" fillId="0" fontId="9" numFmtId="49" xfId="0" applyAlignment="1" applyBorder="1" applyFont="1" applyNumberFormat="1">
      <alignment horizontal="center" vertical="bottom"/>
    </xf>
    <xf borderId="4" fillId="10" fontId="1" numFmtId="0" xfId="0" applyAlignment="1" applyBorder="1" applyFont="1">
      <alignment horizontal="center" vertical="bottom"/>
    </xf>
    <xf quotePrefix="1" borderId="1" fillId="10" fontId="9" numFmtId="49" xfId="0" applyAlignment="1" applyBorder="1" applyFont="1" applyNumberFormat="1">
      <alignment horizontal="center" vertical="bottom"/>
    </xf>
    <xf borderId="1" fillId="10" fontId="1" numFmtId="0" xfId="0" applyAlignment="1" applyBorder="1" applyFont="1">
      <alignment horizontal="center" shrinkToFit="0" vertical="bottom" wrapText="1"/>
    </xf>
    <xf borderId="3" fillId="10" fontId="4" numFmtId="0" xfId="0" applyAlignment="1" applyBorder="1" applyFont="1">
      <alignment horizontal="center"/>
    </xf>
    <xf borderId="7" fillId="10" fontId="10" numFmtId="0" xfId="0" applyAlignment="1" applyBorder="1" applyFont="1">
      <alignment horizontal="center"/>
    </xf>
    <xf borderId="7" fillId="10" fontId="1" numFmtId="0" xfId="0" applyBorder="1" applyFont="1"/>
    <xf borderId="3" fillId="10" fontId="2" numFmtId="0" xfId="0" applyAlignment="1" applyBorder="1" applyFont="1">
      <alignment horizontal="center"/>
    </xf>
    <xf borderId="1" fillId="8" fontId="6" numFmtId="0" xfId="0" applyAlignment="1" applyBorder="1" applyFont="1">
      <alignment horizontal="center" shrinkToFit="0" vertical="bottom" wrapText="1"/>
    </xf>
    <xf borderId="3" fillId="8" fontId="1" numFmtId="0" xfId="0" applyAlignment="1" applyBorder="1" applyFont="1">
      <alignment vertical="bottom"/>
    </xf>
    <xf borderId="4" fillId="10" fontId="1" numFmtId="49" xfId="0" applyAlignment="1" applyBorder="1" applyFont="1" applyNumberFormat="1">
      <alignment vertical="bottom"/>
    </xf>
    <xf borderId="7" fillId="10" fontId="3" numFmtId="0" xfId="0" applyAlignment="1" applyBorder="1" applyFont="1">
      <alignment horizontal="center"/>
    </xf>
    <xf borderId="1" fillId="10" fontId="3" numFmtId="49" xfId="0" applyAlignment="1" applyBorder="1" applyFont="1" applyNumberFormat="1">
      <alignment horizontal="center"/>
    </xf>
    <xf borderId="1" fillId="12" fontId="1" numFmtId="49" xfId="0" applyAlignment="1" applyBorder="1" applyFill="1" applyFont="1" applyNumberFormat="1">
      <alignment horizontal="center" vertical="bottom"/>
    </xf>
    <xf quotePrefix="1" borderId="1" fillId="10" fontId="4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1">
        <v>3.0</v>
      </c>
      <c r="C1" s="2">
        <v>4.0</v>
      </c>
      <c r="D1" s="2">
        <v>5.0</v>
      </c>
      <c r="E1" s="2">
        <v>6.0</v>
      </c>
      <c r="F1" s="2">
        <v>7.0</v>
      </c>
      <c r="G1" s="2">
        <v>8.0</v>
      </c>
      <c r="H1" s="2">
        <v>9.0</v>
      </c>
      <c r="I1" s="3">
        <v>10.0</v>
      </c>
      <c r="J1" s="4">
        <v>11.0</v>
      </c>
      <c r="K1" s="4">
        <v>12.0</v>
      </c>
      <c r="L1" s="5">
        <v>13.0</v>
      </c>
      <c r="M1" s="4">
        <v>14.0</v>
      </c>
      <c r="N1" s="6">
        <v>15.0</v>
      </c>
      <c r="O1" s="7" t="s">
        <v>0</v>
      </c>
      <c r="P1" s="6">
        <v>17.0</v>
      </c>
      <c r="Q1" s="8">
        <v>18.0</v>
      </c>
      <c r="R1" s="6">
        <v>19.0</v>
      </c>
      <c r="S1" s="8">
        <v>20.0</v>
      </c>
      <c r="T1" s="4">
        <v>21.0</v>
      </c>
      <c r="U1" s="6">
        <v>22.0</v>
      </c>
      <c r="V1" s="4">
        <v>23.0</v>
      </c>
      <c r="W1" s="6">
        <v>24.0</v>
      </c>
      <c r="X1" s="4">
        <v>25.0</v>
      </c>
      <c r="Y1" s="4">
        <v>26.0</v>
      </c>
      <c r="Z1" s="4">
        <v>27.0</v>
      </c>
      <c r="AA1" s="3"/>
      <c r="AB1" s="3"/>
      <c r="AC1" s="4">
        <v>29.0</v>
      </c>
      <c r="AD1" s="4">
        <v>30.0</v>
      </c>
      <c r="AE1" s="4">
        <v>31.0</v>
      </c>
      <c r="AF1" s="4">
        <v>32.0</v>
      </c>
      <c r="AG1" s="4">
        <v>33.0</v>
      </c>
      <c r="AH1" s="4">
        <v>34.0</v>
      </c>
      <c r="AI1" s="4">
        <v>35.0</v>
      </c>
      <c r="AJ1" s="4">
        <v>36.0</v>
      </c>
      <c r="AK1" s="4">
        <v>37.0</v>
      </c>
      <c r="AL1" s="4">
        <v>38.0</v>
      </c>
      <c r="AM1" s="4">
        <v>39.0</v>
      </c>
      <c r="AN1" s="4">
        <v>40.0</v>
      </c>
      <c r="AO1" s="4">
        <v>41.0</v>
      </c>
      <c r="AP1" s="6">
        <v>42.0</v>
      </c>
      <c r="AQ1" s="6">
        <v>43.0</v>
      </c>
      <c r="AR1" s="6">
        <v>44.0</v>
      </c>
      <c r="AS1" s="6">
        <v>45.0</v>
      </c>
      <c r="AT1" s="6">
        <v>46.0</v>
      </c>
      <c r="AU1" s="6">
        <v>47.0</v>
      </c>
      <c r="AV1" s="4">
        <v>48.0</v>
      </c>
      <c r="AW1" s="4">
        <v>49.0</v>
      </c>
      <c r="AX1" s="4">
        <v>50.0</v>
      </c>
      <c r="AY1" s="4">
        <v>51.0</v>
      </c>
      <c r="AZ1" s="4">
        <v>52.0</v>
      </c>
      <c r="BA1" s="4">
        <v>53.0</v>
      </c>
      <c r="BB1" s="4">
        <v>54.0</v>
      </c>
      <c r="BC1" s="4">
        <v>55.0</v>
      </c>
      <c r="BD1" s="4">
        <v>56.0</v>
      </c>
      <c r="BE1" s="4">
        <v>57.0</v>
      </c>
      <c r="BF1" s="4">
        <v>58.0</v>
      </c>
      <c r="BG1" s="4">
        <v>59.0</v>
      </c>
      <c r="BH1" s="3"/>
      <c r="BI1" s="3"/>
      <c r="BJ1" s="8">
        <v>60.0</v>
      </c>
      <c r="BK1" s="6">
        <v>61.0</v>
      </c>
      <c r="BL1" s="6">
        <v>62.0</v>
      </c>
      <c r="BM1" s="4">
        <v>63.0</v>
      </c>
      <c r="BN1" s="9">
        <v>64.0</v>
      </c>
      <c r="BO1" s="4">
        <v>65.0</v>
      </c>
      <c r="BP1" s="6">
        <v>66.0</v>
      </c>
      <c r="BQ1" s="10"/>
    </row>
    <row r="2">
      <c r="A2" s="11" t="s">
        <v>1</v>
      </c>
      <c r="B2" s="1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1" t="s">
        <v>9</v>
      </c>
      <c r="J2" s="13" t="s">
        <v>10</v>
      </c>
      <c r="K2" s="13" t="s">
        <v>11</v>
      </c>
      <c r="L2" s="14" t="s">
        <v>12</v>
      </c>
      <c r="M2" s="13" t="s">
        <v>13</v>
      </c>
      <c r="N2" s="13" t="s">
        <v>14</v>
      </c>
      <c r="O2" s="15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3" t="s">
        <v>24</v>
      </c>
      <c r="Y2" s="13" t="s">
        <v>25</v>
      </c>
      <c r="Z2" s="13" t="s">
        <v>26</v>
      </c>
      <c r="AA2" s="13" t="s">
        <v>27</v>
      </c>
      <c r="AB2" s="16"/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3" t="s">
        <v>34</v>
      </c>
      <c r="AJ2" s="13" t="s">
        <v>35</v>
      </c>
      <c r="AK2" s="13" t="s">
        <v>36</v>
      </c>
      <c r="AL2" s="13" t="s">
        <v>37</v>
      </c>
      <c r="AM2" s="13" t="s">
        <v>38</v>
      </c>
      <c r="AN2" s="13" t="s">
        <v>39</v>
      </c>
      <c r="AO2" s="13" t="s">
        <v>40</v>
      </c>
      <c r="AP2" s="13" t="s">
        <v>41</v>
      </c>
      <c r="AQ2" s="13" t="s">
        <v>42</v>
      </c>
      <c r="AR2" s="13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3" t="s">
        <v>51</v>
      </c>
      <c r="BA2" s="13" t="s">
        <v>52</v>
      </c>
      <c r="BB2" s="13" t="s">
        <v>53</v>
      </c>
      <c r="BC2" s="13" t="s">
        <v>54</v>
      </c>
      <c r="BD2" s="13" t="s">
        <v>55</v>
      </c>
      <c r="BE2" s="13" t="s">
        <v>56</v>
      </c>
      <c r="BF2" s="13" t="s">
        <v>57</v>
      </c>
      <c r="BG2" s="13" t="s">
        <v>58</v>
      </c>
      <c r="BH2" s="17" t="s">
        <v>59</v>
      </c>
      <c r="BI2" s="17" t="s">
        <v>60</v>
      </c>
      <c r="BJ2" s="13" t="s">
        <v>61</v>
      </c>
      <c r="BK2" s="13" t="s">
        <v>62</v>
      </c>
      <c r="BL2" s="13" t="s">
        <v>63</v>
      </c>
      <c r="BM2" s="13" t="s">
        <v>64</v>
      </c>
      <c r="BN2" s="18" t="s">
        <v>65</v>
      </c>
      <c r="BO2" s="13" t="s">
        <v>66</v>
      </c>
      <c r="BP2" s="13" t="s">
        <v>67</v>
      </c>
      <c r="BQ2" s="19"/>
    </row>
    <row r="3">
      <c r="A3" s="20">
        <v>1.0</v>
      </c>
      <c r="B3" s="21" t="s">
        <v>68</v>
      </c>
      <c r="C3" s="22"/>
      <c r="D3" s="22"/>
      <c r="E3" s="22"/>
      <c r="F3" s="22"/>
      <c r="G3" s="22"/>
      <c r="H3" s="22"/>
      <c r="I3" s="23" t="str">
        <f t="shared" ref="I3:I736" si="1">CONCATENATE(B3,C3,D3,E3,F3,G3,H3)</f>
        <v>19000</v>
      </c>
      <c r="J3" s="24"/>
      <c r="K3" s="24"/>
      <c r="L3" s="23" t="s">
        <v>69</v>
      </c>
      <c r="M3" s="25">
        <v>1.0</v>
      </c>
      <c r="N3" s="24"/>
      <c r="O3" s="22"/>
      <c r="P3" s="24"/>
      <c r="Q3" s="24"/>
      <c r="R3" s="24"/>
      <c r="S3" s="24"/>
      <c r="T3" s="24"/>
      <c r="U3" s="26">
        <v>1.0</v>
      </c>
      <c r="V3" s="24"/>
      <c r="W3" s="26" t="s">
        <v>70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7"/>
      <c r="BO3" s="24"/>
      <c r="BP3" s="24"/>
      <c r="BQ3" s="10"/>
    </row>
    <row r="4">
      <c r="A4" s="28">
        <v>1.0</v>
      </c>
      <c r="B4" s="29" t="s">
        <v>71</v>
      </c>
      <c r="C4" s="30"/>
      <c r="D4" s="30"/>
      <c r="E4" s="30"/>
      <c r="F4" s="30"/>
      <c r="G4" s="30"/>
      <c r="H4" s="30"/>
      <c r="I4" s="31" t="str">
        <f t="shared" si="1"/>
        <v>19900</v>
      </c>
      <c r="J4" s="32"/>
      <c r="K4" s="32"/>
      <c r="L4" s="31" t="s">
        <v>72</v>
      </c>
      <c r="M4" s="33">
        <v>1.0</v>
      </c>
      <c r="N4" s="32"/>
      <c r="O4" s="30"/>
      <c r="P4" s="32"/>
      <c r="Q4" s="32"/>
      <c r="R4" s="32"/>
      <c r="S4" s="32"/>
      <c r="T4" s="32"/>
      <c r="U4" s="34">
        <v>1.0</v>
      </c>
      <c r="V4" s="32"/>
      <c r="W4" s="34" t="s">
        <v>70</v>
      </c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5"/>
      <c r="BO4" s="32"/>
      <c r="BP4" s="32"/>
      <c r="BQ4" s="10"/>
    </row>
    <row r="5">
      <c r="A5" s="36">
        <v>2.0</v>
      </c>
      <c r="B5" s="37" t="s">
        <v>73</v>
      </c>
      <c r="C5" s="38"/>
      <c r="D5" s="38"/>
      <c r="E5" s="38"/>
      <c r="F5" s="38"/>
      <c r="G5" s="38"/>
      <c r="H5" s="38"/>
      <c r="I5" s="39" t="str">
        <f t="shared" si="1"/>
        <v>19910</v>
      </c>
      <c r="J5" s="40"/>
      <c r="K5" s="40"/>
      <c r="L5" s="39" t="s">
        <v>74</v>
      </c>
      <c r="M5" s="41">
        <v>1.0</v>
      </c>
      <c r="N5" s="42"/>
      <c r="O5" s="38"/>
      <c r="P5" s="42"/>
      <c r="Q5" s="42"/>
      <c r="R5" s="42"/>
      <c r="S5" s="42"/>
      <c r="T5" s="40"/>
      <c r="U5" s="43">
        <v>1.0</v>
      </c>
      <c r="V5" s="40"/>
      <c r="W5" s="43" t="s">
        <v>70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2"/>
      <c r="AQ5" s="42"/>
      <c r="AR5" s="42"/>
      <c r="AS5" s="42"/>
      <c r="AT5" s="42"/>
      <c r="AU5" s="42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2"/>
      <c r="BI5" s="42"/>
      <c r="BJ5" s="42"/>
      <c r="BK5" s="42"/>
      <c r="BL5" s="42"/>
      <c r="BM5" s="40"/>
      <c r="BN5" s="44"/>
      <c r="BO5" s="40"/>
      <c r="BP5" s="42"/>
      <c r="BQ5" s="10"/>
    </row>
    <row r="6">
      <c r="A6" s="45">
        <v>3.0</v>
      </c>
      <c r="B6" s="46" t="s">
        <v>75</v>
      </c>
      <c r="C6" s="47"/>
      <c r="D6" s="47"/>
      <c r="E6" s="47"/>
      <c r="F6" s="47"/>
      <c r="G6" s="47"/>
      <c r="H6" s="47"/>
      <c r="I6" s="48" t="str">
        <f t="shared" si="1"/>
        <v>19911</v>
      </c>
      <c r="J6" s="49"/>
      <c r="K6" s="49"/>
      <c r="L6" s="48" t="s">
        <v>74</v>
      </c>
      <c r="M6" s="50">
        <v>1.0</v>
      </c>
      <c r="N6" s="51"/>
      <c r="O6" s="47"/>
      <c r="P6" s="51"/>
      <c r="Q6" s="51"/>
      <c r="R6" s="51"/>
      <c r="S6" s="51"/>
      <c r="T6" s="49"/>
      <c r="U6" s="52">
        <v>1.0</v>
      </c>
      <c r="V6" s="49"/>
      <c r="W6" s="52" t="s">
        <v>70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1"/>
      <c r="AQ6" s="51"/>
      <c r="AR6" s="51"/>
      <c r="AS6" s="51"/>
      <c r="AT6" s="51"/>
      <c r="AU6" s="51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51"/>
      <c r="BI6" s="51"/>
      <c r="BJ6" s="51"/>
      <c r="BK6" s="51"/>
      <c r="BL6" s="51"/>
      <c r="BM6" s="49"/>
      <c r="BN6" s="53"/>
      <c r="BO6" s="49"/>
      <c r="BP6" s="51"/>
      <c r="BQ6" s="10"/>
    </row>
    <row r="7">
      <c r="A7" s="54">
        <v>4.0</v>
      </c>
      <c r="B7" s="55" t="s">
        <v>75</v>
      </c>
      <c r="C7" s="55" t="s">
        <v>76</v>
      </c>
      <c r="D7" s="56"/>
      <c r="E7" s="56"/>
      <c r="F7" s="56"/>
      <c r="G7" s="56"/>
      <c r="H7" s="56"/>
      <c r="I7" s="57" t="str">
        <f t="shared" si="1"/>
        <v>1991101</v>
      </c>
      <c r="J7" s="58"/>
      <c r="K7" s="58"/>
      <c r="L7" s="59" t="s">
        <v>77</v>
      </c>
      <c r="M7" s="60">
        <v>1.0</v>
      </c>
      <c r="N7" s="58"/>
      <c r="O7" s="56"/>
      <c r="P7" s="58"/>
      <c r="Q7" s="58"/>
      <c r="R7" s="58"/>
      <c r="S7" s="58"/>
      <c r="T7" s="58"/>
      <c r="U7" s="61">
        <v>1.0</v>
      </c>
      <c r="V7" s="58"/>
      <c r="W7" s="61" t="s">
        <v>78</v>
      </c>
      <c r="X7" s="58"/>
      <c r="Y7" s="58"/>
      <c r="Z7" s="58"/>
      <c r="AA7" s="62" t="s">
        <v>79</v>
      </c>
      <c r="AB7" s="62" t="s">
        <v>79</v>
      </c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61" t="s">
        <v>80</v>
      </c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7" t="s">
        <v>81</v>
      </c>
      <c r="BI7" s="58"/>
      <c r="BJ7" s="58"/>
      <c r="BK7" s="58"/>
      <c r="BL7" s="58"/>
      <c r="BM7" s="58"/>
      <c r="BN7" s="63"/>
      <c r="BO7" s="58"/>
      <c r="BP7" s="58"/>
      <c r="BQ7" s="64"/>
    </row>
    <row r="8">
      <c r="A8" s="20">
        <v>1.0</v>
      </c>
      <c r="B8" s="21" t="s">
        <v>82</v>
      </c>
      <c r="C8" s="22"/>
      <c r="D8" s="22"/>
      <c r="E8" s="22"/>
      <c r="F8" s="22"/>
      <c r="G8" s="22"/>
      <c r="H8" s="22"/>
      <c r="I8" s="23" t="str">
        <f t="shared" si="1"/>
        <v>23000</v>
      </c>
      <c r="J8" s="24"/>
      <c r="K8" s="24"/>
      <c r="L8" s="23" t="s">
        <v>83</v>
      </c>
      <c r="M8" s="25">
        <v>1.0</v>
      </c>
      <c r="N8" s="24"/>
      <c r="O8" s="22"/>
      <c r="P8" s="24"/>
      <c r="Q8" s="24"/>
      <c r="R8" s="24"/>
      <c r="S8" s="24"/>
      <c r="T8" s="24"/>
      <c r="U8" s="26">
        <v>1.0</v>
      </c>
      <c r="V8" s="24"/>
      <c r="W8" s="26" t="s">
        <v>70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7"/>
      <c r="BO8" s="24"/>
      <c r="BP8" s="24"/>
      <c r="BQ8" s="10"/>
    </row>
    <row r="9">
      <c r="A9" s="28">
        <v>1.0</v>
      </c>
      <c r="B9" s="29">
        <v>23500.0</v>
      </c>
      <c r="C9" s="30"/>
      <c r="D9" s="30"/>
      <c r="E9" s="30"/>
      <c r="F9" s="30"/>
      <c r="G9" s="30"/>
      <c r="H9" s="30"/>
      <c r="I9" s="31" t="str">
        <f t="shared" si="1"/>
        <v>23500</v>
      </c>
      <c r="J9" s="32"/>
      <c r="K9" s="32"/>
      <c r="L9" s="31" t="s">
        <v>84</v>
      </c>
      <c r="M9" s="33">
        <v>1.0</v>
      </c>
      <c r="N9" s="32"/>
      <c r="O9" s="30"/>
      <c r="P9" s="32"/>
      <c r="Q9" s="32"/>
      <c r="R9" s="32"/>
      <c r="S9" s="32"/>
      <c r="T9" s="32"/>
      <c r="U9" s="34">
        <v>1.0</v>
      </c>
      <c r="V9" s="32"/>
      <c r="W9" s="34" t="s">
        <v>70</v>
      </c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5"/>
      <c r="BO9" s="32"/>
      <c r="BP9" s="32"/>
      <c r="BQ9" s="10"/>
    </row>
    <row r="10">
      <c r="A10" s="36">
        <v>2.0</v>
      </c>
      <c r="B10" s="37">
        <v>23510.0</v>
      </c>
      <c r="C10" s="38"/>
      <c r="D10" s="38"/>
      <c r="E10" s="38"/>
      <c r="F10" s="38"/>
      <c r="G10" s="38"/>
      <c r="H10" s="38"/>
      <c r="I10" s="39" t="str">
        <f t="shared" si="1"/>
        <v>23510</v>
      </c>
      <c r="J10" s="40"/>
      <c r="K10" s="40"/>
      <c r="L10" s="39" t="s">
        <v>85</v>
      </c>
      <c r="M10" s="41">
        <v>1.0</v>
      </c>
      <c r="N10" s="42"/>
      <c r="O10" s="38"/>
      <c r="P10" s="42"/>
      <c r="Q10" s="42"/>
      <c r="R10" s="42"/>
      <c r="S10" s="42"/>
      <c r="T10" s="40"/>
      <c r="U10" s="43">
        <v>1.0</v>
      </c>
      <c r="V10" s="40"/>
      <c r="W10" s="43" t="s">
        <v>70</v>
      </c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2"/>
      <c r="AQ10" s="42"/>
      <c r="AR10" s="42"/>
      <c r="AS10" s="42"/>
      <c r="AT10" s="42"/>
      <c r="AU10" s="42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2"/>
      <c r="BI10" s="42"/>
      <c r="BJ10" s="42"/>
      <c r="BK10" s="42"/>
      <c r="BL10" s="42"/>
      <c r="BM10" s="40"/>
      <c r="BN10" s="44"/>
      <c r="BO10" s="40"/>
      <c r="BP10" s="42"/>
      <c r="BQ10" s="10"/>
    </row>
    <row r="11">
      <c r="A11" s="65">
        <v>3.0</v>
      </c>
      <c r="B11" s="66">
        <v>23511.0</v>
      </c>
      <c r="C11" s="56"/>
      <c r="D11" s="56"/>
      <c r="E11" s="56"/>
      <c r="F11" s="56"/>
      <c r="G11" s="56"/>
      <c r="H11" s="56"/>
      <c r="I11" s="67" t="str">
        <f t="shared" si="1"/>
        <v>23511</v>
      </c>
      <c r="J11" s="58"/>
      <c r="K11" s="58"/>
      <c r="L11" s="67" t="s">
        <v>86</v>
      </c>
      <c r="M11" s="68">
        <v>1.0</v>
      </c>
      <c r="N11" s="58"/>
      <c r="O11" s="56"/>
      <c r="P11" s="58"/>
      <c r="Q11" s="58"/>
      <c r="R11" s="58"/>
      <c r="S11" s="58"/>
      <c r="T11" s="58"/>
      <c r="U11" s="69">
        <v>1.0</v>
      </c>
      <c r="V11" s="58"/>
      <c r="W11" s="69" t="s">
        <v>70</v>
      </c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63"/>
      <c r="BO11" s="58"/>
      <c r="BP11" s="58"/>
      <c r="BQ11" s="64"/>
    </row>
    <row r="12">
      <c r="A12" s="70">
        <v>4.0</v>
      </c>
      <c r="B12" s="71">
        <v>23511.0</v>
      </c>
      <c r="C12" s="71" t="s">
        <v>76</v>
      </c>
      <c r="D12" s="56"/>
      <c r="E12" s="56"/>
      <c r="F12" s="56"/>
      <c r="G12" s="56"/>
      <c r="H12" s="56"/>
      <c r="I12" s="58" t="str">
        <f t="shared" si="1"/>
        <v>2351101</v>
      </c>
      <c r="J12" s="58"/>
      <c r="K12" s="58"/>
      <c r="L12" s="59" t="s">
        <v>87</v>
      </c>
      <c r="M12" s="60">
        <v>1.0</v>
      </c>
      <c r="N12" s="72" t="s">
        <v>88</v>
      </c>
      <c r="O12" s="73" t="s">
        <v>89</v>
      </c>
      <c r="P12" s="58"/>
      <c r="Q12" s="58"/>
      <c r="R12" s="58"/>
      <c r="S12" s="58"/>
      <c r="T12" s="58"/>
      <c r="U12" s="72">
        <v>1.0</v>
      </c>
      <c r="V12" s="58"/>
      <c r="W12" s="72" t="s">
        <v>78</v>
      </c>
      <c r="X12" s="58"/>
      <c r="Y12" s="58"/>
      <c r="Z12" s="58"/>
      <c r="AA12" s="62" t="s">
        <v>79</v>
      </c>
      <c r="AB12" s="62" t="s">
        <v>79</v>
      </c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60" t="s">
        <v>90</v>
      </c>
      <c r="AQ12" s="60">
        <v>1786.0</v>
      </c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63"/>
      <c r="BO12" s="58"/>
      <c r="BP12" s="58"/>
      <c r="BQ12" s="64"/>
    </row>
    <row r="13">
      <c r="A13" s="70">
        <v>4.0</v>
      </c>
      <c r="B13" s="71">
        <v>23511.0</v>
      </c>
      <c r="C13" s="71" t="s">
        <v>91</v>
      </c>
      <c r="D13" s="56"/>
      <c r="E13" s="56"/>
      <c r="F13" s="56"/>
      <c r="G13" s="56"/>
      <c r="H13" s="56"/>
      <c r="I13" s="58" t="str">
        <f t="shared" si="1"/>
        <v>2351105</v>
      </c>
      <c r="J13" s="58"/>
      <c r="K13" s="58"/>
      <c r="L13" s="59" t="s">
        <v>92</v>
      </c>
      <c r="M13" s="60">
        <v>1.0</v>
      </c>
      <c r="N13" s="72" t="s">
        <v>93</v>
      </c>
      <c r="O13" s="73" t="s">
        <v>94</v>
      </c>
      <c r="P13" s="58"/>
      <c r="Q13" s="58"/>
      <c r="R13" s="58"/>
      <c r="S13" s="58"/>
      <c r="T13" s="58"/>
      <c r="U13" s="72">
        <v>1.0</v>
      </c>
      <c r="V13" s="58"/>
      <c r="W13" s="72" t="s">
        <v>78</v>
      </c>
      <c r="X13" s="58"/>
      <c r="Y13" s="58"/>
      <c r="Z13" s="58"/>
      <c r="AA13" s="62" t="s">
        <v>79</v>
      </c>
      <c r="AB13" s="62" t="s">
        <v>79</v>
      </c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72" t="s">
        <v>95</v>
      </c>
      <c r="AQ13" s="72">
        <v>4600.0</v>
      </c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63"/>
      <c r="BO13" s="58"/>
      <c r="BP13" s="58"/>
      <c r="BQ13" s="64"/>
    </row>
    <row r="14">
      <c r="A14" s="65">
        <v>3.0</v>
      </c>
      <c r="B14" s="66">
        <v>23512.0</v>
      </c>
      <c r="C14" s="56"/>
      <c r="D14" s="56"/>
      <c r="E14" s="56"/>
      <c r="F14" s="56"/>
      <c r="G14" s="56"/>
      <c r="H14" s="56"/>
      <c r="I14" s="67" t="str">
        <f t="shared" si="1"/>
        <v>23512</v>
      </c>
      <c r="J14" s="58"/>
      <c r="K14" s="58"/>
      <c r="L14" s="67" t="s">
        <v>96</v>
      </c>
      <c r="M14" s="68">
        <v>1.0</v>
      </c>
      <c r="N14" s="58"/>
      <c r="O14" s="56"/>
      <c r="P14" s="58"/>
      <c r="Q14" s="58"/>
      <c r="R14" s="58"/>
      <c r="S14" s="58"/>
      <c r="T14" s="58"/>
      <c r="U14" s="69">
        <v>1.0</v>
      </c>
      <c r="V14" s="58"/>
      <c r="W14" s="69" t="s">
        <v>70</v>
      </c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63"/>
      <c r="BO14" s="58"/>
      <c r="BP14" s="58"/>
      <c r="BQ14" s="64"/>
    </row>
    <row r="15">
      <c r="A15" s="70">
        <v>4.0</v>
      </c>
      <c r="B15" s="71">
        <v>23512.0</v>
      </c>
      <c r="C15" s="71" t="s">
        <v>76</v>
      </c>
      <c r="D15" s="56"/>
      <c r="E15" s="56"/>
      <c r="F15" s="56"/>
      <c r="G15" s="56"/>
      <c r="H15" s="56"/>
      <c r="I15" s="58" t="str">
        <f t="shared" si="1"/>
        <v>2351201</v>
      </c>
      <c r="J15" s="58"/>
      <c r="K15" s="58"/>
      <c r="L15" s="59" t="s">
        <v>87</v>
      </c>
      <c r="M15" s="60">
        <v>1.0</v>
      </c>
      <c r="N15" s="72" t="s">
        <v>88</v>
      </c>
      <c r="O15" s="73" t="s">
        <v>97</v>
      </c>
      <c r="P15" s="58"/>
      <c r="Q15" s="58"/>
      <c r="R15" s="58"/>
      <c r="S15" s="58"/>
      <c r="T15" s="58"/>
      <c r="U15" s="72">
        <v>1.0</v>
      </c>
      <c r="V15" s="58"/>
      <c r="W15" s="72" t="s">
        <v>78</v>
      </c>
      <c r="X15" s="58"/>
      <c r="Y15" s="58"/>
      <c r="Z15" s="58"/>
      <c r="AA15" s="62" t="s">
        <v>79</v>
      </c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60" t="s">
        <v>98</v>
      </c>
      <c r="AQ15" s="60">
        <v>1786.0</v>
      </c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63"/>
      <c r="BO15" s="58"/>
      <c r="BP15" s="58"/>
      <c r="BQ15" s="64"/>
    </row>
    <row r="16">
      <c r="A16" s="70">
        <v>4.0</v>
      </c>
      <c r="B16" s="71" t="s">
        <v>99</v>
      </c>
      <c r="C16" s="71" t="s">
        <v>91</v>
      </c>
      <c r="D16" s="56"/>
      <c r="E16" s="56"/>
      <c r="F16" s="56"/>
      <c r="G16" s="56"/>
      <c r="H16" s="56"/>
      <c r="I16" s="58" t="str">
        <f t="shared" si="1"/>
        <v>2351205</v>
      </c>
      <c r="J16" s="58"/>
      <c r="K16" s="58"/>
      <c r="L16" s="59" t="s">
        <v>92</v>
      </c>
      <c r="M16" s="60">
        <v>1.0</v>
      </c>
      <c r="N16" s="72" t="s">
        <v>93</v>
      </c>
      <c r="O16" s="73" t="s">
        <v>100</v>
      </c>
      <c r="P16" s="58"/>
      <c r="Q16" s="58"/>
      <c r="R16" s="58"/>
      <c r="S16" s="58"/>
      <c r="T16" s="58"/>
      <c r="U16" s="72">
        <v>1.0</v>
      </c>
      <c r="V16" s="58"/>
      <c r="W16" s="72" t="s">
        <v>78</v>
      </c>
      <c r="X16" s="58"/>
      <c r="Y16" s="58"/>
      <c r="Z16" s="58"/>
      <c r="AA16" s="62" t="s">
        <v>79</v>
      </c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72" t="s">
        <v>101</v>
      </c>
      <c r="AQ16" s="72">
        <v>4600.0</v>
      </c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63"/>
      <c r="BO16" s="58"/>
      <c r="BP16" s="58"/>
      <c r="BQ16" s="64"/>
    </row>
    <row r="17">
      <c r="A17" s="20">
        <v>1.0</v>
      </c>
      <c r="B17" s="21" t="s">
        <v>102</v>
      </c>
      <c r="C17" s="22"/>
      <c r="D17" s="22"/>
      <c r="E17" s="22"/>
      <c r="F17" s="22"/>
      <c r="G17" s="22"/>
      <c r="H17" s="22"/>
      <c r="I17" s="23" t="str">
        <f t="shared" si="1"/>
        <v>24000</v>
      </c>
      <c r="J17" s="24"/>
      <c r="K17" s="24"/>
      <c r="L17" s="23" t="s">
        <v>103</v>
      </c>
      <c r="M17" s="25">
        <v>1.0</v>
      </c>
      <c r="N17" s="24"/>
      <c r="O17" s="22"/>
      <c r="P17" s="24"/>
      <c r="Q17" s="24"/>
      <c r="R17" s="24"/>
      <c r="S17" s="24"/>
      <c r="T17" s="24"/>
      <c r="U17" s="26">
        <v>1.0</v>
      </c>
      <c r="V17" s="24"/>
      <c r="W17" s="26" t="s">
        <v>70</v>
      </c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7"/>
      <c r="BO17" s="24"/>
      <c r="BP17" s="24"/>
      <c r="BQ17" s="10"/>
    </row>
    <row r="18">
      <c r="A18" s="28">
        <v>1.0</v>
      </c>
      <c r="B18" s="29" t="s">
        <v>104</v>
      </c>
      <c r="C18" s="30"/>
      <c r="D18" s="30"/>
      <c r="E18" s="30"/>
      <c r="F18" s="30"/>
      <c r="G18" s="30"/>
      <c r="H18" s="30"/>
      <c r="I18" s="31" t="str">
        <f t="shared" si="1"/>
        <v>24100</v>
      </c>
      <c r="J18" s="74"/>
      <c r="K18" s="74"/>
      <c r="L18" s="31" t="s">
        <v>105</v>
      </c>
      <c r="M18" s="75">
        <v>1.0</v>
      </c>
      <c r="N18" s="32"/>
      <c r="O18" s="30"/>
      <c r="P18" s="32"/>
      <c r="Q18" s="32"/>
      <c r="R18" s="32"/>
      <c r="S18" s="32"/>
      <c r="T18" s="74"/>
      <c r="U18" s="34">
        <v>1.0</v>
      </c>
      <c r="V18" s="74"/>
      <c r="W18" s="34" t="s">
        <v>70</v>
      </c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32"/>
      <c r="AQ18" s="32"/>
      <c r="AR18" s="32"/>
      <c r="AS18" s="32"/>
      <c r="AT18" s="32"/>
      <c r="AU18" s="32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32"/>
      <c r="BI18" s="32"/>
      <c r="BJ18" s="32"/>
      <c r="BK18" s="32"/>
      <c r="BL18" s="32"/>
      <c r="BM18" s="74"/>
      <c r="BN18" s="76"/>
      <c r="BO18" s="74"/>
      <c r="BP18" s="32"/>
      <c r="BQ18" s="10"/>
    </row>
    <row r="19">
      <c r="A19" s="36">
        <v>2.0</v>
      </c>
      <c r="B19" s="37" t="s">
        <v>106</v>
      </c>
      <c r="C19" s="38"/>
      <c r="D19" s="38"/>
      <c r="E19" s="38"/>
      <c r="F19" s="38"/>
      <c r="G19" s="38"/>
      <c r="H19" s="38"/>
      <c r="I19" s="39" t="str">
        <f t="shared" si="1"/>
        <v>24110</v>
      </c>
      <c r="J19" s="40"/>
      <c r="K19" s="40"/>
      <c r="L19" s="39" t="s">
        <v>107</v>
      </c>
      <c r="M19" s="41">
        <v>1.0</v>
      </c>
      <c r="N19" s="42"/>
      <c r="O19" s="38"/>
      <c r="P19" s="42"/>
      <c r="Q19" s="42"/>
      <c r="R19" s="42"/>
      <c r="S19" s="42"/>
      <c r="T19" s="40"/>
      <c r="U19" s="43">
        <v>1.0</v>
      </c>
      <c r="V19" s="40"/>
      <c r="W19" s="43" t="s">
        <v>70</v>
      </c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2"/>
      <c r="AQ19" s="42"/>
      <c r="AR19" s="42"/>
      <c r="AS19" s="42"/>
      <c r="AT19" s="42"/>
      <c r="AU19" s="42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2"/>
      <c r="BI19" s="42"/>
      <c r="BJ19" s="42"/>
      <c r="BK19" s="42"/>
      <c r="BL19" s="42"/>
      <c r="BM19" s="40"/>
      <c r="BN19" s="44"/>
      <c r="BO19" s="40"/>
      <c r="BP19" s="42"/>
      <c r="BQ19" s="10"/>
    </row>
    <row r="20">
      <c r="A20" s="45">
        <v>3.0</v>
      </c>
      <c r="B20" s="46" t="s">
        <v>108</v>
      </c>
      <c r="C20" s="47"/>
      <c r="D20" s="47"/>
      <c r="E20" s="47"/>
      <c r="F20" s="47"/>
      <c r="G20" s="47"/>
      <c r="H20" s="47"/>
      <c r="I20" s="48" t="str">
        <f t="shared" si="1"/>
        <v>24111</v>
      </c>
      <c r="J20" s="49"/>
      <c r="K20" s="49"/>
      <c r="L20" s="48" t="s">
        <v>109</v>
      </c>
      <c r="M20" s="50">
        <v>1.0</v>
      </c>
      <c r="N20" s="51"/>
      <c r="O20" s="47"/>
      <c r="P20" s="51"/>
      <c r="Q20" s="51"/>
      <c r="R20" s="51"/>
      <c r="S20" s="51"/>
      <c r="T20" s="49"/>
      <c r="U20" s="52">
        <v>1.0</v>
      </c>
      <c r="V20" s="49"/>
      <c r="W20" s="52" t="s">
        <v>70</v>
      </c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1"/>
      <c r="AQ20" s="51"/>
      <c r="AR20" s="51"/>
      <c r="AS20" s="51"/>
      <c r="AT20" s="51"/>
      <c r="AU20" s="51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51"/>
      <c r="BI20" s="51"/>
      <c r="BJ20" s="51"/>
      <c r="BK20" s="51"/>
      <c r="BL20" s="51"/>
      <c r="BM20" s="49"/>
      <c r="BN20" s="53"/>
      <c r="BO20" s="49"/>
      <c r="BP20" s="51"/>
      <c r="BQ20" s="10"/>
    </row>
    <row r="21">
      <c r="A21" s="54">
        <v>4.0</v>
      </c>
      <c r="B21" s="55" t="s">
        <v>108</v>
      </c>
      <c r="C21" s="55" t="s">
        <v>76</v>
      </c>
      <c r="D21" s="56"/>
      <c r="E21" s="56"/>
      <c r="F21" s="56"/>
      <c r="G21" s="56"/>
      <c r="H21" s="56"/>
      <c r="I21" s="57" t="str">
        <f t="shared" si="1"/>
        <v>2411101</v>
      </c>
      <c r="J21" s="58"/>
      <c r="K21" s="58"/>
      <c r="L21" s="59" t="s">
        <v>110</v>
      </c>
      <c r="M21" s="60">
        <v>1.0</v>
      </c>
      <c r="N21" s="61" t="s">
        <v>111</v>
      </c>
      <c r="O21" s="77" t="s">
        <v>112</v>
      </c>
      <c r="P21" s="61">
        <v>1264274.0</v>
      </c>
      <c r="Q21" s="59" t="s">
        <v>113</v>
      </c>
      <c r="R21" s="58"/>
      <c r="S21" s="58"/>
      <c r="T21" s="58"/>
      <c r="U21" s="61">
        <v>1.0</v>
      </c>
      <c r="V21" s="58"/>
      <c r="W21" s="61" t="s">
        <v>78</v>
      </c>
      <c r="X21" s="58"/>
      <c r="Y21" s="58"/>
      <c r="Z21" s="58"/>
      <c r="AA21" s="62" t="s">
        <v>79</v>
      </c>
      <c r="AB21" s="62" t="s">
        <v>79</v>
      </c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61" t="s">
        <v>114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9" t="s">
        <v>115</v>
      </c>
      <c r="BI21" s="78">
        <v>1415.0</v>
      </c>
      <c r="BJ21" s="59">
        <v>1264274.0</v>
      </c>
      <c r="BK21" s="58"/>
      <c r="BL21" s="58"/>
      <c r="BM21" s="58"/>
      <c r="BN21" s="63"/>
      <c r="BO21" s="58"/>
      <c r="BP21" s="58"/>
      <c r="BQ21" s="64"/>
    </row>
    <row r="22">
      <c r="A22" s="61">
        <v>5.0</v>
      </c>
      <c r="B22" s="55" t="s">
        <v>108</v>
      </c>
      <c r="C22" s="55" t="s">
        <v>76</v>
      </c>
      <c r="D22" s="77" t="s">
        <v>76</v>
      </c>
      <c r="E22" s="56"/>
      <c r="F22" s="56"/>
      <c r="G22" s="56"/>
      <c r="H22" s="79"/>
      <c r="I22" s="80" t="str">
        <f t="shared" si="1"/>
        <v>241110101</v>
      </c>
      <c r="J22" s="79"/>
      <c r="K22" s="79"/>
      <c r="L22" s="59" t="s">
        <v>116</v>
      </c>
      <c r="M22" s="72">
        <v>2.0</v>
      </c>
      <c r="N22" s="61" t="s">
        <v>117</v>
      </c>
      <c r="O22" s="81"/>
      <c r="P22" s="58"/>
      <c r="Q22" s="59" t="s">
        <v>113</v>
      </c>
      <c r="R22" s="81"/>
      <c r="S22" s="81"/>
      <c r="T22" s="81"/>
      <c r="U22" s="82">
        <v>1.0</v>
      </c>
      <c r="V22" s="81"/>
      <c r="W22" s="81"/>
      <c r="X22" s="81"/>
      <c r="Y22" s="81"/>
      <c r="Z22" s="81"/>
      <c r="AA22" s="79"/>
      <c r="AB22" s="79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>
        <v>83325.0</v>
      </c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59" t="s">
        <v>115</v>
      </c>
      <c r="BI22" s="61">
        <v>649.0</v>
      </c>
      <c r="BJ22" s="59" t="s">
        <v>118</v>
      </c>
      <c r="BK22" s="82">
        <v>3.0</v>
      </c>
      <c r="BL22" s="79"/>
      <c r="BM22" s="81"/>
      <c r="BN22" s="81"/>
      <c r="BO22" s="83"/>
      <c r="BP22" s="58"/>
      <c r="BQ22" s="64"/>
    </row>
    <row r="23">
      <c r="A23" s="61">
        <v>5.0</v>
      </c>
      <c r="B23" s="55" t="s">
        <v>108</v>
      </c>
      <c r="C23" s="55" t="s">
        <v>76</v>
      </c>
      <c r="D23" s="77" t="s">
        <v>119</v>
      </c>
      <c r="E23" s="56"/>
      <c r="F23" s="56"/>
      <c r="G23" s="56"/>
      <c r="H23" s="79"/>
      <c r="I23" s="80" t="str">
        <f t="shared" si="1"/>
        <v>241110102</v>
      </c>
      <c r="J23" s="79"/>
      <c r="K23" s="79"/>
      <c r="L23" s="59" t="s">
        <v>120</v>
      </c>
      <c r="M23" s="72">
        <v>2.0</v>
      </c>
      <c r="N23" s="58"/>
      <c r="O23" s="81"/>
      <c r="P23" s="58"/>
      <c r="Q23" s="58"/>
      <c r="R23" s="81"/>
      <c r="S23" s="80" t="s">
        <v>121</v>
      </c>
      <c r="T23" s="81"/>
      <c r="U23" s="82">
        <v>1.0</v>
      </c>
      <c r="V23" s="81"/>
      <c r="W23" s="81"/>
      <c r="X23" s="81"/>
      <c r="Y23" s="81"/>
      <c r="Z23" s="81"/>
      <c r="AA23" s="79"/>
      <c r="AB23" s="79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2">
        <v>23.0</v>
      </c>
      <c r="AR23" s="82">
        <v>600.0</v>
      </c>
      <c r="AS23" s="82">
        <v>380.0</v>
      </c>
      <c r="AT23" s="82">
        <v>210.0</v>
      </c>
      <c r="AU23" s="81"/>
      <c r="AV23" s="82" t="s">
        <v>122</v>
      </c>
      <c r="AW23" s="81"/>
      <c r="AX23" s="81"/>
      <c r="AY23" s="81"/>
      <c r="AZ23" s="81"/>
      <c r="BA23" s="81"/>
      <c r="BB23" s="81"/>
      <c r="BC23" s="82" t="s">
        <v>123</v>
      </c>
      <c r="BD23" s="81"/>
      <c r="BE23" s="81"/>
      <c r="BF23" s="81"/>
      <c r="BG23" s="81"/>
      <c r="BH23" s="59" t="s">
        <v>115</v>
      </c>
      <c r="BI23" s="61">
        <v>897.0</v>
      </c>
      <c r="BJ23" s="59">
        <v>23964.0</v>
      </c>
      <c r="BK23" s="81"/>
      <c r="BL23" s="79"/>
      <c r="BM23" s="81"/>
      <c r="BN23" s="81"/>
      <c r="BO23" s="83"/>
      <c r="BP23" s="58"/>
      <c r="BQ23" s="64"/>
    </row>
    <row r="24">
      <c r="A24" s="77">
        <v>5.0</v>
      </c>
      <c r="B24" s="55" t="s">
        <v>108</v>
      </c>
      <c r="C24" s="55" t="s">
        <v>76</v>
      </c>
      <c r="D24" s="77" t="s">
        <v>124</v>
      </c>
      <c r="E24" s="56"/>
      <c r="F24" s="56"/>
      <c r="G24" s="56"/>
      <c r="H24" s="79"/>
      <c r="I24" s="80" t="str">
        <f t="shared" si="1"/>
        <v>241110103</v>
      </c>
      <c r="J24" s="79"/>
      <c r="K24" s="79"/>
      <c r="L24" s="59" t="s">
        <v>125</v>
      </c>
      <c r="M24" s="72">
        <v>2.0</v>
      </c>
      <c r="N24" s="61" t="s">
        <v>126</v>
      </c>
      <c r="O24" s="81"/>
      <c r="P24" s="58"/>
      <c r="Q24" s="59" t="s">
        <v>113</v>
      </c>
      <c r="R24" s="81"/>
      <c r="S24" s="81"/>
      <c r="T24" s="81"/>
      <c r="U24" s="82">
        <v>1.0</v>
      </c>
      <c r="V24" s="81"/>
      <c r="W24" s="81"/>
      <c r="X24" s="81"/>
      <c r="Y24" s="81"/>
      <c r="Z24" s="81"/>
      <c r="AA24" s="79"/>
      <c r="AB24" s="79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59" t="s">
        <v>115</v>
      </c>
      <c r="BI24" s="61">
        <v>649.0</v>
      </c>
      <c r="BJ24" s="59" t="s">
        <v>118</v>
      </c>
      <c r="BK24" s="82">
        <v>4.0</v>
      </c>
      <c r="BL24" s="79"/>
      <c r="BM24" s="81"/>
      <c r="BN24" s="81"/>
      <c r="BO24" s="83"/>
      <c r="BP24" s="58"/>
      <c r="BQ24" s="64"/>
    </row>
    <row r="25">
      <c r="A25" s="77">
        <v>5.0</v>
      </c>
      <c r="B25" s="55" t="s">
        <v>108</v>
      </c>
      <c r="C25" s="55" t="s">
        <v>76</v>
      </c>
      <c r="D25" s="77" t="s">
        <v>127</v>
      </c>
      <c r="E25" s="56"/>
      <c r="F25" s="56"/>
      <c r="G25" s="56"/>
      <c r="H25" s="79"/>
      <c r="I25" s="80" t="str">
        <f t="shared" si="1"/>
        <v>241110104</v>
      </c>
      <c r="J25" s="79"/>
      <c r="K25" s="79"/>
      <c r="L25" s="59" t="s">
        <v>128</v>
      </c>
      <c r="M25" s="72">
        <v>2.0</v>
      </c>
      <c r="N25" s="58"/>
      <c r="O25" s="81"/>
      <c r="P25" s="58"/>
      <c r="Q25" s="58"/>
      <c r="R25" s="81"/>
      <c r="S25" s="80" t="s">
        <v>121</v>
      </c>
      <c r="T25" s="81"/>
      <c r="U25" s="82">
        <v>1.0</v>
      </c>
      <c r="V25" s="81"/>
      <c r="W25" s="81"/>
      <c r="X25" s="81"/>
      <c r="Y25" s="81"/>
      <c r="Z25" s="81"/>
      <c r="AA25" s="79"/>
      <c r="AB25" s="79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2">
        <v>23.0</v>
      </c>
      <c r="AR25" s="82">
        <v>600.0</v>
      </c>
      <c r="AS25" s="82">
        <v>380.0</v>
      </c>
      <c r="AT25" s="82">
        <v>210.0</v>
      </c>
      <c r="AU25" s="81"/>
      <c r="AV25" s="82" t="s">
        <v>122</v>
      </c>
      <c r="AW25" s="81"/>
      <c r="AX25" s="81"/>
      <c r="AY25" s="81"/>
      <c r="AZ25" s="81"/>
      <c r="BA25" s="81"/>
      <c r="BB25" s="81"/>
      <c r="BC25" s="82" t="s">
        <v>123</v>
      </c>
      <c r="BD25" s="81"/>
      <c r="BE25" s="81"/>
      <c r="BF25" s="81"/>
      <c r="BG25" s="81"/>
      <c r="BH25" s="59" t="s">
        <v>115</v>
      </c>
      <c r="BI25" s="61">
        <v>913.0</v>
      </c>
      <c r="BJ25" s="59">
        <v>23965.0</v>
      </c>
      <c r="BK25" s="81"/>
      <c r="BL25" s="79"/>
      <c r="BM25" s="81"/>
      <c r="BN25" s="81"/>
      <c r="BO25" s="83"/>
      <c r="BP25" s="58"/>
      <c r="BQ25" s="64"/>
    </row>
    <row r="26">
      <c r="A26" s="77">
        <v>5.0</v>
      </c>
      <c r="B26" s="55" t="s">
        <v>108</v>
      </c>
      <c r="C26" s="55" t="s">
        <v>76</v>
      </c>
      <c r="D26" s="77" t="s">
        <v>91</v>
      </c>
      <c r="E26" s="56"/>
      <c r="F26" s="79"/>
      <c r="G26" s="79"/>
      <c r="H26" s="79"/>
      <c r="I26" s="80" t="str">
        <f t="shared" si="1"/>
        <v>241110105</v>
      </c>
      <c r="J26" s="79"/>
      <c r="K26" s="79"/>
      <c r="L26" s="59" t="s">
        <v>129</v>
      </c>
      <c r="M26" s="72">
        <v>2.0</v>
      </c>
      <c r="N26" s="81"/>
      <c r="O26" s="81"/>
      <c r="P26" s="58"/>
      <c r="Q26" s="59" t="s">
        <v>113</v>
      </c>
      <c r="R26" s="81"/>
      <c r="S26" s="81"/>
      <c r="T26" s="81"/>
      <c r="U26" s="82">
        <v>1.0</v>
      </c>
      <c r="V26" s="81"/>
      <c r="W26" s="81"/>
      <c r="X26" s="81"/>
      <c r="Y26" s="81"/>
      <c r="Z26" s="81"/>
      <c r="AA26" s="79"/>
      <c r="AB26" s="79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59" t="s">
        <v>115</v>
      </c>
      <c r="BI26" s="61">
        <v>794.0</v>
      </c>
      <c r="BJ26" s="59" t="s">
        <v>130</v>
      </c>
      <c r="BK26" s="82" t="s">
        <v>131</v>
      </c>
      <c r="BL26" s="79"/>
      <c r="BM26" s="81"/>
      <c r="BN26" s="81"/>
      <c r="BO26" s="83"/>
      <c r="BP26" s="58"/>
      <c r="BQ26" s="64"/>
    </row>
    <row r="27">
      <c r="A27" s="77" t="s">
        <v>132</v>
      </c>
      <c r="B27" s="55" t="s">
        <v>108</v>
      </c>
      <c r="C27" s="55" t="s">
        <v>76</v>
      </c>
      <c r="D27" s="77" t="s">
        <v>133</v>
      </c>
      <c r="E27" s="56"/>
      <c r="F27" s="56"/>
      <c r="G27" s="79"/>
      <c r="H27" s="79"/>
      <c r="I27" s="80" t="str">
        <f t="shared" si="1"/>
        <v>241110106</v>
      </c>
      <c r="J27" s="79"/>
      <c r="K27" s="79"/>
      <c r="L27" s="59" t="s">
        <v>134</v>
      </c>
      <c r="M27" s="72">
        <v>2.0</v>
      </c>
      <c r="N27" s="81"/>
      <c r="O27" s="58"/>
      <c r="P27" s="58"/>
      <c r="Q27" s="59" t="s">
        <v>113</v>
      </c>
      <c r="R27" s="58"/>
      <c r="S27" s="58"/>
      <c r="T27" s="58"/>
      <c r="U27" s="58"/>
      <c r="V27" s="58"/>
      <c r="W27" s="58"/>
      <c r="X27" s="81"/>
      <c r="Y27" s="81"/>
      <c r="Z27" s="81"/>
      <c r="AA27" s="79"/>
      <c r="AB27" s="79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59" t="s">
        <v>115</v>
      </c>
      <c r="BI27" s="82">
        <v>796.0</v>
      </c>
      <c r="BJ27" s="59" t="s">
        <v>135</v>
      </c>
      <c r="BK27" s="81"/>
      <c r="BL27" s="79"/>
      <c r="BM27" s="81"/>
      <c r="BN27" s="81"/>
      <c r="BO27" s="83"/>
      <c r="BP27" s="58"/>
      <c r="BQ27" s="64"/>
    </row>
    <row r="28">
      <c r="A28" s="77">
        <v>5.0</v>
      </c>
      <c r="B28" s="55" t="s">
        <v>108</v>
      </c>
      <c r="C28" s="55" t="s">
        <v>76</v>
      </c>
      <c r="D28" s="77" t="s">
        <v>136</v>
      </c>
      <c r="E28" s="56"/>
      <c r="F28" s="56"/>
      <c r="G28" s="56"/>
      <c r="H28" s="79"/>
      <c r="I28" s="80" t="str">
        <f t="shared" si="1"/>
        <v>241110107</v>
      </c>
      <c r="J28" s="79"/>
      <c r="K28" s="79"/>
      <c r="L28" s="59" t="s">
        <v>137</v>
      </c>
      <c r="M28" s="72">
        <v>2.0</v>
      </c>
      <c r="N28" s="58"/>
      <c r="O28" s="81"/>
      <c r="P28" s="58"/>
      <c r="Q28" s="59" t="s">
        <v>113</v>
      </c>
      <c r="R28" s="81"/>
      <c r="S28" s="81"/>
      <c r="T28" s="81"/>
      <c r="U28" s="82">
        <v>1.0</v>
      </c>
      <c r="V28" s="81"/>
      <c r="W28" s="81"/>
      <c r="X28" s="81"/>
      <c r="Y28" s="81"/>
      <c r="Z28" s="81"/>
      <c r="AA28" s="79"/>
      <c r="AB28" s="79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59" t="s">
        <v>115</v>
      </c>
      <c r="BI28" s="61">
        <v>649.0</v>
      </c>
      <c r="BJ28" s="59" t="s">
        <v>118</v>
      </c>
      <c r="BK28" s="82">
        <v>11.0</v>
      </c>
      <c r="BL28" s="79"/>
      <c r="BM28" s="81"/>
      <c r="BN28" s="81"/>
      <c r="BO28" s="83"/>
      <c r="BP28" s="58"/>
      <c r="BQ28" s="64"/>
    </row>
    <row r="29">
      <c r="A29" s="77" t="s">
        <v>132</v>
      </c>
      <c r="B29" s="55" t="s">
        <v>108</v>
      </c>
      <c r="C29" s="55" t="s">
        <v>76</v>
      </c>
      <c r="D29" s="77" t="s">
        <v>138</v>
      </c>
      <c r="E29" s="56"/>
      <c r="F29" s="56"/>
      <c r="G29" s="56"/>
      <c r="H29" s="79"/>
      <c r="I29" s="80" t="str">
        <f t="shared" si="1"/>
        <v>241110108</v>
      </c>
      <c r="J29" s="79"/>
      <c r="K29" s="79"/>
      <c r="L29" s="59" t="s">
        <v>139</v>
      </c>
      <c r="M29" s="84">
        <v>2.0</v>
      </c>
      <c r="N29" s="81"/>
      <c r="O29" s="77" t="s">
        <v>140</v>
      </c>
      <c r="P29" s="58"/>
      <c r="Q29" s="59" t="s">
        <v>113</v>
      </c>
      <c r="R29" s="81"/>
      <c r="S29" s="81"/>
      <c r="T29" s="81"/>
      <c r="U29" s="82">
        <v>1.0</v>
      </c>
      <c r="V29" s="81"/>
      <c r="W29" s="82" t="s">
        <v>141</v>
      </c>
      <c r="X29" s="81"/>
      <c r="Y29" s="81"/>
      <c r="Z29" s="81"/>
      <c r="AA29" s="79"/>
      <c r="AB29" s="79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59" t="s">
        <v>115</v>
      </c>
      <c r="BI29" s="61">
        <v>649.0</v>
      </c>
      <c r="BJ29" s="59" t="s">
        <v>118</v>
      </c>
      <c r="BK29" s="82">
        <v>1.0</v>
      </c>
      <c r="BL29" s="79"/>
      <c r="BM29" s="81"/>
      <c r="BN29" s="81"/>
      <c r="BO29" s="83"/>
      <c r="BP29" s="58"/>
      <c r="BQ29" s="64"/>
    </row>
    <row r="30">
      <c r="A30" s="77" t="s">
        <v>132</v>
      </c>
      <c r="B30" s="55" t="s">
        <v>108</v>
      </c>
      <c r="C30" s="55" t="s">
        <v>76</v>
      </c>
      <c r="D30" s="77" t="s">
        <v>142</v>
      </c>
      <c r="E30" s="56"/>
      <c r="F30" s="79"/>
      <c r="G30" s="79"/>
      <c r="H30" s="79"/>
      <c r="I30" s="80" t="str">
        <f t="shared" si="1"/>
        <v>241110109</v>
      </c>
      <c r="J30" s="79"/>
      <c r="K30" s="79"/>
      <c r="L30" s="59" t="s">
        <v>143</v>
      </c>
      <c r="M30" s="72">
        <v>2.0</v>
      </c>
      <c r="N30" s="82">
        <v>63.0</v>
      </c>
      <c r="O30" s="58"/>
      <c r="P30" s="58"/>
      <c r="Q30" s="58"/>
      <c r="R30" s="58"/>
      <c r="S30" s="59" t="s">
        <v>144</v>
      </c>
      <c r="T30" s="58"/>
      <c r="U30" s="82" t="s">
        <v>145</v>
      </c>
      <c r="V30" s="58"/>
      <c r="W30" s="58"/>
      <c r="X30" s="81"/>
      <c r="Y30" s="81"/>
      <c r="Z30" s="81"/>
      <c r="AA30" s="79"/>
      <c r="AB30" s="79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2" t="s">
        <v>146</v>
      </c>
      <c r="BH30" s="59" t="s">
        <v>115</v>
      </c>
      <c r="BI30" s="61">
        <v>893.0</v>
      </c>
      <c r="BJ30" s="59" t="s">
        <v>147</v>
      </c>
      <c r="BK30" s="82" t="s">
        <v>148</v>
      </c>
      <c r="BL30" s="79"/>
      <c r="BM30" s="81"/>
      <c r="BN30" s="81"/>
      <c r="BO30" s="83"/>
      <c r="BP30" s="58"/>
      <c r="BQ30" s="64"/>
    </row>
    <row r="31">
      <c r="A31" s="77" t="s">
        <v>132</v>
      </c>
      <c r="B31" s="55" t="s">
        <v>108</v>
      </c>
      <c r="C31" s="55" t="s">
        <v>76</v>
      </c>
      <c r="D31" s="77" t="s">
        <v>149</v>
      </c>
      <c r="E31" s="56"/>
      <c r="F31" s="56"/>
      <c r="G31" s="79"/>
      <c r="H31" s="79"/>
      <c r="I31" s="80" t="str">
        <f t="shared" si="1"/>
        <v>24111010A</v>
      </c>
      <c r="J31" s="79"/>
      <c r="K31" s="79"/>
      <c r="L31" s="59" t="s">
        <v>150</v>
      </c>
      <c r="M31" s="72">
        <v>2.0</v>
      </c>
      <c r="N31" s="81"/>
      <c r="O31" s="58"/>
      <c r="P31" s="58"/>
      <c r="Q31" s="59" t="s">
        <v>113</v>
      </c>
      <c r="R31" s="58"/>
      <c r="S31" s="58"/>
      <c r="T31" s="58"/>
      <c r="U31" s="82" t="s">
        <v>145</v>
      </c>
      <c r="V31" s="58"/>
      <c r="W31" s="58"/>
      <c r="X31" s="81"/>
      <c r="Y31" s="81"/>
      <c r="Z31" s="81"/>
      <c r="AA31" s="79"/>
      <c r="AB31" s="79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59" t="s">
        <v>115</v>
      </c>
      <c r="BI31" s="61">
        <v>649.0</v>
      </c>
      <c r="BJ31" s="59" t="s">
        <v>118</v>
      </c>
      <c r="BK31" s="82">
        <v>7.0</v>
      </c>
      <c r="BL31" s="79"/>
      <c r="BM31" s="81"/>
      <c r="BN31" s="81"/>
      <c r="BO31" s="83"/>
      <c r="BP31" s="58"/>
      <c r="BQ31" s="64"/>
    </row>
    <row r="32">
      <c r="A32" s="77" t="s">
        <v>132</v>
      </c>
      <c r="B32" s="55" t="s">
        <v>108</v>
      </c>
      <c r="C32" s="55" t="s">
        <v>76</v>
      </c>
      <c r="D32" s="77" t="s">
        <v>151</v>
      </c>
      <c r="E32" s="56"/>
      <c r="F32" s="56"/>
      <c r="G32" s="79"/>
      <c r="H32" s="79"/>
      <c r="I32" s="80" t="str">
        <f t="shared" si="1"/>
        <v>24111010B</v>
      </c>
      <c r="J32" s="79"/>
      <c r="K32" s="79"/>
      <c r="L32" s="59" t="s">
        <v>152</v>
      </c>
      <c r="M32" s="72">
        <v>2.0</v>
      </c>
      <c r="N32" s="81"/>
      <c r="O32" s="58"/>
      <c r="P32" s="58"/>
      <c r="Q32" s="59" t="s">
        <v>113</v>
      </c>
      <c r="R32" s="58"/>
      <c r="S32" s="58"/>
      <c r="T32" s="58"/>
      <c r="U32" s="61">
        <v>1.0</v>
      </c>
      <c r="V32" s="58"/>
      <c r="W32" s="58"/>
      <c r="X32" s="81"/>
      <c r="Y32" s="81"/>
      <c r="Z32" s="81"/>
      <c r="AA32" s="79"/>
      <c r="AB32" s="79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59" t="s">
        <v>115</v>
      </c>
      <c r="BI32" s="61">
        <v>787.0</v>
      </c>
      <c r="BJ32" s="59" t="s">
        <v>153</v>
      </c>
      <c r="BK32" s="82" t="s">
        <v>154</v>
      </c>
      <c r="BL32" s="79"/>
      <c r="BM32" s="81"/>
      <c r="BN32" s="81"/>
      <c r="BO32" s="83"/>
      <c r="BP32" s="58"/>
      <c r="BQ32" s="64"/>
    </row>
    <row r="33">
      <c r="A33" s="77" t="s">
        <v>132</v>
      </c>
      <c r="B33" s="55" t="s">
        <v>108</v>
      </c>
      <c r="C33" s="55" t="s">
        <v>76</v>
      </c>
      <c r="D33" s="77" t="s">
        <v>155</v>
      </c>
      <c r="E33" s="56"/>
      <c r="F33" s="79"/>
      <c r="G33" s="79"/>
      <c r="H33" s="79"/>
      <c r="I33" s="80" t="str">
        <f t="shared" si="1"/>
        <v>24111010C</v>
      </c>
      <c r="J33" s="79"/>
      <c r="K33" s="79"/>
      <c r="L33" s="59" t="s">
        <v>156</v>
      </c>
      <c r="M33" s="72">
        <v>2.0</v>
      </c>
      <c r="N33" s="81"/>
      <c r="O33" s="58"/>
      <c r="P33" s="58"/>
      <c r="Q33" s="59" t="s">
        <v>113</v>
      </c>
      <c r="R33" s="58"/>
      <c r="S33" s="58"/>
      <c r="T33" s="58"/>
      <c r="U33" s="82" t="s">
        <v>145</v>
      </c>
      <c r="V33" s="58"/>
      <c r="W33" s="58"/>
      <c r="X33" s="81"/>
      <c r="Y33" s="81"/>
      <c r="Z33" s="81"/>
      <c r="AA33" s="79"/>
      <c r="AB33" s="79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59" t="s">
        <v>115</v>
      </c>
      <c r="BI33" s="61">
        <v>788.0</v>
      </c>
      <c r="BJ33" s="59" t="s">
        <v>157</v>
      </c>
      <c r="BK33" s="81"/>
      <c r="BL33" s="79"/>
      <c r="BM33" s="81"/>
      <c r="BN33" s="81"/>
      <c r="BO33" s="83"/>
      <c r="BP33" s="58"/>
      <c r="BQ33" s="64"/>
    </row>
    <row r="34">
      <c r="A34" s="77" t="s">
        <v>132</v>
      </c>
      <c r="B34" s="55" t="s">
        <v>108</v>
      </c>
      <c r="C34" s="55" t="s">
        <v>76</v>
      </c>
      <c r="D34" s="77" t="s">
        <v>158</v>
      </c>
      <c r="E34" s="56"/>
      <c r="F34" s="79"/>
      <c r="G34" s="79"/>
      <c r="H34" s="79"/>
      <c r="I34" s="80" t="str">
        <f t="shared" si="1"/>
        <v>24111010D</v>
      </c>
      <c r="J34" s="79"/>
      <c r="K34" s="79"/>
      <c r="L34" s="59" t="s">
        <v>159</v>
      </c>
      <c r="M34" s="72">
        <v>2.0</v>
      </c>
      <c r="N34" s="81"/>
      <c r="O34" s="58"/>
      <c r="P34" s="58"/>
      <c r="Q34" s="59" t="s">
        <v>113</v>
      </c>
      <c r="R34" s="58"/>
      <c r="S34" s="58"/>
      <c r="T34" s="58"/>
      <c r="U34" s="82" t="s">
        <v>145</v>
      </c>
      <c r="V34" s="58"/>
      <c r="W34" s="61" t="s">
        <v>160</v>
      </c>
      <c r="X34" s="81"/>
      <c r="Y34" s="81"/>
      <c r="Z34" s="81"/>
      <c r="AA34" s="79"/>
      <c r="AB34" s="79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59" t="s">
        <v>115</v>
      </c>
      <c r="BI34" s="61">
        <v>649.0</v>
      </c>
      <c r="BJ34" s="59" t="s">
        <v>118</v>
      </c>
      <c r="BK34" s="82">
        <v>8.0</v>
      </c>
      <c r="BL34" s="79"/>
      <c r="BM34" s="81"/>
      <c r="BN34" s="81"/>
      <c r="BO34" s="83"/>
      <c r="BP34" s="59" t="s">
        <v>161</v>
      </c>
      <c r="BQ34" s="64"/>
    </row>
    <row r="35">
      <c r="A35" s="77" t="s">
        <v>132</v>
      </c>
      <c r="B35" s="55" t="s">
        <v>108</v>
      </c>
      <c r="C35" s="55" t="s">
        <v>76</v>
      </c>
      <c r="D35" s="77" t="s">
        <v>162</v>
      </c>
      <c r="E35" s="56"/>
      <c r="F35" s="79"/>
      <c r="G35" s="79"/>
      <c r="H35" s="79"/>
      <c r="I35" s="80" t="str">
        <f t="shared" si="1"/>
        <v>24111010E</v>
      </c>
      <c r="J35" s="79"/>
      <c r="K35" s="79"/>
      <c r="L35" s="59" t="s">
        <v>163</v>
      </c>
      <c r="M35" s="72">
        <v>2.0</v>
      </c>
      <c r="N35" s="81"/>
      <c r="O35" s="58"/>
      <c r="P35" s="58"/>
      <c r="Q35" s="59" t="s">
        <v>113</v>
      </c>
      <c r="R35" s="58"/>
      <c r="S35" s="58"/>
      <c r="T35" s="58"/>
      <c r="U35" s="82" t="s">
        <v>145</v>
      </c>
      <c r="V35" s="58"/>
      <c r="W35" s="58"/>
      <c r="X35" s="81"/>
      <c r="Y35" s="81"/>
      <c r="Z35" s="81"/>
      <c r="AA35" s="79"/>
      <c r="AB35" s="79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59" t="s">
        <v>115</v>
      </c>
      <c r="BI35" s="61">
        <v>789.0</v>
      </c>
      <c r="BJ35" s="59" t="s">
        <v>164</v>
      </c>
      <c r="BK35" s="82" t="s">
        <v>165</v>
      </c>
      <c r="BL35" s="79"/>
      <c r="BM35" s="81"/>
      <c r="BN35" s="81"/>
      <c r="BO35" s="83"/>
      <c r="BP35" s="58"/>
      <c r="BQ35" s="64"/>
    </row>
    <row r="36">
      <c r="A36" s="77" t="s">
        <v>132</v>
      </c>
      <c r="B36" s="55" t="s">
        <v>108</v>
      </c>
      <c r="C36" s="55" t="s">
        <v>76</v>
      </c>
      <c r="D36" s="77" t="s">
        <v>166</v>
      </c>
      <c r="E36" s="56"/>
      <c r="F36" s="79"/>
      <c r="G36" s="79"/>
      <c r="H36" s="79"/>
      <c r="I36" s="80" t="str">
        <f t="shared" si="1"/>
        <v>24111010F</v>
      </c>
      <c r="J36" s="79"/>
      <c r="K36" s="79"/>
      <c r="L36" s="59" t="s">
        <v>167</v>
      </c>
      <c r="M36" s="72">
        <v>2.0</v>
      </c>
      <c r="N36" s="81"/>
      <c r="O36" s="58"/>
      <c r="P36" s="58"/>
      <c r="Q36" s="58"/>
      <c r="R36" s="58"/>
      <c r="S36" s="59" t="s">
        <v>168</v>
      </c>
      <c r="T36" s="58"/>
      <c r="U36" s="82" t="s">
        <v>145</v>
      </c>
      <c r="V36" s="58"/>
      <c r="W36" s="58"/>
      <c r="X36" s="81"/>
      <c r="Y36" s="81"/>
      <c r="Z36" s="81"/>
      <c r="AA36" s="79"/>
      <c r="AB36" s="79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59" t="s">
        <v>115</v>
      </c>
      <c r="BI36" s="61">
        <v>789.0</v>
      </c>
      <c r="BJ36" s="59" t="s">
        <v>164</v>
      </c>
      <c r="BK36" s="82" t="s">
        <v>169</v>
      </c>
      <c r="BL36" s="79"/>
      <c r="BM36" s="81"/>
      <c r="BN36" s="81"/>
      <c r="BO36" s="83"/>
      <c r="BP36" s="58"/>
      <c r="BQ36" s="64"/>
    </row>
    <row r="37">
      <c r="A37" s="77" t="s">
        <v>132</v>
      </c>
      <c r="B37" s="55" t="s">
        <v>108</v>
      </c>
      <c r="C37" s="55" t="s">
        <v>76</v>
      </c>
      <c r="D37" s="77" t="s">
        <v>170</v>
      </c>
      <c r="E37" s="56"/>
      <c r="F37" s="79"/>
      <c r="G37" s="79"/>
      <c r="H37" s="79"/>
      <c r="I37" s="80" t="str">
        <f t="shared" si="1"/>
        <v>24111010G</v>
      </c>
      <c r="J37" s="79"/>
      <c r="K37" s="79"/>
      <c r="L37" s="59" t="s">
        <v>171</v>
      </c>
      <c r="M37" s="72">
        <v>2.0</v>
      </c>
      <c r="N37" s="81"/>
      <c r="O37" s="58"/>
      <c r="P37" s="58"/>
      <c r="Q37" s="59" t="s">
        <v>113</v>
      </c>
      <c r="R37" s="58"/>
      <c r="S37" s="58"/>
      <c r="T37" s="58"/>
      <c r="U37" s="82" t="s">
        <v>145</v>
      </c>
      <c r="V37" s="58"/>
      <c r="W37" s="58"/>
      <c r="X37" s="81"/>
      <c r="Y37" s="81"/>
      <c r="Z37" s="81"/>
      <c r="AA37" s="79"/>
      <c r="AB37" s="79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59" t="s">
        <v>115</v>
      </c>
      <c r="BI37" s="61">
        <v>789.0</v>
      </c>
      <c r="BJ37" s="59" t="s">
        <v>164</v>
      </c>
      <c r="BK37" s="82" t="s">
        <v>172</v>
      </c>
      <c r="BL37" s="79"/>
      <c r="BM37" s="81"/>
      <c r="BN37" s="81"/>
      <c r="BO37" s="83"/>
      <c r="BP37" s="58"/>
      <c r="BQ37" s="64"/>
    </row>
    <row r="38">
      <c r="A38" s="77" t="s">
        <v>132</v>
      </c>
      <c r="B38" s="55" t="s">
        <v>108</v>
      </c>
      <c r="C38" s="55" t="s">
        <v>76</v>
      </c>
      <c r="D38" s="77" t="s">
        <v>173</v>
      </c>
      <c r="E38" s="56"/>
      <c r="F38" s="79"/>
      <c r="G38" s="79"/>
      <c r="H38" s="79"/>
      <c r="I38" s="80" t="str">
        <f t="shared" si="1"/>
        <v>24111010H</v>
      </c>
      <c r="J38" s="79"/>
      <c r="K38" s="79"/>
      <c r="L38" s="59" t="s">
        <v>174</v>
      </c>
      <c r="M38" s="72">
        <v>2.0</v>
      </c>
      <c r="N38" s="61" t="s">
        <v>175</v>
      </c>
      <c r="O38" s="58"/>
      <c r="P38" s="58"/>
      <c r="Q38" s="58"/>
      <c r="R38" s="58"/>
      <c r="S38" s="59" t="s">
        <v>176</v>
      </c>
      <c r="T38" s="58"/>
      <c r="U38" s="82" t="s">
        <v>145</v>
      </c>
      <c r="V38" s="58"/>
      <c r="W38" s="58"/>
      <c r="X38" s="81"/>
      <c r="Y38" s="81"/>
      <c r="Z38" s="81"/>
      <c r="AA38" s="79"/>
      <c r="AB38" s="79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2" t="s">
        <v>177</v>
      </c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59" t="s">
        <v>115</v>
      </c>
      <c r="BI38" s="61">
        <v>891.0</v>
      </c>
      <c r="BJ38" s="59" t="s">
        <v>147</v>
      </c>
      <c r="BK38" s="82" t="s">
        <v>178</v>
      </c>
      <c r="BL38" s="79"/>
      <c r="BM38" s="81"/>
      <c r="BN38" s="81"/>
      <c r="BO38" s="83"/>
      <c r="BP38" s="58"/>
      <c r="BQ38" s="64"/>
    </row>
    <row r="39">
      <c r="A39" s="61">
        <v>5.0</v>
      </c>
      <c r="B39" s="55" t="s">
        <v>108</v>
      </c>
      <c r="C39" s="55" t="s">
        <v>76</v>
      </c>
      <c r="D39" s="77" t="s">
        <v>179</v>
      </c>
      <c r="E39" s="56"/>
      <c r="F39" s="56"/>
      <c r="G39" s="56"/>
      <c r="H39" s="56"/>
      <c r="I39" s="59" t="str">
        <f t="shared" si="1"/>
        <v>24111010J</v>
      </c>
      <c r="J39" s="58"/>
      <c r="K39" s="58"/>
      <c r="L39" s="59" t="s">
        <v>180</v>
      </c>
      <c r="M39" s="72">
        <v>2.0</v>
      </c>
      <c r="N39" s="58"/>
      <c r="O39" s="56"/>
      <c r="P39" s="64"/>
      <c r="Q39" s="59" t="s">
        <v>113</v>
      </c>
      <c r="R39" s="58"/>
      <c r="S39" s="58"/>
      <c r="T39" s="58"/>
      <c r="U39" s="82" t="s">
        <v>145</v>
      </c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9" t="s">
        <v>115</v>
      </c>
      <c r="BI39" s="61">
        <v>790.0</v>
      </c>
      <c r="BJ39" s="59" t="s">
        <v>181</v>
      </c>
      <c r="BK39" s="82" t="s">
        <v>182</v>
      </c>
      <c r="BL39" s="58"/>
      <c r="BM39" s="58"/>
      <c r="BN39" s="63"/>
      <c r="BO39" s="58"/>
      <c r="BP39" s="58"/>
      <c r="BQ39" s="64"/>
    </row>
    <row r="40">
      <c r="A40" s="61">
        <v>5.0</v>
      </c>
      <c r="B40" s="55" t="s">
        <v>108</v>
      </c>
      <c r="C40" s="55" t="s">
        <v>76</v>
      </c>
      <c r="D40" s="77" t="s">
        <v>183</v>
      </c>
      <c r="E40" s="56"/>
      <c r="F40" s="56"/>
      <c r="G40" s="56"/>
      <c r="H40" s="56"/>
      <c r="I40" s="59" t="str">
        <f t="shared" si="1"/>
        <v>24111010K</v>
      </c>
      <c r="J40" s="58"/>
      <c r="K40" s="58"/>
      <c r="L40" s="59" t="s">
        <v>184</v>
      </c>
      <c r="M40" s="72">
        <v>2.0</v>
      </c>
      <c r="N40" s="58"/>
      <c r="O40" s="56"/>
      <c r="P40" s="58"/>
      <c r="Q40" s="59" t="s">
        <v>113</v>
      </c>
      <c r="R40" s="58"/>
      <c r="S40" s="58"/>
      <c r="T40" s="58"/>
      <c r="U40" s="82" t="s">
        <v>145</v>
      </c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9" t="s">
        <v>115</v>
      </c>
      <c r="BI40" s="61">
        <v>790.0</v>
      </c>
      <c r="BJ40" s="59" t="s">
        <v>185</v>
      </c>
      <c r="BK40" s="82" t="s">
        <v>186</v>
      </c>
      <c r="BL40" s="58"/>
      <c r="BM40" s="58"/>
      <c r="BN40" s="63"/>
      <c r="BO40" s="58"/>
      <c r="BP40" s="58"/>
      <c r="BQ40" s="64"/>
    </row>
    <row r="41">
      <c r="A41" s="61">
        <v>5.0</v>
      </c>
      <c r="B41" s="55" t="s">
        <v>108</v>
      </c>
      <c r="C41" s="55" t="s">
        <v>76</v>
      </c>
      <c r="D41" s="77" t="s">
        <v>187</v>
      </c>
      <c r="E41" s="56"/>
      <c r="F41" s="79"/>
      <c r="G41" s="79"/>
      <c r="H41" s="79"/>
      <c r="I41" s="80" t="str">
        <f t="shared" si="1"/>
        <v>24111010L</v>
      </c>
      <c r="J41" s="79"/>
      <c r="K41" s="79"/>
      <c r="L41" s="59" t="s">
        <v>188</v>
      </c>
      <c r="M41" s="72">
        <v>2.0</v>
      </c>
      <c r="N41" s="82" t="s">
        <v>189</v>
      </c>
      <c r="O41" s="81"/>
      <c r="P41" s="58"/>
      <c r="Q41" s="59" t="s">
        <v>113</v>
      </c>
      <c r="R41" s="81"/>
      <c r="S41" s="81"/>
      <c r="T41" s="81"/>
      <c r="U41" s="82">
        <v>1.0</v>
      </c>
      <c r="V41" s="81"/>
      <c r="W41" s="82" t="s">
        <v>160</v>
      </c>
      <c r="X41" s="81"/>
      <c r="Y41" s="81"/>
      <c r="Z41" s="81"/>
      <c r="AA41" s="79"/>
      <c r="AB41" s="79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59" t="s">
        <v>115</v>
      </c>
      <c r="BI41" s="61">
        <v>785.0</v>
      </c>
      <c r="BJ41" s="59" t="s">
        <v>190</v>
      </c>
      <c r="BK41" s="82" t="s">
        <v>189</v>
      </c>
      <c r="BL41" s="79"/>
      <c r="BM41" s="81"/>
      <c r="BN41" s="81"/>
      <c r="BO41" s="83"/>
      <c r="BP41" s="59" t="s">
        <v>161</v>
      </c>
      <c r="BQ41" s="64"/>
    </row>
    <row r="42">
      <c r="A42" s="77">
        <v>5.0</v>
      </c>
      <c r="B42" s="55" t="s">
        <v>108</v>
      </c>
      <c r="C42" s="55" t="s">
        <v>76</v>
      </c>
      <c r="D42" s="77" t="s">
        <v>191</v>
      </c>
      <c r="E42" s="58"/>
      <c r="F42" s="58"/>
      <c r="G42" s="58"/>
      <c r="H42" s="58"/>
      <c r="I42" s="59" t="str">
        <f t="shared" si="1"/>
        <v>24111010M</v>
      </c>
      <c r="J42" s="58"/>
      <c r="K42" s="58"/>
      <c r="L42" s="59" t="s">
        <v>192</v>
      </c>
      <c r="M42" s="72">
        <v>2.0</v>
      </c>
      <c r="N42" s="58"/>
      <c r="O42" s="58"/>
      <c r="P42" s="58"/>
      <c r="Q42" s="59" t="s">
        <v>113</v>
      </c>
      <c r="R42" s="58"/>
      <c r="S42" s="58"/>
      <c r="T42" s="58"/>
      <c r="U42" s="61">
        <v>1.0</v>
      </c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9" t="s">
        <v>115</v>
      </c>
      <c r="BI42" s="61">
        <v>649.0</v>
      </c>
      <c r="BJ42" s="59" t="s">
        <v>118</v>
      </c>
      <c r="BK42" s="61">
        <v>6.0</v>
      </c>
      <c r="BL42" s="58"/>
      <c r="BM42" s="58"/>
      <c r="BN42" s="58"/>
      <c r="BO42" s="58"/>
      <c r="BP42" s="58"/>
      <c r="BQ42" s="64"/>
    </row>
    <row r="43">
      <c r="A43" s="77">
        <v>5.0</v>
      </c>
      <c r="B43" s="55" t="s">
        <v>108</v>
      </c>
      <c r="C43" s="55" t="s">
        <v>76</v>
      </c>
      <c r="D43" s="77" t="s">
        <v>193</v>
      </c>
      <c r="E43" s="58"/>
      <c r="F43" s="58"/>
      <c r="G43" s="58"/>
      <c r="H43" s="58"/>
      <c r="I43" s="59" t="str">
        <f t="shared" si="1"/>
        <v>24111010N</v>
      </c>
      <c r="J43" s="58"/>
      <c r="K43" s="58"/>
      <c r="L43" s="59" t="s">
        <v>194</v>
      </c>
      <c r="M43" s="72">
        <v>2.0</v>
      </c>
      <c r="N43" s="61" t="s">
        <v>195</v>
      </c>
      <c r="O43" s="58"/>
      <c r="P43" s="58"/>
      <c r="Q43" s="58"/>
      <c r="R43" s="58"/>
      <c r="S43" s="59" t="s">
        <v>196</v>
      </c>
      <c r="T43" s="58"/>
      <c r="U43" s="61">
        <v>1.0</v>
      </c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9" t="s">
        <v>115</v>
      </c>
      <c r="BI43" s="61">
        <v>893.0</v>
      </c>
      <c r="BJ43" s="59" t="s">
        <v>147</v>
      </c>
      <c r="BK43" s="61" t="s">
        <v>197</v>
      </c>
      <c r="BL43" s="58"/>
      <c r="BM43" s="58"/>
      <c r="BN43" s="63"/>
      <c r="BO43" s="58"/>
      <c r="BP43" s="58"/>
      <c r="BQ43" s="64"/>
    </row>
    <row r="44">
      <c r="A44" s="77">
        <v>5.0</v>
      </c>
      <c r="B44" s="55" t="s">
        <v>108</v>
      </c>
      <c r="C44" s="55" t="s">
        <v>76</v>
      </c>
      <c r="D44" s="77" t="s">
        <v>198</v>
      </c>
      <c r="E44" s="58"/>
      <c r="F44" s="58"/>
      <c r="G44" s="58"/>
      <c r="H44" s="58"/>
      <c r="I44" s="59" t="str">
        <f t="shared" si="1"/>
        <v>24111010P</v>
      </c>
      <c r="J44" s="58"/>
      <c r="K44" s="58"/>
      <c r="L44" s="59" t="s">
        <v>194</v>
      </c>
      <c r="M44" s="72">
        <v>2.0</v>
      </c>
      <c r="N44" s="61" t="s">
        <v>195</v>
      </c>
      <c r="O44" s="58"/>
      <c r="P44" s="58"/>
      <c r="Q44" s="58"/>
      <c r="R44" s="58"/>
      <c r="S44" s="59" t="s">
        <v>196</v>
      </c>
      <c r="T44" s="58"/>
      <c r="U44" s="61">
        <v>2.0</v>
      </c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9" t="s">
        <v>115</v>
      </c>
      <c r="BI44" s="61">
        <v>893.0</v>
      </c>
      <c r="BJ44" s="59" t="s">
        <v>147</v>
      </c>
      <c r="BK44" s="61" t="s">
        <v>199</v>
      </c>
      <c r="BL44" s="58"/>
      <c r="BM44" s="58"/>
      <c r="BN44" s="63"/>
      <c r="BO44" s="58"/>
      <c r="BP44" s="58"/>
      <c r="BQ44" s="64"/>
    </row>
    <row r="45">
      <c r="A45" s="77">
        <v>5.0</v>
      </c>
      <c r="B45" s="55" t="s">
        <v>108</v>
      </c>
      <c r="C45" s="55" t="s">
        <v>76</v>
      </c>
      <c r="D45" s="77" t="s">
        <v>200</v>
      </c>
      <c r="E45" s="58"/>
      <c r="F45" s="58"/>
      <c r="G45" s="58"/>
      <c r="H45" s="58"/>
      <c r="I45" s="59" t="str">
        <f t="shared" si="1"/>
        <v>24111010Q</v>
      </c>
      <c r="J45" s="58"/>
      <c r="K45" s="58"/>
      <c r="L45" s="59" t="s">
        <v>194</v>
      </c>
      <c r="M45" s="72">
        <v>2.0</v>
      </c>
      <c r="N45" s="61" t="s">
        <v>195</v>
      </c>
      <c r="O45" s="58"/>
      <c r="P45" s="58"/>
      <c r="Q45" s="58"/>
      <c r="R45" s="58"/>
      <c r="S45" s="59" t="s">
        <v>196</v>
      </c>
      <c r="T45" s="58"/>
      <c r="U45" s="61">
        <v>1.0</v>
      </c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9" t="s">
        <v>115</v>
      </c>
      <c r="BI45" s="61">
        <v>893.0</v>
      </c>
      <c r="BJ45" s="59" t="s">
        <v>147</v>
      </c>
      <c r="BK45" s="61" t="s">
        <v>201</v>
      </c>
      <c r="BL45" s="58"/>
      <c r="BM45" s="58"/>
      <c r="BN45" s="63"/>
      <c r="BO45" s="58"/>
      <c r="BP45" s="58"/>
      <c r="BQ45" s="64"/>
    </row>
    <row r="46">
      <c r="A46" s="77">
        <v>5.0</v>
      </c>
      <c r="B46" s="55" t="s">
        <v>108</v>
      </c>
      <c r="C46" s="55" t="s">
        <v>76</v>
      </c>
      <c r="D46" s="77" t="s">
        <v>202</v>
      </c>
      <c r="E46" s="58"/>
      <c r="F46" s="58"/>
      <c r="G46" s="58"/>
      <c r="H46" s="58"/>
      <c r="I46" s="59" t="str">
        <f t="shared" si="1"/>
        <v>24111010R</v>
      </c>
      <c r="J46" s="58"/>
      <c r="K46" s="58"/>
      <c r="L46" s="59" t="s">
        <v>203</v>
      </c>
      <c r="M46" s="72">
        <v>2.0</v>
      </c>
      <c r="N46" s="61" t="s">
        <v>204</v>
      </c>
      <c r="O46" s="58"/>
      <c r="P46" s="58"/>
      <c r="Q46" s="58"/>
      <c r="R46" s="58"/>
      <c r="S46" s="59" t="s">
        <v>196</v>
      </c>
      <c r="T46" s="58"/>
      <c r="U46" s="61">
        <v>1.0</v>
      </c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9" t="s">
        <v>115</v>
      </c>
      <c r="BI46" s="61">
        <v>893.0</v>
      </c>
      <c r="BJ46" s="59" t="s">
        <v>147</v>
      </c>
      <c r="BK46" s="61" t="s">
        <v>205</v>
      </c>
      <c r="BL46" s="58"/>
      <c r="BM46" s="58"/>
      <c r="BN46" s="63"/>
      <c r="BO46" s="58"/>
      <c r="BP46" s="58"/>
      <c r="BQ46" s="64"/>
    </row>
    <row r="47">
      <c r="A47" s="77">
        <v>5.0</v>
      </c>
      <c r="B47" s="55" t="s">
        <v>108</v>
      </c>
      <c r="C47" s="55" t="s">
        <v>76</v>
      </c>
      <c r="D47" s="77" t="s">
        <v>206</v>
      </c>
      <c r="E47" s="58"/>
      <c r="F47" s="58"/>
      <c r="G47" s="58"/>
      <c r="H47" s="58"/>
      <c r="I47" s="59" t="str">
        <f t="shared" si="1"/>
        <v>24111010S</v>
      </c>
      <c r="J47" s="58"/>
      <c r="K47" s="58"/>
      <c r="L47" s="59" t="s">
        <v>207</v>
      </c>
      <c r="M47" s="72">
        <v>2.0</v>
      </c>
      <c r="N47" s="61" t="s">
        <v>208</v>
      </c>
      <c r="O47" s="58"/>
      <c r="P47" s="58"/>
      <c r="Q47" s="58"/>
      <c r="R47" s="58"/>
      <c r="S47" s="59" t="s">
        <v>209</v>
      </c>
      <c r="T47" s="58"/>
      <c r="U47" s="61">
        <v>1.0</v>
      </c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9" t="s">
        <v>115</v>
      </c>
      <c r="BI47" s="61">
        <v>891.0</v>
      </c>
      <c r="BJ47" s="59" t="s">
        <v>147</v>
      </c>
      <c r="BK47" s="61" t="s">
        <v>210</v>
      </c>
      <c r="BL47" s="58"/>
      <c r="BM47" s="58"/>
      <c r="BN47" s="63"/>
      <c r="BO47" s="58"/>
      <c r="BP47" s="58"/>
      <c r="BQ47" s="64"/>
    </row>
    <row r="48">
      <c r="A48" s="77">
        <v>5.0</v>
      </c>
      <c r="B48" s="55" t="s">
        <v>108</v>
      </c>
      <c r="C48" s="55" t="s">
        <v>76</v>
      </c>
      <c r="D48" s="77" t="s">
        <v>211</v>
      </c>
      <c r="E48" s="56"/>
      <c r="F48" s="56"/>
      <c r="G48" s="56"/>
      <c r="H48" s="56"/>
      <c r="I48" s="59" t="str">
        <f t="shared" si="1"/>
        <v>24111010T</v>
      </c>
      <c r="J48" s="58"/>
      <c r="K48" s="58"/>
      <c r="L48" s="59" t="s">
        <v>212</v>
      </c>
      <c r="M48" s="72">
        <v>2.0</v>
      </c>
      <c r="N48" s="61" t="s">
        <v>213</v>
      </c>
      <c r="O48" s="56"/>
      <c r="P48" s="58"/>
      <c r="Q48" s="59" t="s">
        <v>113</v>
      </c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9" t="s">
        <v>115</v>
      </c>
      <c r="BI48" s="61">
        <v>783.0</v>
      </c>
      <c r="BJ48" s="59" t="s">
        <v>214</v>
      </c>
      <c r="BK48" s="58"/>
      <c r="BL48" s="58"/>
      <c r="BM48" s="58"/>
      <c r="BN48" s="63"/>
      <c r="BO48" s="58"/>
      <c r="BP48" s="58"/>
      <c r="BQ48" s="64"/>
    </row>
    <row r="49">
      <c r="A49" s="61">
        <v>5.0</v>
      </c>
      <c r="B49" s="55" t="s">
        <v>108</v>
      </c>
      <c r="C49" s="55" t="s">
        <v>76</v>
      </c>
      <c r="D49" s="77" t="s">
        <v>215</v>
      </c>
      <c r="E49" s="79"/>
      <c r="F49" s="85"/>
      <c r="G49" s="85"/>
      <c r="H49" s="85"/>
      <c r="I49" s="86" t="str">
        <f t="shared" si="1"/>
        <v>24111010U</v>
      </c>
      <c r="J49" s="85"/>
      <c r="K49" s="85"/>
      <c r="L49" s="59" t="s">
        <v>216</v>
      </c>
      <c r="M49" s="72">
        <v>2.0</v>
      </c>
      <c r="N49" s="87" t="s">
        <v>217</v>
      </c>
      <c r="O49" s="88"/>
      <c r="P49" s="58"/>
      <c r="Q49" s="59" t="s">
        <v>113</v>
      </c>
      <c r="R49" s="88"/>
      <c r="S49" s="88"/>
      <c r="T49" s="88"/>
      <c r="U49" s="88"/>
      <c r="V49" s="88"/>
      <c r="W49" s="87" t="s">
        <v>160</v>
      </c>
      <c r="X49" s="88"/>
      <c r="Y49" s="88"/>
      <c r="Z49" s="88"/>
      <c r="AA49" s="85"/>
      <c r="AB49" s="85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59" t="s">
        <v>115</v>
      </c>
      <c r="BI49" s="61">
        <v>784.0</v>
      </c>
      <c r="BJ49" s="59" t="s">
        <v>218</v>
      </c>
      <c r="BK49" s="58"/>
      <c r="BL49" s="85"/>
      <c r="BM49" s="88"/>
      <c r="BN49" s="88"/>
      <c r="BO49" s="89"/>
      <c r="BP49" s="59" t="s">
        <v>161</v>
      </c>
      <c r="BQ49" s="64"/>
    </row>
    <row r="50">
      <c r="A50" s="28">
        <v>1.0</v>
      </c>
      <c r="B50" s="29" t="s">
        <v>219</v>
      </c>
      <c r="C50" s="30"/>
      <c r="D50" s="30"/>
      <c r="E50" s="30"/>
      <c r="F50" s="30"/>
      <c r="G50" s="30"/>
      <c r="H50" s="30"/>
      <c r="I50" s="31" t="str">
        <f t="shared" si="1"/>
        <v>24200</v>
      </c>
      <c r="J50" s="74"/>
      <c r="K50" s="74"/>
      <c r="L50" s="31" t="s">
        <v>220</v>
      </c>
      <c r="M50" s="75">
        <v>1.0</v>
      </c>
      <c r="N50" s="32"/>
      <c r="O50" s="30"/>
      <c r="P50" s="32"/>
      <c r="Q50" s="32"/>
      <c r="R50" s="32"/>
      <c r="S50" s="32"/>
      <c r="T50" s="74"/>
      <c r="U50" s="34">
        <v>1.0</v>
      </c>
      <c r="V50" s="74"/>
      <c r="W50" s="34" t="s">
        <v>70</v>
      </c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32"/>
      <c r="AQ50" s="32"/>
      <c r="AR50" s="32"/>
      <c r="AS50" s="32"/>
      <c r="AT50" s="32"/>
      <c r="AU50" s="32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32"/>
      <c r="BI50" s="32"/>
      <c r="BJ50" s="32"/>
      <c r="BK50" s="32"/>
      <c r="BL50" s="32"/>
      <c r="BM50" s="74"/>
      <c r="BN50" s="76"/>
      <c r="BO50" s="74"/>
      <c r="BP50" s="32"/>
      <c r="BQ50" s="10"/>
    </row>
    <row r="51">
      <c r="A51" s="36">
        <v>2.0</v>
      </c>
      <c r="B51" s="37" t="s">
        <v>221</v>
      </c>
      <c r="C51" s="38"/>
      <c r="D51" s="38"/>
      <c r="E51" s="38"/>
      <c r="F51" s="38"/>
      <c r="G51" s="38"/>
      <c r="H51" s="38"/>
      <c r="I51" s="39" t="str">
        <f t="shared" si="1"/>
        <v>24210</v>
      </c>
      <c r="J51" s="40"/>
      <c r="K51" s="40"/>
      <c r="L51" s="39" t="s">
        <v>220</v>
      </c>
      <c r="M51" s="41">
        <v>1.0</v>
      </c>
      <c r="N51" s="42"/>
      <c r="O51" s="38"/>
      <c r="P51" s="42"/>
      <c r="Q51" s="42"/>
      <c r="R51" s="42"/>
      <c r="S51" s="42"/>
      <c r="T51" s="40"/>
      <c r="U51" s="43">
        <v>1.0</v>
      </c>
      <c r="V51" s="40"/>
      <c r="W51" s="43" t="s">
        <v>70</v>
      </c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2"/>
      <c r="AQ51" s="42"/>
      <c r="AR51" s="42"/>
      <c r="AS51" s="42"/>
      <c r="AT51" s="42"/>
      <c r="AU51" s="42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2"/>
      <c r="BI51" s="42"/>
      <c r="BJ51" s="42"/>
      <c r="BK51" s="42"/>
      <c r="BL51" s="42"/>
      <c r="BM51" s="40"/>
      <c r="BN51" s="44"/>
      <c r="BO51" s="40"/>
      <c r="BP51" s="42"/>
      <c r="BQ51" s="10"/>
    </row>
    <row r="52">
      <c r="A52" s="45">
        <v>3.0</v>
      </c>
      <c r="B52" s="46" t="s">
        <v>222</v>
      </c>
      <c r="C52" s="47"/>
      <c r="D52" s="47"/>
      <c r="E52" s="47"/>
      <c r="F52" s="47"/>
      <c r="G52" s="47"/>
      <c r="H52" s="47"/>
      <c r="I52" s="48" t="str">
        <f t="shared" si="1"/>
        <v>24211</v>
      </c>
      <c r="J52" s="49"/>
      <c r="K52" s="49"/>
      <c r="L52" s="48" t="s">
        <v>223</v>
      </c>
      <c r="M52" s="50">
        <v>1.0</v>
      </c>
      <c r="N52" s="51"/>
      <c r="O52" s="47"/>
      <c r="P52" s="51"/>
      <c r="Q52" s="51"/>
      <c r="R52" s="51"/>
      <c r="S52" s="51"/>
      <c r="T52" s="49"/>
      <c r="U52" s="52">
        <v>1.0</v>
      </c>
      <c r="V52" s="49"/>
      <c r="W52" s="52" t="s">
        <v>70</v>
      </c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51"/>
      <c r="AQ52" s="51"/>
      <c r="AR52" s="51"/>
      <c r="AS52" s="51"/>
      <c r="AT52" s="51"/>
      <c r="AU52" s="51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51"/>
      <c r="BI52" s="51"/>
      <c r="BJ52" s="51"/>
      <c r="BK52" s="51"/>
      <c r="BL52" s="51"/>
      <c r="BM52" s="49"/>
      <c r="BN52" s="53"/>
      <c r="BO52" s="49"/>
      <c r="BP52" s="51"/>
      <c r="BQ52" s="10"/>
    </row>
    <row r="53">
      <c r="A53" s="70" t="s">
        <v>224</v>
      </c>
      <c r="B53" s="71" t="s">
        <v>222</v>
      </c>
      <c r="C53" s="71" t="s">
        <v>76</v>
      </c>
      <c r="D53" s="56"/>
      <c r="E53" s="56"/>
      <c r="F53" s="56"/>
      <c r="G53" s="56"/>
      <c r="H53" s="56"/>
      <c r="I53" s="58" t="str">
        <f t="shared" si="1"/>
        <v>2421101</v>
      </c>
      <c r="J53" s="58"/>
      <c r="K53" s="58"/>
      <c r="L53" s="90" t="s">
        <v>225</v>
      </c>
      <c r="M53" s="60">
        <v>1.0</v>
      </c>
      <c r="N53" s="72" t="s">
        <v>226</v>
      </c>
      <c r="O53" s="73" t="s">
        <v>227</v>
      </c>
      <c r="P53" s="72" t="s">
        <v>228</v>
      </c>
      <c r="Q53" s="90" t="s">
        <v>113</v>
      </c>
      <c r="R53" s="58"/>
      <c r="S53" s="58"/>
      <c r="T53" s="58"/>
      <c r="U53" s="72">
        <v>1.0</v>
      </c>
      <c r="V53" s="58"/>
      <c r="W53" s="72" t="s">
        <v>78</v>
      </c>
      <c r="X53" s="58"/>
      <c r="Y53" s="58"/>
      <c r="Z53" s="58"/>
      <c r="AA53" s="62" t="s">
        <v>79</v>
      </c>
      <c r="AB53" s="62" t="s">
        <v>79</v>
      </c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72" t="s">
        <v>229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91" t="s">
        <v>115</v>
      </c>
      <c r="BI53" s="92">
        <v>205.0</v>
      </c>
      <c r="BJ53" s="58"/>
      <c r="BK53" s="58"/>
      <c r="BL53" s="58"/>
      <c r="BM53" s="58"/>
      <c r="BN53" s="63"/>
      <c r="BO53" s="58"/>
      <c r="BP53" s="58"/>
      <c r="BQ53" s="64"/>
    </row>
    <row r="54">
      <c r="A54" s="70" t="s">
        <v>224</v>
      </c>
      <c r="B54" s="71" t="s">
        <v>222</v>
      </c>
      <c r="C54" s="71" t="s">
        <v>119</v>
      </c>
      <c r="D54" s="56"/>
      <c r="E54" s="56"/>
      <c r="F54" s="56"/>
      <c r="G54" s="56"/>
      <c r="H54" s="56"/>
      <c r="I54" s="58" t="str">
        <f t="shared" si="1"/>
        <v>2421102</v>
      </c>
      <c r="J54" s="58"/>
      <c r="K54" s="58"/>
      <c r="L54" s="90" t="s">
        <v>225</v>
      </c>
      <c r="M54" s="60">
        <v>1.0</v>
      </c>
      <c r="N54" s="72" t="s">
        <v>226</v>
      </c>
      <c r="O54" s="73" t="s">
        <v>230</v>
      </c>
      <c r="P54" s="72" t="s">
        <v>228</v>
      </c>
      <c r="Q54" s="90" t="s">
        <v>113</v>
      </c>
      <c r="R54" s="58"/>
      <c r="S54" s="58"/>
      <c r="T54" s="58"/>
      <c r="U54" s="72">
        <v>1.0</v>
      </c>
      <c r="V54" s="58"/>
      <c r="W54" s="72" t="s">
        <v>78</v>
      </c>
      <c r="X54" s="58"/>
      <c r="Y54" s="58"/>
      <c r="Z54" s="58"/>
      <c r="AA54" s="62" t="s">
        <v>79</v>
      </c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72" t="s">
        <v>231</v>
      </c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91" t="s">
        <v>115</v>
      </c>
      <c r="BI54" s="92">
        <v>205.0</v>
      </c>
      <c r="BJ54" s="58"/>
      <c r="BK54" s="58"/>
      <c r="BL54" s="58"/>
      <c r="BM54" s="58"/>
      <c r="BN54" s="63"/>
      <c r="BO54" s="58"/>
      <c r="BP54" s="58"/>
      <c r="BQ54" s="64"/>
    </row>
    <row r="55">
      <c r="A55" s="28">
        <v>1.0</v>
      </c>
      <c r="B55" s="29">
        <v>24300.0</v>
      </c>
      <c r="C55" s="30"/>
      <c r="D55" s="30"/>
      <c r="E55" s="30"/>
      <c r="F55" s="30"/>
      <c r="G55" s="30"/>
      <c r="H55" s="30"/>
      <c r="I55" s="31" t="str">
        <f t="shared" si="1"/>
        <v>24300</v>
      </c>
      <c r="J55" s="74"/>
      <c r="K55" s="74"/>
      <c r="L55" s="31" t="s">
        <v>232</v>
      </c>
      <c r="M55" s="75">
        <v>1.0</v>
      </c>
      <c r="N55" s="32"/>
      <c r="O55" s="30"/>
      <c r="P55" s="32"/>
      <c r="Q55" s="32"/>
      <c r="R55" s="32"/>
      <c r="S55" s="32"/>
      <c r="T55" s="74"/>
      <c r="U55" s="34">
        <v>1.0</v>
      </c>
      <c r="V55" s="74"/>
      <c r="W55" s="34" t="s">
        <v>70</v>
      </c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32"/>
      <c r="AQ55" s="32"/>
      <c r="AR55" s="32"/>
      <c r="AS55" s="32"/>
      <c r="AT55" s="32"/>
      <c r="AU55" s="32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32"/>
      <c r="BI55" s="32"/>
      <c r="BJ55" s="32"/>
      <c r="BK55" s="32"/>
      <c r="BL55" s="32"/>
      <c r="BM55" s="74"/>
      <c r="BN55" s="76"/>
      <c r="BO55" s="74"/>
      <c r="BP55" s="32"/>
      <c r="BQ55" s="10"/>
    </row>
    <row r="56">
      <c r="A56" s="36">
        <v>2.0</v>
      </c>
      <c r="B56" s="37">
        <v>24310.0</v>
      </c>
      <c r="C56" s="38"/>
      <c r="D56" s="38"/>
      <c r="E56" s="38"/>
      <c r="F56" s="38"/>
      <c r="G56" s="38"/>
      <c r="H56" s="38"/>
      <c r="I56" s="39" t="str">
        <f t="shared" si="1"/>
        <v>24310</v>
      </c>
      <c r="J56" s="40"/>
      <c r="K56" s="40"/>
      <c r="L56" s="39" t="s">
        <v>233</v>
      </c>
      <c r="M56" s="41">
        <v>1.0</v>
      </c>
      <c r="N56" s="42"/>
      <c r="O56" s="38"/>
      <c r="P56" s="42"/>
      <c r="Q56" s="42"/>
      <c r="R56" s="42"/>
      <c r="S56" s="42"/>
      <c r="T56" s="40"/>
      <c r="U56" s="43">
        <v>1.0</v>
      </c>
      <c r="V56" s="40"/>
      <c r="W56" s="43" t="s">
        <v>70</v>
      </c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2"/>
      <c r="AQ56" s="42"/>
      <c r="AR56" s="42"/>
      <c r="AS56" s="42"/>
      <c r="AT56" s="42"/>
      <c r="AU56" s="42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2"/>
      <c r="BI56" s="42"/>
      <c r="BJ56" s="42"/>
      <c r="BK56" s="42"/>
      <c r="BL56" s="42"/>
      <c r="BM56" s="40"/>
      <c r="BN56" s="44"/>
      <c r="BO56" s="40"/>
      <c r="BP56" s="42"/>
      <c r="BQ56" s="10"/>
    </row>
    <row r="57">
      <c r="A57" s="65">
        <v>3.0</v>
      </c>
      <c r="B57" s="66">
        <v>24311.0</v>
      </c>
      <c r="C57" s="56"/>
      <c r="D57" s="56"/>
      <c r="E57" s="56"/>
      <c r="F57" s="56"/>
      <c r="G57" s="56"/>
      <c r="H57" s="56"/>
      <c r="I57" s="67" t="str">
        <f t="shared" si="1"/>
        <v>24311</v>
      </c>
      <c r="J57" s="58"/>
      <c r="K57" s="58"/>
      <c r="L57" s="67" t="s">
        <v>234</v>
      </c>
      <c r="M57" s="68">
        <v>1.0</v>
      </c>
      <c r="N57" s="69" t="s">
        <v>235</v>
      </c>
      <c r="O57" s="56"/>
      <c r="P57" s="58"/>
      <c r="Q57" s="58"/>
      <c r="R57" s="58"/>
      <c r="S57" s="58"/>
      <c r="T57" s="58"/>
      <c r="U57" s="69">
        <v>1.0</v>
      </c>
      <c r="V57" s="58"/>
      <c r="W57" s="69" t="s">
        <v>141</v>
      </c>
      <c r="X57" s="58"/>
      <c r="Y57" s="58"/>
      <c r="Z57" s="58"/>
      <c r="AA57" s="62" t="s">
        <v>79</v>
      </c>
      <c r="AB57" s="62" t="s">
        <v>79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69" t="s">
        <v>80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63"/>
      <c r="BO57" s="58"/>
      <c r="BP57" s="58"/>
      <c r="BQ57" s="64"/>
    </row>
    <row r="58">
      <c r="A58" s="70" t="s">
        <v>224</v>
      </c>
      <c r="B58" s="71" t="s">
        <v>236</v>
      </c>
      <c r="C58" s="71" t="s">
        <v>76</v>
      </c>
      <c r="D58" s="56"/>
      <c r="E58" s="56"/>
      <c r="F58" s="56"/>
      <c r="G58" s="56"/>
      <c r="H58" s="56"/>
      <c r="I58" s="58" t="str">
        <f t="shared" si="1"/>
        <v>2431101</v>
      </c>
      <c r="J58" s="58"/>
      <c r="K58" s="58"/>
      <c r="L58" s="59" t="s">
        <v>237</v>
      </c>
      <c r="M58" s="60">
        <v>1.0</v>
      </c>
      <c r="N58" s="58"/>
      <c r="O58" s="73" t="s">
        <v>238</v>
      </c>
      <c r="P58" s="72" t="s">
        <v>239</v>
      </c>
      <c r="Q58" s="90" t="s">
        <v>113</v>
      </c>
      <c r="R58" s="58"/>
      <c r="S58" s="58"/>
      <c r="T58" s="58"/>
      <c r="U58" s="72">
        <v>1.0</v>
      </c>
      <c r="V58" s="58"/>
      <c r="W58" s="72" t="s">
        <v>78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72" t="s">
        <v>80</v>
      </c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91" t="s">
        <v>115</v>
      </c>
      <c r="BI58" s="60">
        <v>205.0</v>
      </c>
      <c r="BJ58" s="58"/>
      <c r="BK58" s="58"/>
      <c r="BL58" s="58"/>
      <c r="BM58" s="58"/>
      <c r="BN58" s="63"/>
      <c r="BO58" s="58"/>
      <c r="BP58" s="58"/>
      <c r="BQ58" s="64"/>
    </row>
    <row r="59">
      <c r="A59" s="70" t="s">
        <v>224</v>
      </c>
      <c r="B59" s="71" t="s">
        <v>236</v>
      </c>
      <c r="C59" s="71" t="s">
        <v>119</v>
      </c>
      <c r="D59" s="56"/>
      <c r="E59" s="56"/>
      <c r="F59" s="56"/>
      <c r="G59" s="56"/>
      <c r="H59" s="56"/>
      <c r="I59" s="58" t="str">
        <f t="shared" si="1"/>
        <v>2431102</v>
      </c>
      <c r="J59" s="58"/>
      <c r="K59" s="58"/>
      <c r="L59" s="59" t="s">
        <v>240</v>
      </c>
      <c r="M59" s="60">
        <v>1.0</v>
      </c>
      <c r="N59" s="58"/>
      <c r="O59" s="73" t="s">
        <v>241</v>
      </c>
      <c r="P59" s="72" t="s">
        <v>242</v>
      </c>
      <c r="Q59" s="90" t="s">
        <v>113</v>
      </c>
      <c r="R59" s="58"/>
      <c r="S59" s="58"/>
      <c r="T59" s="58"/>
      <c r="U59" s="72">
        <v>1.0</v>
      </c>
      <c r="V59" s="58"/>
      <c r="W59" s="72" t="s">
        <v>78</v>
      </c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72" t="s">
        <v>80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91" t="s">
        <v>115</v>
      </c>
      <c r="BI59" s="60">
        <v>205.0</v>
      </c>
      <c r="BJ59" s="58"/>
      <c r="BK59" s="58"/>
      <c r="BL59" s="58"/>
      <c r="BM59" s="58"/>
      <c r="BN59" s="63"/>
      <c r="BO59" s="58"/>
      <c r="BP59" s="58"/>
      <c r="BQ59" s="64"/>
    </row>
    <row r="60">
      <c r="A60" s="70" t="s">
        <v>224</v>
      </c>
      <c r="B60" s="71" t="s">
        <v>236</v>
      </c>
      <c r="C60" s="71" t="s">
        <v>124</v>
      </c>
      <c r="D60" s="56"/>
      <c r="E60" s="56"/>
      <c r="F60" s="56"/>
      <c r="G60" s="56"/>
      <c r="H60" s="56"/>
      <c r="I60" s="58" t="str">
        <f t="shared" si="1"/>
        <v>2431103</v>
      </c>
      <c r="J60" s="58"/>
      <c r="K60" s="58"/>
      <c r="L60" s="59" t="s">
        <v>243</v>
      </c>
      <c r="M60" s="60">
        <v>1.0</v>
      </c>
      <c r="N60" s="58"/>
      <c r="O60" s="73" t="s">
        <v>244</v>
      </c>
      <c r="P60" s="72" t="s">
        <v>245</v>
      </c>
      <c r="Q60" s="90" t="s">
        <v>113</v>
      </c>
      <c r="R60" s="58"/>
      <c r="S60" s="58"/>
      <c r="T60" s="58"/>
      <c r="U60" s="72">
        <v>1.0</v>
      </c>
      <c r="V60" s="58"/>
      <c r="W60" s="72" t="s">
        <v>78</v>
      </c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72" t="s">
        <v>80</v>
      </c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91" t="s">
        <v>115</v>
      </c>
      <c r="BI60" s="60">
        <v>205.0</v>
      </c>
      <c r="BJ60" s="58"/>
      <c r="BK60" s="58"/>
      <c r="BL60" s="58"/>
      <c r="BM60" s="58"/>
      <c r="BN60" s="63"/>
      <c r="BO60" s="58"/>
      <c r="BP60" s="58"/>
      <c r="BQ60" s="64"/>
    </row>
    <row r="61">
      <c r="A61" s="70" t="s">
        <v>224</v>
      </c>
      <c r="B61" s="71" t="s">
        <v>236</v>
      </c>
      <c r="C61" s="71" t="s">
        <v>127</v>
      </c>
      <c r="D61" s="56"/>
      <c r="E61" s="56"/>
      <c r="F61" s="56"/>
      <c r="G61" s="56"/>
      <c r="H61" s="56"/>
      <c r="I61" s="58" t="str">
        <f t="shared" si="1"/>
        <v>2431104</v>
      </c>
      <c r="J61" s="58"/>
      <c r="K61" s="58"/>
      <c r="L61" s="59" t="s">
        <v>246</v>
      </c>
      <c r="M61" s="60">
        <v>2.0</v>
      </c>
      <c r="N61" s="58"/>
      <c r="O61" s="56"/>
      <c r="P61" s="72" t="s">
        <v>247</v>
      </c>
      <c r="Q61" s="90" t="s">
        <v>113</v>
      </c>
      <c r="R61" s="58"/>
      <c r="S61" s="58"/>
      <c r="T61" s="58"/>
      <c r="U61" s="72">
        <v>1.0</v>
      </c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91" t="s">
        <v>115</v>
      </c>
      <c r="BI61" s="60">
        <v>205.0</v>
      </c>
      <c r="BJ61" s="58"/>
      <c r="BK61" s="58"/>
      <c r="BL61" s="58"/>
      <c r="BM61" s="58"/>
      <c r="BN61" s="63"/>
      <c r="BO61" s="58"/>
      <c r="BP61" s="58"/>
      <c r="BQ61" s="64"/>
    </row>
    <row r="62">
      <c r="A62" s="70" t="s">
        <v>224</v>
      </c>
      <c r="B62" s="71" t="s">
        <v>236</v>
      </c>
      <c r="C62" s="71" t="s">
        <v>91</v>
      </c>
      <c r="D62" s="56"/>
      <c r="E62" s="56"/>
      <c r="F62" s="56"/>
      <c r="G62" s="56"/>
      <c r="H62" s="56"/>
      <c r="I62" s="58" t="str">
        <f t="shared" si="1"/>
        <v>2431105</v>
      </c>
      <c r="J62" s="58"/>
      <c r="K62" s="58"/>
      <c r="L62" s="59" t="s">
        <v>248</v>
      </c>
      <c r="M62" s="60">
        <v>1.0</v>
      </c>
      <c r="N62" s="58"/>
      <c r="O62" s="73" t="s">
        <v>249</v>
      </c>
      <c r="P62" s="72" t="s">
        <v>250</v>
      </c>
      <c r="Q62" s="90" t="s">
        <v>113</v>
      </c>
      <c r="R62" s="58"/>
      <c r="S62" s="58"/>
      <c r="T62" s="58"/>
      <c r="U62" s="72">
        <v>1.0</v>
      </c>
      <c r="V62" s="58"/>
      <c r="W62" s="72" t="s">
        <v>78</v>
      </c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72" t="s">
        <v>80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91" t="s">
        <v>115</v>
      </c>
      <c r="BI62" s="60">
        <v>205.0</v>
      </c>
      <c r="BJ62" s="58"/>
      <c r="BK62" s="58"/>
      <c r="BL62" s="58"/>
      <c r="BM62" s="58"/>
      <c r="BN62" s="63"/>
      <c r="BO62" s="58"/>
      <c r="BP62" s="58"/>
      <c r="BQ62" s="64"/>
    </row>
    <row r="63">
      <c r="A63" s="70" t="s">
        <v>224</v>
      </c>
      <c r="B63" s="71" t="s">
        <v>236</v>
      </c>
      <c r="C63" s="71" t="s">
        <v>133</v>
      </c>
      <c r="D63" s="56"/>
      <c r="E63" s="56"/>
      <c r="F63" s="56"/>
      <c r="G63" s="56"/>
      <c r="H63" s="56"/>
      <c r="I63" s="58" t="str">
        <f t="shared" si="1"/>
        <v>2431106</v>
      </c>
      <c r="J63" s="58"/>
      <c r="K63" s="58"/>
      <c r="L63" s="59" t="s">
        <v>251</v>
      </c>
      <c r="M63" s="60">
        <v>1.0</v>
      </c>
      <c r="N63" s="58"/>
      <c r="O63" s="73" t="s">
        <v>252</v>
      </c>
      <c r="P63" s="72" t="s">
        <v>253</v>
      </c>
      <c r="Q63" s="90" t="s">
        <v>113</v>
      </c>
      <c r="R63" s="58"/>
      <c r="S63" s="58"/>
      <c r="T63" s="58"/>
      <c r="U63" s="72">
        <v>1.0</v>
      </c>
      <c r="V63" s="58"/>
      <c r="W63" s="72" t="s">
        <v>78</v>
      </c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72" t="s">
        <v>80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91" t="s">
        <v>115</v>
      </c>
      <c r="BI63" s="60">
        <v>205.0</v>
      </c>
      <c r="BJ63" s="58"/>
      <c r="BK63" s="58"/>
      <c r="BL63" s="58"/>
      <c r="BM63" s="58"/>
      <c r="BN63" s="63"/>
      <c r="BO63" s="58"/>
      <c r="BP63" s="58"/>
      <c r="BQ63" s="64"/>
    </row>
    <row r="64">
      <c r="A64" s="70" t="s">
        <v>224</v>
      </c>
      <c r="B64" s="71" t="s">
        <v>236</v>
      </c>
      <c r="C64" s="71" t="s">
        <v>136</v>
      </c>
      <c r="D64" s="56"/>
      <c r="E64" s="56"/>
      <c r="F64" s="56"/>
      <c r="G64" s="56"/>
      <c r="H64" s="56"/>
      <c r="I64" s="58" t="str">
        <f t="shared" si="1"/>
        <v>2431107</v>
      </c>
      <c r="J64" s="58"/>
      <c r="K64" s="58"/>
      <c r="L64" s="59" t="s">
        <v>254</v>
      </c>
      <c r="M64" s="60">
        <v>2.0</v>
      </c>
      <c r="N64" s="58"/>
      <c r="O64" s="56"/>
      <c r="P64" s="72" t="s">
        <v>255</v>
      </c>
      <c r="Q64" s="90" t="s">
        <v>113</v>
      </c>
      <c r="R64" s="58"/>
      <c r="S64" s="58"/>
      <c r="T64" s="58"/>
      <c r="U64" s="72">
        <v>1.0</v>
      </c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91" t="s">
        <v>115</v>
      </c>
      <c r="BI64" s="60">
        <v>205.0</v>
      </c>
      <c r="BJ64" s="58"/>
      <c r="BK64" s="58"/>
      <c r="BL64" s="58"/>
      <c r="BM64" s="58"/>
      <c r="BN64" s="63"/>
      <c r="BO64" s="58"/>
      <c r="BP64" s="58"/>
      <c r="BQ64" s="64"/>
    </row>
    <row r="65">
      <c r="A65" s="70" t="s">
        <v>224</v>
      </c>
      <c r="B65" s="71" t="s">
        <v>236</v>
      </c>
      <c r="C65" s="71" t="s">
        <v>138</v>
      </c>
      <c r="D65" s="56"/>
      <c r="E65" s="56"/>
      <c r="F65" s="56"/>
      <c r="G65" s="56"/>
      <c r="H65" s="56"/>
      <c r="I65" s="58" t="str">
        <f t="shared" si="1"/>
        <v>2431108</v>
      </c>
      <c r="J65" s="58"/>
      <c r="K65" s="58"/>
      <c r="L65" s="59" t="s">
        <v>256</v>
      </c>
      <c r="M65" s="60">
        <v>2.0</v>
      </c>
      <c r="N65" s="58"/>
      <c r="O65" s="56"/>
      <c r="P65" s="72" t="s">
        <v>257</v>
      </c>
      <c r="Q65" s="90" t="s">
        <v>113</v>
      </c>
      <c r="R65" s="58"/>
      <c r="S65" s="58"/>
      <c r="T65" s="58"/>
      <c r="U65" s="72">
        <v>1.0</v>
      </c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91" t="s">
        <v>115</v>
      </c>
      <c r="BI65" s="60">
        <v>205.0</v>
      </c>
      <c r="BJ65" s="58"/>
      <c r="BK65" s="58"/>
      <c r="BL65" s="58"/>
      <c r="BM65" s="58"/>
      <c r="BN65" s="63"/>
      <c r="BO65" s="58"/>
      <c r="BP65" s="58"/>
      <c r="BQ65" s="64"/>
    </row>
    <row r="66">
      <c r="A66" s="70" t="s">
        <v>224</v>
      </c>
      <c r="B66" s="71" t="s">
        <v>236</v>
      </c>
      <c r="C66" s="71" t="s">
        <v>142</v>
      </c>
      <c r="D66" s="56"/>
      <c r="E66" s="56"/>
      <c r="F66" s="56"/>
      <c r="G66" s="56"/>
      <c r="H66" s="56"/>
      <c r="I66" s="58" t="str">
        <f t="shared" si="1"/>
        <v>2431109</v>
      </c>
      <c r="J66" s="58"/>
      <c r="K66" s="58"/>
      <c r="L66" s="59" t="s">
        <v>258</v>
      </c>
      <c r="M66" s="60">
        <v>2.0</v>
      </c>
      <c r="N66" s="58"/>
      <c r="O66" s="56"/>
      <c r="P66" s="72" t="s">
        <v>259</v>
      </c>
      <c r="Q66" s="90" t="s">
        <v>113</v>
      </c>
      <c r="R66" s="58"/>
      <c r="S66" s="58"/>
      <c r="T66" s="58"/>
      <c r="U66" s="72">
        <v>4.0</v>
      </c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91" t="s">
        <v>115</v>
      </c>
      <c r="BI66" s="60">
        <v>205.0</v>
      </c>
      <c r="BJ66" s="58"/>
      <c r="BK66" s="58"/>
      <c r="BL66" s="58"/>
      <c r="BM66" s="58"/>
      <c r="BN66" s="63"/>
      <c r="BO66" s="58"/>
      <c r="BP66" s="58"/>
      <c r="BQ66" s="64"/>
    </row>
    <row r="67">
      <c r="A67" s="70" t="s">
        <v>224</v>
      </c>
      <c r="B67" s="71" t="s">
        <v>236</v>
      </c>
      <c r="C67" s="71" t="s">
        <v>149</v>
      </c>
      <c r="D67" s="56"/>
      <c r="E67" s="56"/>
      <c r="F67" s="56"/>
      <c r="G67" s="56"/>
      <c r="H67" s="56"/>
      <c r="I67" s="58" t="str">
        <f t="shared" si="1"/>
        <v>243110A</v>
      </c>
      <c r="J67" s="58"/>
      <c r="K67" s="58"/>
      <c r="L67" s="59" t="s">
        <v>260</v>
      </c>
      <c r="M67" s="60">
        <v>2.0</v>
      </c>
      <c r="N67" s="58"/>
      <c r="O67" s="56"/>
      <c r="P67" s="72" t="s">
        <v>261</v>
      </c>
      <c r="Q67" s="90" t="s">
        <v>113</v>
      </c>
      <c r="R67" s="58"/>
      <c r="S67" s="58"/>
      <c r="T67" s="58"/>
      <c r="U67" s="72">
        <v>1.0</v>
      </c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91" t="s">
        <v>115</v>
      </c>
      <c r="BI67" s="60">
        <v>205.0</v>
      </c>
      <c r="BJ67" s="58"/>
      <c r="BK67" s="58"/>
      <c r="BL67" s="58"/>
      <c r="BM67" s="58"/>
      <c r="BN67" s="63"/>
      <c r="BO67" s="58"/>
      <c r="BP67" s="58"/>
      <c r="BQ67" s="64"/>
    </row>
    <row r="68">
      <c r="A68" s="70" t="s">
        <v>224</v>
      </c>
      <c r="B68" s="71" t="s">
        <v>236</v>
      </c>
      <c r="C68" s="71" t="s">
        <v>151</v>
      </c>
      <c r="D68" s="56"/>
      <c r="E68" s="56"/>
      <c r="F68" s="56"/>
      <c r="G68" s="56"/>
      <c r="H68" s="56"/>
      <c r="I68" s="58" t="str">
        <f t="shared" si="1"/>
        <v>243110B</v>
      </c>
      <c r="J68" s="58"/>
      <c r="K68" s="58"/>
      <c r="L68" s="59" t="s">
        <v>262</v>
      </c>
      <c r="M68" s="60">
        <v>2.0</v>
      </c>
      <c r="N68" s="58"/>
      <c r="O68" s="56"/>
      <c r="P68" s="72" t="s">
        <v>263</v>
      </c>
      <c r="Q68" s="90" t="s">
        <v>113</v>
      </c>
      <c r="R68" s="58"/>
      <c r="S68" s="58"/>
      <c r="T68" s="58"/>
      <c r="U68" s="72">
        <v>1.0</v>
      </c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91" t="s">
        <v>115</v>
      </c>
      <c r="BI68" s="60">
        <v>205.0</v>
      </c>
      <c r="BJ68" s="58"/>
      <c r="BK68" s="58"/>
      <c r="BL68" s="58"/>
      <c r="BM68" s="58"/>
      <c r="BN68" s="63"/>
      <c r="BO68" s="58"/>
      <c r="BP68" s="58"/>
      <c r="BQ68" s="64"/>
    </row>
    <row r="69">
      <c r="A69" s="70" t="s">
        <v>224</v>
      </c>
      <c r="B69" s="71" t="s">
        <v>236</v>
      </c>
      <c r="C69" s="71" t="s">
        <v>155</v>
      </c>
      <c r="D69" s="56"/>
      <c r="E69" s="56"/>
      <c r="F69" s="56"/>
      <c r="G69" s="56"/>
      <c r="H69" s="56"/>
      <c r="I69" s="58" t="str">
        <f t="shared" si="1"/>
        <v>243110C</v>
      </c>
      <c r="J69" s="58"/>
      <c r="K69" s="58"/>
      <c r="L69" s="59" t="s">
        <v>264</v>
      </c>
      <c r="M69" s="60">
        <v>2.0</v>
      </c>
      <c r="N69" s="58"/>
      <c r="O69" s="56"/>
      <c r="P69" s="72" t="s">
        <v>265</v>
      </c>
      <c r="Q69" s="90" t="s">
        <v>113</v>
      </c>
      <c r="R69" s="58"/>
      <c r="S69" s="58"/>
      <c r="T69" s="58"/>
      <c r="U69" s="72">
        <v>1.0</v>
      </c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91" t="s">
        <v>115</v>
      </c>
      <c r="BI69" s="60">
        <v>205.0</v>
      </c>
      <c r="BJ69" s="58"/>
      <c r="BK69" s="58"/>
      <c r="BL69" s="58"/>
      <c r="BM69" s="58"/>
      <c r="BN69" s="63"/>
      <c r="BO69" s="58"/>
      <c r="BP69" s="58"/>
      <c r="BQ69" s="64"/>
    </row>
    <row r="70">
      <c r="A70" s="70" t="s">
        <v>224</v>
      </c>
      <c r="B70" s="71" t="s">
        <v>236</v>
      </c>
      <c r="C70" s="71" t="s">
        <v>158</v>
      </c>
      <c r="D70" s="56"/>
      <c r="E70" s="56"/>
      <c r="F70" s="56"/>
      <c r="G70" s="56"/>
      <c r="H70" s="56"/>
      <c r="I70" s="58" t="str">
        <f t="shared" si="1"/>
        <v>243110D</v>
      </c>
      <c r="J70" s="58"/>
      <c r="K70" s="58"/>
      <c r="L70" s="59" t="s">
        <v>266</v>
      </c>
      <c r="M70" s="60">
        <v>2.0</v>
      </c>
      <c r="N70" s="58"/>
      <c r="O70" s="56"/>
      <c r="P70" s="72" t="s">
        <v>267</v>
      </c>
      <c r="Q70" s="90" t="s">
        <v>113</v>
      </c>
      <c r="R70" s="58"/>
      <c r="S70" s="58"/>
      <c r="T70" s="58"/>
      <c r="U70" s="72">
        <v>1.0</v>
      </c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91" t="s">
        <v>115</v>
      </c>
      <c r="BI70" s="60">
        <v>205.0</v>
      </c>
      <c r="BJ70" s="58"/>
      <c r="BK70" s="58"/>
      <c r="BL70" s="58"/>
      <c r="BM70" s="58"/>
      <c r="BN70" s="63"/>
      <c r="BO70" s="58"/>
      <c r="BP70" s="58"/>
      <c r="BQ70" s="64"/>
    </row>
    <row r="71">
      <c r="A71" s="70" t="s">
        <v>224</v>
      </c>
      <c r="B71" s="71" t="s">
        <v>236</v>
      </c>
      <c r="C71" s="71" t="s">
        <v>166</v>
      </c>
      <c r="D71" s="56"/>
      <c r="E71" s="56"/>
      <c r="F71" s="56"/>
      <c r="G71" s="56"/>
      <c r="H71" s="56"/>
      <c r="I71" s="58" t="str">
        <f t="shared" si="1"/>
        <v>243110F</v>
      </c>
      <c r="J71" s="58"/>
      <c r="K71" s="58"/>
      <c r="L71" s="59" t="s">
        <v>268</v>
      </c>
      <c r="M71" s="60">
        <v>2.0</v>
      </c>
      <c r="N71" s="58"/>
      <c r="O71" s="56"/>
      <c r="P71" s="72" t="s">
        <v>269</v>
      </c>
      <c r="Q71" s="90" t="s">
        <v>113</v>
      </c>
      <c r="R71" s="58"/>
      <c r="S71" s="58"/>
      <c r="T71" s="58"/>
      <c r="U71" s="72">
        <v>1.0</v>
      </c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91" t="s">
        <v>115</v>
      </c>
      <c r="BI71" s="60">
        <v>205.0</v>
      </c>
      <c r="BJ71" s="58"/>
      <c r="BK71" s="58"/>
      <c r="BL71" s="58"/>
      <c r="BM71" s="58"/>
      <c r="BN71" s="63"/>
      <c r="BO71" s="58"/>
      <c r="BP71" s="58"/>
      <c r="BQ71" s="64"/>
    </row>
    <row r="72">
      <c r="A72" s="70" t="s">
        <v>224</v>
      </c>
      <c r="B72" s="71" t="s">
        <v>236</v>
      </c>
      <c r="C72" s="71" t="s">
        <v>170</v>
      </c>
      <c r="D72" s="56"/>
      <c r="E72" s="56"/>
      <c r="F72" s="56"/>
      <c r="G72" s="56"/>
      <c r="H72" s="56"/>
      <c r="I72" s="58" t="str">
        <f t="shared" si="1"/>
        <v>243110G</v>
      </c>
      <c r="J72" s="58"/>
      <c r="K72" s="58"/>
      <c r="L72" s="59" t="s">
        <v>270</v>
      </c>
      <c r="M72" s="60">
        <v>2.0</v>
      </c>
      <c r="N72" s="58"/>
      <c r="O72" s="56"/>
      <c r="P72" s="72" t="s">
        <v>271</v>
      </c>
      <c r="Q72" s="90" t="s">
        <v>113</v>
      </c>
      <c r="R72" s="58"/>
      <c r="S72" s="58"/>
      <c r="T72" s="58"/>
      <c r="U72" s="72">
        <v>1.0</v>
      </c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91" t="s">
        <v>115</v>
      </c>
      <c r="BI72" s="60">
        <v>205.0</v>
      </c>
      <c r="BJ72" s="58"/>
      <c r="BK72" s="58"/>
      <c r="BL72" s="58"/>
      <c r="BM72" s="58"/>
      <c r="BN72" s="63"/>
      <c r="BO72" s="58"/>
      <c r="BP72" s="58"/>
      <c r="BQ72" s="64"/>
    </row>
    <row r="73">
      <c r="A73" s="70" t="s">
        <v>224</v>
      </c>
      <c r="B73" s="71" t="s">
        <v>236</v>
      </c>
      <c r="C73" s="71" t="s">
        <v>173</v>
      </c>
      <c r="D73" s="56"/>
      <c r="E73" s="56"/>
      <c r="F73" s="56"/>
      <c r="G73" s="56"/>
      <c r="H73" s="56"/>
      <c r="I73" s="58" t="str">
        <f t="shared" si="1"/>
        <v>243110H</v>
      </c>
      <c r="J73" s="58"/>
      <c r="K73" s="58"/>
      <c r="L73" s="59" t="s">
        <v>272</v>
      </c>
      <c r="M73" s="60">
        <v>2.0</v>
      </c>
      <c r="N73" s="58"/>
      <c r="O73" s="56"/>
      <c r="P73" s="72" t="s">
        <v>273</v>
      </c>
      <c r="Q73" s="90" t="s">
        <v>113</v>
      </c>
      <c r="R73" s="58"/>
      <c r="S73" s="58"/>
      <c r="T73" s="58"/>
      <c r="U73" s="72">
        <v>1.0</v>
      </c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91" t="s">
        <v>115</v>
      </c>
      <c r="BI73" s="60">
        <v>205.0</v>
      </c>
      <c r="BJ73" s="58"/>
      <c r="BK73" s="58"/>
      <c r="BL73" s="58"/>
      <c r="BM73" s="58"/>
      <c r="BN73" s="63"/>
      <c r="BO73" s="58"/>
      <c r="BP73" s="58"/>
      <c r="BQ73" s="64"/>
    </row>
    <row r="74">
      <c r="A74" s="70" t="s">
        <v>224</v>
      </c>
      <c r="B74" s="71" t="s">
        <v>236</v>
      </c>
      <c r="C74" s="71" t="s">
        <v>179</v>
      </c>
      <c r="D74" s="56"/>
      <c r="E74" s="56"/>
      <c r="F74" s="56"/>
      <c r="G74" s="56"/>
      <c r="H74" s="56"/>
      <c r="I74" s="58" t="str">
        <f t="shared" si="1"/>
        <v>243110J</v>
      </c>
      <c r="J74" s="58"/>
      <c r="K74" s="58"/>
      <c r="L74" s="59" t="s">
        <v>274</v>
      </c>
      <c r="M74" s="60">
        <v>2.0</v>
      </c>
      <c r="N74" s="58"/>
      <c r="O74" s="56"/>
      <c r="P74" s="72" t="s">
        <v>275</v>
      </c>
      <c r="Q74" s="90" t="s">
        <v>113</v>
      </c>
      <c r="R74" s="58"/>
      <c r="S74" s="58"/>
      <c r="T74" s="58"/>
      <c r="U74" s="72">
        <v>1.0</v>
      </c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91" t="s">
        <v>115</v>
      </c>
      <c r="BI74" s="60">
        <v>205.0</v>
      </c>
      <c r="BJ74" s="58"/>
      <c r="BK74" s="58"/>
      <c r="BL74" s="58"/>
      <c r="BM74" s="58"/>
      <c r="BN74" s="63"/>
      <c r="BO74" s="58"/>
      <c r="BP74" s="58"/>
      <c r="BQ74" s="64"/>
    </row>
    <row r="75">
      <c r="A75" s="70" t="s">
        <v>224</v>
      </c>
      <c r="B75" s="71" t="s">
        <v>236</v>
      </c>
      <c r="C75" s="71" t="s">
        <v>183</v>
      </c>
      <c r="D75" s="56"/>
      <c r="E75" s="56"/>
      <c r="F75" s="56"/>
      <c r="G75" s="56"/>
      <c r="H75" s="56"/>
      <c r="I75" s="58" t="str">
        <f t="shared" si="1"/>
        <v>243110K</v>
      </c>
      <c r="J75" s="58"/>
      <c r="K75" s="58"/>
      <c r="L75" s="59" t="s">
        <v>276</v>
      </c>
      <c r="M75" s="60">
        <v>1.0</v>
      </c>
      <c r="N75" s="58"/>
      <c r="O75" s="56"/>
      <c r="P75" s="72" t="s">
        <v>277</v>
      </c>
      <c r="Q75" s="90" t="s">
        <v>113</v>
      </c>
      <c r="R75" s="58"/>
      <c r="S75" s="58"/>
      <c r="T75" s="58"/>
      <c r="U75" s="72">
        <v>1.0</v>
      </c>
      <c r="V75" s="58"/>
      <c r="W75" s="72" t="s">
        <v>78</v>
      </c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91" t="s">
        <v>115</v>
      </c>
      <c r="BI75" s="60">
        <v>205.0</v>
      </c>
      <c r="BJ75" s="58"/>
      <c r="BK75" s="58"/>
      <c r="BL75" s="58"/>
      <c r="BM75" s="58"/>
      <c r="BN75" s="63"/>
      <c r="BO75" s="58"/>
      <c r="BP75" s="58"/>
      <c r="BQ75" s="64"/>
    </row>
    <row r="76">
      <c r="A76" s="70" t="s">
        <v>224</v>
      </c>
      <c r="B76" s="71" t="s">
        <v>236</v>
      </c>
      <c r="C76" s="71" t="s">
        <v>187</v>
      </c>
      <c r="D76" s="56"/>
      <c r="E76" s="56"/>
      <c r="F76" s="56"/>
      <c r="G76" s="56"/>
      <c r="H76" s="56"/>
      <c r="I76" s="58" t="str">
        <f t="shared" si="1"/>
        <v>243110L</v>
      </c>
      <c r="J76" s="58"/>
      <c r="K76" s="58"/>
      <c r="L76" s="59" t="s">
        <v>278</v>
      </c>
      <c r="M76" s="60">
        <v>2.0</v>
      </c>
      <c r="N76" s="58"/>
      <c r="O76" s="56"/>
      <c r="P76" s="72" t="s">
        <v>279</v>
      </c>
      <c r="Q76" s="90" t="s">
        <v>113</v>
      </c>
      <c r="R76" s="58"/>
      <c r="S76" s="58"/>
      <c r="T76" s="58"/>
      <c r="U76" s="72">
        <v>1.0</v>
      </c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91" t="s">
        <v>115</v>
      </c>
      <c r="BI76" s="60">
        <v>205.0</v>
      </c>
      <c r="BJ76" s="58"/>
      <c r="BK76" s="58"/>
      <c r="BL76" s="58"/>
      <c r="BM76" s="58"/>
      <c r="BN76" s="63"/>
      <c r="BO76" s="58"/>
      <c r="BP76" s="58"/>
      <c r="BQ76" s="64"/>
    </row>
    <row r="77">
      <c r="A77" s="70" t="s">
        <v>224</v>
      </c>
      <c r="B77" s="71" t="s">
        <v>236</v>
      </c>
      <c r="C77" s="71" t="s">
        <v>191</v>
      </c>
      <c r="D77" s="56"/>
      <c r="E77" s="56"/>
      <c r="F77" s="56"/>
      <c r="G77" s="56"/>
      <c r="H77" s="56"/>
      <c r="I77" s="58" t="str">
        <f t="shared" si="1"/>
        <v>243110M</v>
      </c>
      <c r="J77" s="58"/>
      <c r="K77" s="58"/>
      <c r="L77" s="59" t="s">
        <v>280</v>
      </c>
      <c r="M77" s="60">
        <v>2.0</v>
      </c>
      <c r="N77" s="58"/>
      <c r="O77" s="56"/>
      <c r="P77" s="72" t="s">
        <v>281</v>
      </c>
      <c r="Q77" s="90" t="s">
        <v>113</v>
      </c>
      <c r="R77" s="58"/>
      <c r="S77" s="58"/>
      <c r="T77" s="58"/>
      <c r="U77" s="72">
        <v>1.0</v>
      </c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91" t="s">
        <v>115</v>
      </c>
      <c r="BI77" s="60">
        <v>205.0</v>
      </c>
      <c r="BJ77" s="58"/>
      <c r="BK77" s="58"/>
      <c r="BL77" s="58"/>
      <c r="BM77" s="58"/>
      <c r="BN77" s="63"/>
      <c r="BO77" s="58"/>
      <c r="BP77" s="58"/>
      <c r="BQ77" s="64"/>
    </row>
    <row r="78">
      <c r="A78" s="70" t="s">
        <v>224</v>
      </c>
      <c r="B78" s="71" t="s">
        <v>236</v>
      </c>
      <c r="C78" s="71" t="s">
        <v>193</v>
      </c>
      <c r="D78" s="56"/>
      <c r="E78" s="56"/>
      <c r="F78" s="56"/>
      <c r="G78" s="56"/>
      <c r="H78" s="56"/>
      <c r="I78" s="58" t="str">
        <f t="shared" si="1"/>
        <v>243110N</v>
      </c>
      <c r="J78" s="58"/>
      <c r="K78" s="58"/>
      <c r="L78" s="59" t="s">
        <v>282</v>
      </c>
      <c r="M78" s="60">
        <v>2.0</v>
      </c>
      <c r="N78" s="58"/>
      <c r="O78" s="56"/>
      <c r="P78" s="72" t="s">
        <v>283</v>
      </c>
      <c r="Q78" s="90" t="s">
        <v>113</v>
      </c>
      <c r="R78" s="58"/>
      <c r="S78" s="58"/>
      <c r="T78" s="58"/>
      <c r="U78" s="72">
        <v>1.0</v>
      </c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91" t="s">
        <v>115</v>
      </c>
      <c r="BI78" s="60">
        <v>205.0</v>
      </c>
      <c r="BJ78" s="58"/>
      <c r="BK78" s="58"/>
      <c r="BL78" s="58"/>
      <c r="BM78" s="58"/>
      <c r="BN78" s="63"/>
      <c r="BO78" s="58"/>
      <c r="BP78" s="58"/>
      <c r="BQ78" s="64"/>
    </row>
    <row r="79">
      <c r="A79" s="70" t="s">
        <v>224</v>
      </c>
      <c r="B79" s="71" t="s">
        <v>236</v>
      </c>
      <c r="C79" s="71" t="s">
        <v>198</v>
      </c>
      <c r="D79" s="56"/>
      <c r="E79" s="56"/>
      <c r="F79" s="56"/>
      <c r="G79" s="56"/>
      <c r="H79" s="56"/>
      <c r="I79" s="58" t="str">
        <f t="shared" si="1"/>
        <v>243110P</v>
      </c>
      <c r="J79" s="58"/>
      <c r="K79" s="58"/>
      <c r="L79" s="59" t="s">
        <v>284</v>
      </c>
      <c r="M79" s="60">
        <v>1.0</v>
      </c>
      <c r="N79" s="58"/>
      <c r="O79" s="56"/>
      <c r="P79" s="72" t="s">
        <v>285</v>
      </c>
      <c r="Q79" s="90" t="s">
        <v>113</v>
      </c>
      <c r="R79" s="58"/>
      <c r="S79" s="58"/>
      <c r="T79" s="58"/>
      <c r="U79" s="72">
        <v>2.0</v>
      </c>
      <c r="V79" s="58"/>
      <c r="W79" s="72" t="s">
        <v>78</v>
      </c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91" t="s">
        <v>115</v>
      </c>
      <c r="BI79" s="60">
        <v>205.0</v>
      </c>
      <c r="BJ79" s="58"/>
      <c r="BK79" s="58"/>
      <c r="BL79" s="58"/>
      <c r="BM79" s="58"/>
      <c r="BN79" s="63"/>
      <c r="BO79" s="58"/>
      <c r="BP79" s="58"/>
      <c r="BQ79" s="64"/>
    </row>
    <row r="80">
      <c r="A80" s="28">
        <v>1.0</v>
      </c>
      <c r="B80" s="29">
        <v>24500.0</v>
      </c>
      <c r="C80" s="30"/>
      <c r="D80" s="30"/>
      <c r="E80" s="30"/>
      <c r="F80" s="30"/>
      <c r="G80" s="30"/>
      <c r="H80" s="30"/>
      <c r="I80" s="31" t="str">
        <f t="shared" si="1"/>
        <v>24500</v>
      </c>
      <c r="J80" s="74"/>
      <c r="K80" s="74"/>
      <c r="L80" s="31" t="s">
        <v>286</v>
      </c>
      <c r="M80" s="75">
        <v>1.0</v>
      </c>
      <c r="N80" s="32"/>
      <c r="O80" s="30"/>
      <c r="P80" s="32"/>
      <c r="Q80" s="32"/>
      <c r="R80" s="32"/>
      <c r="S80" s="32"/>
      <c r="T80" s="74"/>
      <c r="U80" s="34">
        <v>1.0</v>
      </c>
      <c r="V80" s="74"/>
      <c r="W80" s="34" t="s">
        <v>70</v>
      </c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32"/>
      <c r="AQ80" s="32"/>
      <c r="AR80" s="32"/>
      <c r="AS80" s="32"/>
      <c r="AT80" s="32"/>
      <c r="AU80" s="32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32"/>
      <c r="BI80" s="32"/>
      <c r="BJ80" s="32"/>
      <c r="BK80" s="32"/>
      <c r="BL80" s="32"/>
      <c r="BM80" s="74"/>
      <c r="BN80" s="76"/>
      <c r="BO80" s="74"/>
      <c r="BP80" s="32"/>
      <c r="BQ80" s="10"/>
    </row>
    <row r="81">
      <c r="A81" s="36">
        <v>2.0</v>
      </c>
      <c r="B81" s="37">
        <v>24510.0</v>
      </c>
      <c r="C81" s="38"/>
      <c r="D81" s="38"/>
      <c r="E81" s="38"/>
      <c r="F81" s="38"/>
      <c r="G81" s="38"/>
      <c r="H81" s="38"/>
      <c r="I81" s="39" t="str">
        <f t="shared" si="1"/>
        <v>24510</v>
      </c>
      <c r="J81" s="40"/>
      <c r="K81" s="40"/>
      <c r="L81" s="39" t="s">
        <v>287</v>
      </c>
      <c r="M81" s="41">
        <v>1.0</v>
      </c>
      <c r="N81" s="42"/>
      <c r="O81" s="38"/>
      <c r="P81" s="42"/>
      <c r="Q81" s="42"/>
      <c r="R81" s="42"/>
      <c r="S81" s="42"/>
      <c r="T81" s="40"/>
      <c r="U81" s="43">
        <v>1.0</v>
      </c>
      <c r="V81" s="40"/>
      <c r="W81" s="43" t="s">
        <v>70</v>
      </c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2"/>
      <c r="AQ81" s="42"/>
      <c r="AR81" s="42"/>
      <c r="AS81" s="42"/>
      <c r="AT81" s="42"/>
      <c r="AU81" s="42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2"/>
      <c r="BI81" s="42"/>
      <c r="BJ81" s="42"/>
      <c r="BK81" s="42"/>
      <c r="BL81" s="42"/>
      <c r="BM81" s="40"/>
      <c r="BN81" s="44"/>
      <c r="BO81" s="40"/>
      <c r="BP81" s="42"/>
      <c r="BQ81" s="10"/>
    </row>
    <row r="82">
      <c r="A82" s="45">
        <v>3.0</v>
      </c>
      <c r="B82" s="46">
        <v>24511.0</v>
      </c>
      <c r="C82" s="47"/>
      <c r="D82" s="47"/>
      <c r="E82" s="47"/>
      <c r="F82" s="47"/>
      <c r="G82" s="47"/>
      <c r="H82" s="47"/>
      <c r="I82" s="48" t="str">
        <f t="shared" si="1"/>
        <v>24511</v>
      </c>
      <c r="J82" s="49"/>
      <c r="K82" s="49"/>
      <c r="L82" s="48" t="s">
        <v>288</v>
      </c>
      <c r="M82" s="50">
        <v>1.0</v>
      </c>
      <c r="N82" s="51"/>
      <c r="O82" s="47"/>
      <c r="P82" s="51"/>
      <c r="Q82" s="51"/>
      <c r="R82" s="51"/>
      <c r="S82" s="51"/>
      <c r="T82" s="49"/>
      <c r="U82" s="52">
        <v>1.0</v>
      </c>
      <c r="V82" s="49"/>
      <c r="W82" s="52" t="s">
        <v>70</v>
      </c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51"/>
      <c r="AQ82" s="51"/>
      <c r="AR82" s="51"/>
      <c r="AS82" s="51"/>
      <c r="AT82" s="51"/>
      <c r="AU82" s="51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51"/>
      <c r="BI82" s="51"/>
      <c r="BJ82" s="51"/>
      <c r="BK82" s="51"/>
      <c r="BL82" s="51"/>
      <c r="BM82" s="49"/>
      <c r="BN82" s="53"/>
      <c r="BO82" s="49"/>
      <c r="BP82" s="51"/>
      <c r="BQ82" s="10"/>
    </row>
    <row r="83">
      <c r="A83" s="1">
        <v>4.0</v>
      </c>
      <c r="B83" s="2">
        <v>24511.0</v>
      </c>
      <c r="C83" s="2" t="s">
        <v>76</v>
      </c>
      <c r="D83" s="93"/>
      <c r="E83" s="93"/>
      <c r="F83" s="93"/>
      <c r="G83" s="93"/>
      <c r="H83" s="93"/>
      <c r="I83" s="3" t="str">
        <f t="shared" si="1"/>
        <v>2451101</v>
      </c>
      <c r="J83" s="3"/>
      <c r="K83" s="3"/>
      <c r="L83" s="94" t="s">
        <v>289</v>
      </c>
      <c r="M83" s="4">
        <v>1.0</v>
      </c>
      <c r="N83" s="3"/>
      <c r="O83" s="95" t="s">
        <v>290</v>
      </c>
      <c r="P83" s="3"/>
      <c r="Q83" s="3"/>
      <c r="R83" s="3"/>
      <c r="S83" s="3"/>
      <c r="T83" s="3"/>
      <c r="U83" s="6">
        <v>1.0</v>
      </c>
      <c r="V83" s="3"/>
      <c r="W83" s="6" t="s">
        <v>78</v>
      </c>
      <c r="X83" s="3"/>
      <c r="Y83" s="3"/>
      <c r="Z83" s="3"/>
      <c r="AA83" s="96" t="s">
        <v>79</v>
      </c>
      <c r="AB83" s="96" t="s">
        <v>79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6" t="s">
        <v>80</v>
      </c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97"/>
      <c r="BO83" s="3"/>
      <c r="BP83" s="3"/>
      <c r="BQ83" s="10"/>
    </row>
    <row r="84">
      <c r="A84" s="71" t="s">
        <v>224</v>
      </c>
      <c r="B84" s="71" t="s">
        <v>291</v>
      </c>
      <c r="C84" s="71" t="s">
        <v>119</v>
      </c>
      <c r="D84" s="56"/>
      <c r="E84" s="56"/>
      <c r="F84" s="56"/>
      <c r="G84" s="56"/>
      <c r="H84" s="56"/>
      <c r="I84" s="58" t="str">
        <f t="shared" si="1"/>
        <v>2451102</v>
      </c>
      <c r="J84" s="56"/>
      <c r="K84" s="56"/>
      <c r="L84" s="59" t="s">
        <v>292</v>
      </c>
      <c r="M84" s="98" t="s">
        <v>145</v>
      </c>
      <c r="N84" s="71" t="s">
        <v>293</v>
      </c>
      <c r="O84" s="73" t="s">
        <v>294</v>
      </c>
      <c r="P84" s="71" t="s">
        <v>295</v>
      </c>
      <c r="Q84" s="56" t="s">
        <v>113</v>
      </c>
      <c r="R84" s="56"/>
      <c r="S84" s="56"/>
      <c r="T84" s="56"/>
      <c r="U84" s="71">
        <v>1.0</v>
      </c>
      <c r="V84" s="56"/>
      <c r="W84" s="71" t="s">
        <v>78</v>
      </c>
      <c r="X84" s="56"/>
      <c r="Y84" s="56"/>
      <c r="Z84" s="56"/>
      <c r="AA84" s="99" t="s">
        <v>79</v>
      </c>
      <c r="AB84" s="99" t="s">
        <v>79</v>
      </c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71" t="s">
        <v>296</v>
      </c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81"/>
      <c r="BG84" s="81"/>
      <c r="BH84" s="59" t="s">
        <v>115</v>
      </c>
      <c r="BI84" s="82">
        <v>205.0</v>
      </c>
      <c r="BJ84" s="58"/>
      <c r="BK84" s="81"/>
      <c r="BL84" s="58"/>
      <c r="BM84" s="81"/>
      <c r="BN84" s="81"/>
      <c r="BO84" s="83"/>
      <c r="BP84" s="58"/>
      <c r="BQ84" s="64"/>
    </row>
    <row r="85">
      <c r="A85" s="20">
        <v>1.0</v>
      </c>
      <c r="B85" s="21" t="s">
        <v>297</v>
      </c>
      <c r="C85" s="22"/>
      <c r="D85" s="22"/>
      <c r="E85" s="22"/>
      <c r="F85" s="22"/>
      <c r="G85" s="22"/>
      <c r="H85" s="22"/>
      <c r="I85" s="23" t="str">
        <f t="shared" si="1"/>
        <v>25000</v>
      </c>
      <c r="J85" s="24"/>
      <c r="K85" s="24"/>
      <c r="L85" s="23" t="s">
        <v>298</v>
      </c>
      <c r="M85" s="25">
        <v>1.0</v>
      </c>
      <c r="N85" s="24"/>
      <c r="O85" s="22"/>
      <c r="P85" s="24"/>
      <c r="Q85" s="24"/>
      <c r="R85" s="24"/>
      <c r="S85" s="24"/>
      <c r="T85" s="24"/>
      <c r="U85" s="26">
        <v>1.0</v>
      </c>
      <c r="V85" s="24"/>
      <c r="W85" s="26" t="s">
        <v>70</v>
      </c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7"/>
      <c r="BO85" s="24"/>
      <c r="BP85" s="24"/>
      <c r="BQ85" s="10"/>
    </row>
    <row r="86">
      <c r="A86" s="28">
        <v>1.0</v>
      </c>
      <c r="B86" s="29">
        <v>25900.0</v>
      </c>
      <c r="C86" s="30"/>
      <c r="D86" s="30"/>
      <c r="E86" s="30"/>
      <c r="F86" s="30"/>
      <c r="G86" s="30"/>
      <c r="H86" s="30"/>
      <c r="I86" s="31" t="str">
        <f t="shared" si="1"/>
        <v>25900</v>
      </c>
      <c r="J86" s="74"/>
      <c r="K86" s="74"/>
      <c r="L86" s="31" t="s">
        <v>299</v>
      </c>
      <c r="M86" s="75">
        <v>1.0</v>
      </c>
      <c r="N86" s="32"/>
      <c r="O86" s="30"/>
      <c r="P86" s="32"/>
      <c r="Q86" s="32"/>
      <c r="R86" s="32"/>
      <c r="S86" s="32"/>
      <c r="T86" s="74"/>
      <c r="U86" s="34">
        <v>1.0</v>
      </c>
      <c r="V86" s="74"/>
      <c r="W86" s="34" t="s">
        <v>70</v>
      </c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32"/>
      <c r="AQ86" s="32"/>
      <c r="AR86" s="32"/>
      <c r="AS86" s="32"/>
      <c r="AT86" s="32"/>
      <c r="AU86" s="32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32"/>
      <c r="BI86" s="32"/>
      <c r="BJ86" s="32"/>
      <c r="BK86" s="32"/>
      <c r="BL86" s="32"/>
      <c r="BM86" s="74"/>
      <c r="BN86" s="76"/>
      <c r="BO86" s="74"/>
      <c r="BP86" s="32"/>
      <c r="BQ86" s="10"/>
    </row>
    <row r="87">
      <c r="A87" s="36">
        <v>2.0</v>
      </c>
      <c r="B87" s="37">
        <v>25910.0</v>
      </c>
      <c r="C87" s="38"/>
      <c r="D87" s="38"/>
      <c r="E87" s="38"/>
      <c r="F87" s="38"/>
      <c r="G87" s="38"/>
      <c r="H87" s="38"/>
      <c r="I87" s="39" t="str">
        <f t="shared" si="1"/>
        <v>25910</v>
      </c>
      <c r="J87" s="40"/>
      <c r="K87" s="40"/>
      <c r="L87" s="39" t="s">
        <v>299</v>
      </c>
      <c r="M87" s="41">
        <v>1.0</v>
      </c>
      <c r="N87" s="42"/>
      <c r="O87" s="38"/>
      <c r="P87" s="42"/>
      <c r="Q87" s="42"/>
      <c r="R87" s="42"/>
      <c r="S87" s="42"/>
      <c r="T87" s="40"/>
      <c r="U87" s="43">
        <v>1.0</v>
      </c>
      <c r="V87" s="40"/>
      <c r="W87" s="43" t="s">
        <v>70</v>
      </c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2"/>
      <c r="AQ87" s="42"/>
      <c r="AR87" s="42"/>
      <c r="AS87" s="42"/>
      <c r="AT87" s="42"/>
      <c r="AU87" s="42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2"/>
      <c r="BI87" s="42"/>
      <c r="BJ87" s="42"/>
      <c r="BK87" s="42"/>
      <c r="BL87" s="42"/>
      <c r="BM87" s="40"/>
      <c r="BN87" s="44"/>
      <c r="BO87" s="40"/>
      <c r="BP87" s="42"/>
      <c r="BQ87" s="10"/>
    </row>
    <row r="88">
      <c r="A88" s="45">
        <v>3.0</v>
      </c>
      <c r="B88" s="46">
        <v>25911.0</v>
      </c>
      <c r="C88" s="47"/>
      <c r="D88" s="47"/>
      <c r="E88" s="47"/>
      <c r="F88" s="47"/>
      <c r="G88" s="47"/>
      <c r="H88" s="47"/>
      <c r="I88" s="48" t="str">
        <f t="shared" si="1"/>
        <v>25911</v>
      </c>
      <c r="J88" s="49"/>
      <c r="K88" s="49"/>
      <c r="L88" s="48" t="s">
        <v>300</v>
      </c>
      <c r="M88" s="50">
        <v>1.0</v>
      </c>
      <c r="N88" s="51"/>
      <c r="O88" s="47"/>
      <c r="P88" s="51"/>
      <c r="Q88" s="51"/>
      <c r="R88" s="51"/>
      <c r="S88" s="51"/>
      <c r="T88" s="49"/>
      <c r="U88" s="52">
        <v>1.0</v>
      </c>
      <c r="V88" s="49"/>
      <c r="W88" s="52" t="s">
        <v>70</v>
      </c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51"/>
      <c r="AQ88" s="51"/>
      <c r="AR88" s="51"/>
      <c r="AS88" s="51"/>
      <c r="AT88" s="51"/>
      <c r="AU88" s="51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100" t="s">
        <v>301</v>
      </c>
      <c r="BI88" s="51"/>
      <c r="BJ88" s="100" t="s">
        <v>302</v>
      </c>
      <c r="BK88" s="52" t="s">
        <v>302</v>
      </c>
      <c r="BL88" s="51"/>
      <c r="BM88" s="49"/>
      <c r="BN88" s="53"/>
      <c r="BO88" s="49"/>
      <c r="BP88" s="51"/>
      <c r="BQ88" s="10"/>
    </row>
    <row r="89">
      <c r="A89" s="1">
        <v>4.0</v>
      </c>
      <c r="B89" s="2">
        <v>25911.0</v>
      </c>
      <c r="C89" s="2" t="s">
        <v>76</v>
      </c>
      <c r="D89" s="93"/>
      <c r="E89" s="93"/>
      <c r="F89" s="93"/>
      <c r="G89" s="93"/>
      <c r="H89" s="93"/>
      <c r="I89" s="3" t="str">
        <f t="shared" si="1"/>
        <v>2591101</v>
      </c>
      <c r="J89" s="3"/>
      <c r="K89" s="3"/>
      <c r="L89" s="94" t="s">
        <v>303</v>
      </c>
      <c r="M89" s="4">
        <v>2.0</v>
      </c>
      <c r="N89" s="3"/>
      <c r="O89" s="93"/>
      <c r="P89" s="3"/>
      <c r="Q89" s="3"/>
      <c r="R89" s="3"/>
      <c r="S89" s="3"/>
      <c r="T89" s="3"/>
      <c r="U89" s="6">
        <v>1.0</v>
      </c>
      <c r="V89" s="3"/>
      <c r="W89" s="6" t="s">
        <v>304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97"/>
      <c r="BO89" s="3"/>
      <c r="BP89" s="3"/>
      <c r="BQ89" s="10"/>
    </row>
    <row r="90">
      <c r="A90" s="1">
        <v>5.0</v>
      </c>
      <c r="B90" s="2">
        <v>25911.0</v>
      </c>
      <c r="C90" s="2" t="s">
        <v>76</v>
      </c>
      <c r="D90" s="2" t="s">
        <v>76</v>
      </c>
      <c r="E90" s="93"/>
      <c r="F90" s="93"/>
      <c r="G90" s="93"/>
      <c r="H90" s="93"/>
      <c r="I90" s="3" t="str">
        <f t="shared" si="1"/>
        <v>259110101</v>
      </c>
      <c r="J90" s="3"/>
      <c r="K90" s="3"/>
      <c r="L90" s="94" t="s">
        <v>305</v>
      </c>
      <c r="M90" s="4">
        <v>1.0</v>
      </c>
      <c r="N90" s="3"/>
      <c r="O90" s="95" t="s">
        <v>306</v>
      </c>
      <c r="P90" s="3"/>
      <c r="Q90" s="3"/>
      <c r="R90" s="3"/>
      <c r="S90" s="3"/>
      <c r="T90" s="3"/>
      <c r="U90" s="6">
        <v>2.0</v>
      </c>
      <c r="V90" s="3"/>
      <c r="W90" s="6" t="s">
        <v>78</v>
      </c>
      <c r="X90" s="3"/>
      <c r="Y90" s="3"/>
      <c r="Z90" s="3"/>
      <c r="AA90" s="96" t="s">
        <v>79</v>
      </c>
      <c r="AB90" s="96" t="s">
        <v>79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6" t="s">
        <v>80</v>
      </c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101" t="s">
        <v>301</v>
      </c>
      <c r="BI90" s="3"/>
      <c r="BJ90" s="8" t="s">
        <v>302</v>
      </c>
      <c r="BK90" s="6" t="s">
        <v>306</v>
      </c>
      <c r="BL90" s="3"/>
      <c r="BM90" s="3"/>
      <c r="BN90" s="97"/>
      <c r="BO90" s="3"/>
      <c r="BP90" s="3"/>
      <c r="BQ90" s="10"/>
    </row>
    <row r="91">
      <c r="A91" s="1">
        <v>5.0</v>
      </c>
      <c r="B91" s="2">
        <v>25911.0</v>
      </c>
      <c r="C91" s="2" t="s">
        <v>76</v>
      </c>
      <c r="D91" s="2" t="s">
        <v>119</v>
      </c>
      <c r="E91" s="93"/>
      <c r="F91" s="93"/>
      <c r="G91" s="93"/>
      <c r="H91" s="93"/>
      <c r="I91" s="3" t="str">
        <f t="shared" si="1"/>
        <v>259110102</v>
      </c>
      <c r="J91" s="3"/>
      <c r="K91" s="3"/>
      <c r="L91" s="94" t="s">
        <v>307</v>
      </c>
      <c r="M91" s="4">
        <v>1.0</v>
      </c>
      <c r="N91" s="3"/>
      <c r="O91" s="95" t="s">
        <v>308</v>
      </c>
      <c r="P91" s="3"/>
      <c r="Q91" s="3"/>
      <c r="R91" s="3"/>
      <c r="S91" s="3"/>
      <c r="T91" s="3"/>
      <c r="U91" s="6">
        <v>2.0</v>
      </c>
      <c r="V91" s="3"/>
      <c r="W91" s="6" t="s">
        <v>78</v>
      </c>
      <c r="X91" s="3"/>
      <c r="Y91" s="3"/>
      <c r="Z91" s="3"/>
      <c r="AA91" s="96" t="s">
        <v>79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6" t="s">
        <v>80</v>
      </c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01" t="s">
        <v>301</v>
      </c>
      <c r="BI91" s="3"/>
      <c r="BJ91" s="8" t="s">
        <v>302</v>
      </c>
      <c r="BK91" s="6" t="s">
        <v>308</v>
      </c>
      <c r="BL91" s="3"/>
      <c r="BM91" s="3"/>
      <c r="BN91" s="97"/>
      <c r="BO91" s="3"/>
      <c r="BP91" s="3"/>
      <c r="BQ91" s="10"/>
    </row>
    <row r="92">
      <c r="A92" s="1">
        <v>5.0</v>
      </c>
      <c r="B92" s="2">
        <v>25911.0</v>
      </c>
      <c r="C92" s="2" t="s">
        <v>76</v>
      </c>
      <c r="D92" s="2" t="s">
        <v>124</v>
      </c>
      <c r="E92" s="93"/>
      <c r="F92" s="93"/>
      <c r="G92" s="93"/>
      <c r="H92" s="93"/>
      <c r="I92" s="3" t="str">
        <f t="shared" si="1"/>
        <v>259110103</v>
      </c>
      <c r="J92" s="3"/>
      <c r="K92" s="3"/>
      <c r="L92" s="94" t="s">
        <v>309</v>
      </c>
      <c r="M92" s="4">
        <v>1.0</v>
      </c>
      <c r="N92" s="3"/>
      <c r="O92" s="95" t="s">
        <v>310</v>
      </c>
      <c r="P92" s="3"/>
      <c r="Q92" s="3"/>
      <c r="R92" s="3"/>
      <c r="S92" s="3"/>
      <c r="T92" s="3"/>
      <c r="U92" s="6">
        <v>2.0</v>
      </c>
      <c r="V92" s="3"/>
      <c r="W92" s="6" t="s">
        <v>78</v>
      </c>
      <c r="X92" s="3"/>
      <c r="Y92" s="3"/>
      <c r="Z92" s="3"/>
      <c r="AA92" s="96" t="s">
        <v>79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6" t="s">
        <v>80</v>
      </c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101" t="s">
        <v>301</v>
      </c>
      <c r="BI92" s="3"/>
      <c r="BJ92" s="8" t="s">
        <v>302</v>
      </c>
      <c r="BK92" s="6" t="s">
        <v>310</v>
      </c>
      <c r="BL92" s="3"/>
      <c r="BM92" s="3"/>
      <c r="BN92" s="97"/>
      <c r="BO92" s="3"/>
      <c r="BP92" s="3"/>
      <c r="BQ92" s="10"/>
    </row>
    <row r="93">
      <c r="A93" s="1">
        <v>5.0</v>
      </c>
      <c r="B93" s="2">
        <v>25911.0</v>
      </c>
      <c r="C93" s="2" t="s">
        <v>76</v>
      </c>
      <c r="D93" s="2" t="s">
        <v>127</v>
      </c>
      <c r="E93" s="93"/>
      <c r="F93" s="93"/>
      <c r="G93" s="93"/>
      <c r="H93" s="93"/>
      <c r="I93" s="3" t="str">
        <f t="shared" si="1"/>
        <v>259110104</v>
      </c>
      <c r="J93" s="3"/>
      <c r="K93" s="3"/>
      <c r="L93" s="94" t="s">
        <v>311</v>
      </c>
      <c r="M93" s="4">
        <v>1.0</v>
      </c>
      <c r="N93" s="6" t="s">
        <v>312</v>
      </c>
      <c r="O93" s="95" t="s">
        <v>313</v>
      </c>
      <c r="P93" s="3"/>
      <c r="Q93" s="3"/>
      <c r="R93" s="3"/>
      <c r="S93" s="3"/>
      <c r="T93" s="3"/>
      <c r="U93" s="6">
        <v>2.0</v>
      </c>
      <c r="V93" s="3"/>
      <c r="W93" s="6" t="s">
        <v>78</v>
      </c>
      <c r="X93" s="3"/>
      <c r="Y93" s="3"/>
      <c r="Z93" s="3"/>
      <c r="AA93" s="96" t="s">
        <v>79</v>
      </c>
      <c r="AB93" s="96" t="s">
        <v>79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6" t="s">
        <v>314</v>
      </c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101" t="s">
        <v>301</v>
      </c>
      <c r="BI93" s="3"/>
      <c r="BJ93" s="8" t="s">
        <v>302</v>
      </c>
      <c r="BK93" s="6" t="s">
        <v>313</v>
      </c>
      <c r="BL93" s="3"/>
      <c r="BM93" s="3"/>
      <c r="BN93" s="97"/>
      <c r="BO93" s="3"/>
      <c r="BP93" s="3"/>
      <c r="BQ93" s="10"/>
    </row>
    <row r="94">
      <c r="A94" s="1">
        <v>5.0</v>
      </c>
      <c r="B94" s="2">
        <v>25911.0</v>
      </c>
      <c r="C94" s="2" t="s">
        <v>76</v>
      </c>
      <c r="D94" s="2" t="s">
        <v>91</v>
      </c>
      <c r="E94" s="93"/>
      <c r="F94" s="93"/>
      <c r="G94" s="93"/>
      <c r="H94" s="93"/>
      <c r="I94" s="3" t="str">
        <f t="shared" si="1"/>
        <v>259110105</v>
      </c>
      <c r="J94" s="3"/>
      <c r="K94" s="3"/>
      <c r="L94" s="94" t="s">
        <v>315</v>
      </c>
      <c r="M94" s="4">
        <v>1.0</v>
      </c>
      <c r="N94" s="6" t="s">
        <v>312</v>
      </c>
      <c r="O94" s="95" t="s">
        <v>316</v>
      </c>
      <c r="P94" s="3"/>
      <c r="Q94" s="3"/>
      <c r="R94" s="3"/>
      <c r="S94" s="3"/>
      <c r="T94" s="3"/>
      <c r="U94" s="6">
        <v>2.0</v>
      </c>
      <c r="V94" s="3"/>
      <c r="W94" s="6" t="s">
        <v>78</v>
      </c>
      <c r="X94" s="3"/>
      <c r="Y94" s="3"/>
      <c r="Z94" s="3"/>
      <c r="AA94" s="96" t="s">
        <v>79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6" t="s">
        <v>317</v>
      </c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101" t="s">
        <v>301</v>
      </c>
      <c r="BI94" s="3"/>
      <c r="BJ94" s="8" t="s">
        <v>302</v>
      </c>
      <c r="BK94" s="6" t="s">
        <v>316</v>
      </c>
      <c r="BL94" s="3"/>
      <c r="BM94" s="3"/>
      <c r="BN94" s="97"/>
      <c r="BO94" s="3"/>
      <c r="BP94" s="3"/>
      <c r="BQ94" s="10"/>
    </row>
    <row r="95">
      <c r="A95" s="1">
        <v>5.0</v>
      </c>
      <c r="B95" s="2">
        <v>25911.0</v>
      </c>
      <c r="C95" s="2" t="s">
        <v>76</v>
      </c>
      <c r="D95" s="2" t="s">
        <v>133</v>
      </c>
      <c r="E95" s="93"/>
      <c r="F95" s="93"/>
      <c r="G95" s="93"/>
      <c r="H95" s="93"/>
      <c r="I95" s="3" t="str">
        <f t="shared" si="1"/>
        <v>259110106</v>
      </c>
      <c r="J95" s="3"/>
      <c r="K95" s="3"/>
      <c r="L95" s="94" t="s">
        <v>318</v>
      </c>
      <c r="M95" s="4">
        <v>1.0</v>
      </c>
      <c r="N95" s="6" t="s">
        <v>312</v>
      </c>
      <c r="O95" s="95" t="s">
        <v>319</v>
      </c>
      <c r="P95" s="3"/>
      <c r="Q95" s="3"/>
      <c r="R95" s="3"/>
      <c r="S95" s="3"/>
      <c r="T95" s="3"/>
      <c r="U95" s="6">
        <v>3.0</v>
      </c>
      <c r="V95" s="3"/>
      <c r="W95" s="6" t="s">
        <v>78</v>
      </c>
      <c r="X95" s="3"/>
      <c r="Y95" s="3"/>
      <c r="Z95" s="3"/>
      <c r="AA95" s="96" t="s">
        <v>79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6" t="s">
        <v>320</v>
      </c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101" t="s">
        <v>301</v>
      </c>
      <c r="BI95" s="3"/>
      <c r="BJ95" s="8" t="s">
        <v>302</v>
      </c>
      <c r="BK95" s="6" t="s">
        <v>319</v>
      </c>
      <c r="BL95" s="3"/>
      <c r="BM95" s="3"/>
      <c r="BN95" s="97"/>
      <c r="BO95" s="3"/>
      <c r="BP95" s="3"/>
      <c r="BQ95" s="10"/>
    </row>
    <row r="96">
      <c r="A96" s="1">
        <v>5.0</v>
      </c>
      <c r="B96" s="2">
        <v>25911.0</v>
      </c>
      <c r="C96" s="2" t="s">
        <v>76</v>
      </c>
      <c r="D96" s="2" t="s">
        <v>136</v>
      </c>
      <c r="E96" s="93"/>
      <c r="F96" s="93"/>
      <c r="G96" s="93"/>
      <c r="H96" s="93"/>
      <c r="I96" s="3" t="str">
        <f t="shared" si="1"/>
        <v>259110107</v>
      </c>
      <c r="J96" s="3"/>
      <c r="K96" s="3"/>
      <c r="L96" s="94" t="s">
        <v>321</v>
      </c>
      <c r="M96" s="4">
        <v>2.0</v>
      </c>
      <c r="N96" s="3"/>
      <c r="O96" s="93"/>
      <c r="P96" s="3"/>
      <c r="Q96" s="3"/>
      <c r="R96" s="3"/>
      <c r="S96" s="3"/>
      <c r="T96" s="3"/>
      <c r="U96" s="6">
        <v>3.0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97"/>
      <c r="BO96" s="3"/>
      <c r="BP96" s="3"/>
      <c r="BQ96" s="10"/>
    </row>
    <row r="97">
      <c r="A97" s="1">
        <v>4.0</v>
      </c>
      <c r="B97" s="2">
        <v>25911.0</v>
      </c>
      <c r="C97" s="2" t="s">
        <v>119</v>
      </c>
      <c r="D97" s="93"/>
      <c r="E97" s="93"/>
      <c r="F97" s="93"/>
      <c r="G97" s="93"/>
      <c r="H97" s="93"/>
      <c r="I97" s="3" t="str">
        <f t="shared" si="1"/>
        <v>2591102</v>
      </c>
      <c r="J97" s="3"/>
      <c r="K97" s="3"/>
      <c r="L97" s="94" t="s">
        <v>322</v>
      </c>
      <c r="M97" s="4">
        <v>2.0</v>
      </c>
      <c r="N97" s="3"/>
      <c r="O97" s="93"/>
      <c r="P97" s="3"/>
      <c r="Q97" s="3"/>
      <c r="R97" s="3"/>
      <c r="S97" s="3"/>
      <c r="T97" s="3"/>
      <c r="U97" s="6">
        <v>1.0</v>
      </c>
      <c r="V97" s="3"/>
      <c r="W97" s="6" t="s">
        <v>304</v>
      </c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97"/>
      <c r="BO97" s="3"/>
      <c r="BP97" s="3"/>
      <c r="BQ97" s="10"/>
    </row>
    <row r="98">
      <c r="A98" s="1">
        <v>5.0</v>
      </c>
      <c r="B98" s="2">
        <v>25911.0</v>
      </c>
      <c r="C98" s="2" t="s">
        <v>119</v>
      </c>
      <c r="D98" s="2" t="s">
        <v>76</v>
      </c>
      <c r="E98" s="93"/>
      <c r="F98" s="93"/>
      <c r="G98" s="93"/>
      <c r="H98" s="93"/>
      <c r="I98" s="3" t="str">
        <f t="shared" si="1"/>
        <v>259110201</v>
      </c>
      <c r="J98" s="3"/>
      <c r="K98" s="3"/>
      <c r="L98" s="94" t="s">
        <v>321</v>
      </c>
      <c r="M98" s="4">
        <v>2.0</v>
      </c>
      <c r="N98" s="3"/>
      <c r="O98" s="93"/>
      <c r="P98" s="3"/>
      <c r="Q98" s="3"/>
      <c r="R98" s="3"/>
      <c r="S98" s="3"/>
      <c r="T98" s="3"/>
      <c r="U98" s="6">
        <v>1.0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97"/>
      <c r="BO98" s="3"/>
      <c r="BP98" s="3"/>
      <c r="BQ98" s="10"/>
    </row>
    <row r="99">
      <c r="A99" s="1">
        <v>4.0</v>
      </c>
      <c r="B99" s="2">
        <v>25911.0</v>
      </c>
      <c r="C99" s="2" t="s">
        <v>124</v>
      </c>
      <c r="D99" s="93"/>
      <c r="E99" s="93"/>
      <c r="F99" s="93"/>
      <c r="G99" s="93"/>
      <c r="H99" s="93"/>
      <c r="I99" s="3" t="str">
        <f t="shared" si="1"/>
        <v>2591103</v>
      </c>
      <c r="J99" s="3"/>
      <c r="K99" s="3"/>
      <c r="L99" s="94" t="s">
        <v>323</v>
      </c>
      <c r="M99" s="4">
        <v>2.0</v>
      </c>
      <c r="N99" s="3"/>
      <c r="O99" s="93"/>
      <c r="P99" s="3"/>
      <c r="Q99" s="3"/>
      <c r="R99" s="3"/>
      <c r="S99" s="3"/>
      <c r="T99" s="3"/>
      <c r="U99" s="6">
        <v>1.0</v>
      </c>
      <c r="V99" s="3"/>
      <c r="W99" s="6" t="s">
        <v>304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97"/>
      <c r="BO99" s="3"/>
      <c r="BP99" s="3"/>
      <c r="BQ99" s="10"/>
    </row>
    <row r="100">
      <c r="A100" s="1">
        <v>5.0</v>
      </c>
      <c r="B100" s="2">
        <v>25911.0</v>
      </c>
      <c r="C100" s="2" t="s">
        <v>124</v>
      </c>
      <c r="D100" s="2" t="s">
        <v>76</v>
      </c>
      <c r="E100" s="93"/>
      <c r="F100" s="93"/>
      <c r="G100" s="93"/>
      <c r="H100" s="93"/>
      <c r="I100" s="3" t="str">
        <f t="shared" si="1"/>
        <v>259110301</v>
      </c>
      <c r="J100" s="3"/>
      <c r="K100" s="3"/>
      <c r="L100" s="94" t="s">
        <v>324</v>
      </c>
      <c r="M100" s="4">
        <v>1.0</v>
      </c>
      <c r="N100" s="3"/>
      <c r="O100" s="95" t="s">
        <v>325</v>
      </c>
      <c r="P100" s="3"/>
      <c r="Q100" s="3"/>
      <c r="R100" s="3"/>
      <c r="S100" s="3"/>
      <c r="T100" s="3"/>
      <c r="U100" s="6">
        <v>1.0</v>
      </c>
      <c r="V100" s="3"/>
      <c r="W100" s="6" t="s">
        <v>78</v>
      </c>
      <c r="X100" s="3"/>
      <c r="Y100" s="3"/>
      <c r="Z100" s="3"/>
      <c r="AA100" s="96" t="s">
        <v>79</v>
      </c>
      <c r="AB100" s="96" t="s">
        <v>79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6" t="s">
        <v>80</v>
      </c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101" t="s">
        <v>301</v>
      </c>
      <c r="BI100" s="3"/>
      <c r="BJ100" s="8" t="s">
        <v>302</v>
      </c>
      <c r="BK100" s="6" t="s">
        <v>325</v>
      </c>
      <c r="BL100" s="3"/>
      <c r="BM100" s="3"/>
      <c r="BN100" s="97"/>
      <c r="BO100" s="3"/>
      <c r="BP100" s="3"/>
      <c r="BQ100" s="10"/>
    </row>
    <row r="101">
      <c r="A101" s="1">
        <v>5.0</v>
      </c>
      <c r="B101" s="2">
        <v>25911.0</v>
      </c>
      <c r="C101" s="2" t="s">
        <v>124</v>
      </c>
      <c r="D101" s="2" t="s">
        <v>119</v>
      </c>
      <c r="E101" s="93"/>
      <c r="F101" s="93"/>
      <c r="G101" s="93"/>
      <c r="H101" s="93"/>
      <c r="I101" s="3" t="str">
        <f t="shared" si="1"/>
        <v>259110302</v>
      </c>
      <c r="J101" s="3"/>
      <c r="K101" s="3"/>
      <c r="L101" s="94" t="s">
        <v>321</v>
      </c>
      <c r="M101" s="4">
        <v>2.0</v>
      </c>
      <c r="N101" s="3"/>
      <c r="O101" s="93"/>
      <c r="P101" s="3"/>
      <c r="Q101" s="3"/>
      <c r="R101" s="3"/>
      <c r="S101" s="3"/>
      <c r="T101" s="3"/>
      <c r="U101" s="6">
        <v>1.0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97"/>
      <c r="BO101" s="3"/>
      <c r="BP101" s="3"/>
      <c r="BQ101" s="10"/>
    </row>
    <row r="102">
      <c r="A102" s="1">
        <v>4.0</v>
      </c>
      <c r="B102" s="2">
        <v>25911.0</v>
      </c>
      <c r="C102" s="2" t="s">
        <v>127</v>
      </c>
      <c r="D102" s="93"/>
      <c r="E102" s="93"/>
      <c r="F102" s="93"/>
      <c r="G102" s="93"/>
      <c r="H102" s="93"/>
      <c r="I102" s="3" t="str">
        <f t="shared" si="1"/>
        <v>2591104</v>
      </c>
      <c r="J102" s="3"/>
      <c r="K102" s="3"/>
      <c r="L102" s="94" t="s">
        <v>326</v>
      </c>
      <c r="M102" s="4">
        <v>2.0</v>
      </c>
      <c r="N102" s="3"/>
      <c r="O102" s="93"/>
      <c r="P102" s="3"/>
      <c r="Q102" s="3"/>
      <c r="R102" s="3"/>
      <c r="S102" s="3"/>
      <c r="T102" s="3"/>
      <c r="U102" s="6">
        <v>1.0</v>
      </c>
      <c r="V102" s="3"/>
      <c r="W102" s="6" t="s">
        <v>304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97"/>
      <c r="BO102" s="3"/>
      <c r="BP102" s="3"/>
      <c r="BQ102" s="10"/>
    </row>
    <row r="103">
      <c r="A103" s="1">
        <v>5.0</v>
      </c>
      <c r="B103" s="2">
        <v>25911.0</v>
      </c>
      <c r="C103" s="2" t="s">
        <v>127</v>
      </c>
      <c r="D103" s="2" t="s">
        <v>76</v>
      </c>
      <c r="E103" s="93"/>
      <c r="F103" s="93"/>
      <c r="G103" s="93"/>
      <c r="H103" s="93"/>
      <c r="I103" s="3" t="str">
        <f t="shared" si="1"/>
        <v>259110401</v>
      </c>
      <c r="J103" s="3"/>
      <c r="K103" s="3"/>
      <c r="L103" s="94" t="s">
        <v>321</v>
      </c>
      <c r="M103" s="4">
        <v>2.0</v>
      </c>
      <c r="N103" s="3"/>
      <c r="O103" s="93"/>
      <c r="P103" s="3"/>
      <c r="Q103" s="3"/>
      <c r="R103" s="3"/>
      <c r="S103" s="3"/>
      <c r="T103" s="3"/>
      <c r="U103" s="6">
        <v>1.0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97"/>
      <c r="BO103" s="3"/>
      <c r="BP103" s="3"/>
      <c r="BQ103" s="10"/>
    </row>
    <row r="104">
      <c r="A104" s="20">
        <v>1.0</v>
      </c>
      <c r="B104" s="21" t="s">
        <v>327</v>
      </c>
      <c r="C104" s="22"/>
      <c r="D104" s="22"/>
      <c r="E104" s="22"/>
      <c r="F104" s="22"/>
      <c r="G104" s="22"/>
      <c r="H104" s="22"/>
      <c r="I104" s="23" t="str">
        <f t="shared" si="1"/>
        <v>26000</v>
      </c>
      <c r="J104" s="24"/>
      <c r="K104" s="24"/>
      <c r="L104" s="23" t="s">
        <v>328</v>
      </c>
      <c r="M104" s="25">
        <v>1.0</v>
      </c>
      <c r="N104" s="24"/>
      <c r="O104" s="22"/>
      <c r="P104" s="24"/>
      <c r="Q104" s="24"/>
      <c r="R104" s="24"/>
      <c r="S104" s="24"/>
      <c r="T104" s="24"/>
      <c r="U104" s="26">
        <v>1.0</v>
      </c>
      <c r="V104" s="24"/>
      <c r="W104" s="26" t="s">
        <v>70</v>
      </c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7"/>
      <c r="BO104" s="24"/>
      <c r="BP104" s="24"/>
      <c r="BQ104" s="10"/>
    </row>
    <row r="105">
      <c r="A105" s="28">
        <v>1.0</v>
      </c>
      <c r="B105" s="29" t="s">
        <v>329</v>
      </c>
      <c r="C105" s="30"/>
      <c r="D105" s="30"/>
      <c r="E105" s="30"/>
      <c r="F105" s="30"/>
      <c r="G105" s="30"/>
      <c r="H105" s="30"/>
      <c r="I105" s="31" t="str">
        <f t="shared" si="1"/>
        <v>26100</v>
      </c>
      <c r="J105" s="74"/>
      <c r="K105" s="74"/>
      <c r="L105" s="31" t="s">
        <v>330</v>
      </c>
      <c r="M105" s="75">
        <v>1.0</v>
      </c>
      <c r="N105" s="32"/>
      <c r="O105" s="30"/>
      <c r="P105" s="32"/>
      <c r="Q105" s="32"/>
      <c r="R105" s="32"/>
      <c r="S105" s="32"/>
      <c r="T105" s="74"/>
      <c r="U105" s="34">
        <v>1.0</v>
      </c>
      <c r="V105" s="74"/>
      <c r="W105" s="34" t="s">
        <v>70</v>
      </c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32"/>
      <c r="AQ105" s="32"/>
      <c r="AR105" s="32"/>
      <c r="AS105" s="32"/>
      <c r="AT105" s="32"/>
      <c r="AU105" s="32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32"/>
      <c r="BI105" s="32"/>
      <c r="BJ105" s="32"/>
      <c r="BK105" s="32"/>
      <c r="BL105" s="32"/>
      <c r="BM105" s="74"/>
      <c r="BN105" s="76"/>
      <c r="BO105" s="74"/>
      <c r="BP105" s="32"/>
      <c r="BQ105" s="10"/>
    </row>
    <row r="106">
      <c r="A106" s="36">
        <v>2.0</v>
      </c>
      <c r="B106" s="37" t="s">
        <v>331</v>
      </c>
      <c r="C106" s="38"/>
      <c r="D106" s="38"/>
      <c r="E106" s="38"/>
      <c r="F106" s="38"/>
      <c r="G106" s="38"/>
      <c r="H106" s="38"/>
      <c r="I106" s="39" t="str">
        <f t="shared" si="1"/>
        <v>26110</v>
      </c>
      <c r="J106" s="40"/>
      <c r="K106" s="40"/>
      <c r="L106" s="39" t="s">
        <v>332</v>
      </c>
      <c r="M106" s="41">
        <v>1.0</v>
      </c>
      <c r="N106" s="42"/>
      <c r="O106" s="38"/>
      <c r="P106" s="42"/>
      <c r="Q106" s="42"/>
      <c r="R106" s="42"/>
      <c r="S106" s="42"/>
      <c r="T106" s="40"/>
      <c r="U106" s="43">
        <v>1.0</v>
      </c>
      <c r="V106" s="40"/>
      <c r="W106" s="43" t="s">
        <v>70</v>
      </c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2"/>
      <c r="AQ106" s="42"/>
      <c r="AR106" s="42"/>
      <c r="AS106" s="42"/>
      <c r="AT106" s="42"/>
      <c r="AU106" s="42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2"/>
      <c r="BI106" s="42"/>
      <c r="BJ106" s="42"/>
      <c r="BK106" s="42"/>
      <c r="BL106" s="42"/>
      <c r="BM106" s="40"/>
      <c r="BN106" s="44"/>
      <c r="BO106" s="40"/>
      <c r="BP106" s="42"/>
      <c r="BQ106" s="10"/>
    </row>
    <row r="107">
      <c r="A107" s="45">
        <v>3.0</v>
      </c>
      <c r="B107" s="46" t="s">
        <v>333</v>
      </c>
      <c r="C107" s="47"/>
      <c r="D107" s="47"/>
      <c r="E107" s="47"/>
      <c r="F107" s="47"/>
      <c r="G107" s="47"/>
      <c r="H107" s="47"/>
      <c r="I107" s="48" t="str">
        <f t="shared" si="1"/>
        <v>26111</v>
      </c>
      <c r="J107" s="49"/>
      <c r="K107" s="49"/>
      <c r="L107" s="48" t="s">
        <v>334</v>
      </c>
      <c r="M107" s="50">
        <v>1.0</v>
      </c>
      <c r="N107" s="51"/>
      <c r="O107" s="47"/>
      <c r="P107" s="51"/>
      <c r="Q107" s="51"/>
      <c r="R107" s="51"/>
      <c r="S107" s="51"/>
      <c r="T107" s="49"/>
      <c r="U107" s="52">
        <v>1.0</v>
      </c>
      <c r="V107" s="49"/>
      <c r="W107" s="52" t="s">
        <v>70</v>
      </c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51"/>
      <c r="AQ107" s="51"/>
      <c r="AR107" s="51"/>
      <c r="AS107" s="51"/>
      <c r="AT107" s="51"/>
      <c r="AU107" s="51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51"/>
      <c r="BI107" s="51"/>
      <c r="BJ107" s="51"/>
      <c r="BK107" s="51"/>
      <c r="BL107" s="51"/>
      <c r="BM107" s="49"/>
      <c r="BN107" s="53"/>
      <c r="BO107" s="49"/>
      <c r="BP107" s="51"/>
      <c r="BQ107" s="10"/>
    </row>
    <row r="108">
      <c r="A108" s="1">
        <v>5.0</v>
      </c>
      <c r="B108" s="2" t="s">
        <v>333</v>
      </c>
      <c r="C108" s="2" t="s">
        <v>76</v>
      </c>
      <c r="D108" s="93"/>
      <c r="E108" s="93"/>
      <c r="F108" s="93"/>
      <c r="G108" s="93"/>
      <c r="H108" s="93"/>
      <c r="I108" s="3" t="str">
        <f t="shared" si="1"/>
        <v>2611101</v>
      </c>
      <c r="J108" s="3"/>
      <c r="K108" s="3"/>
      <c r="L108" s="94" t="s">
        <v>335</v>
      </c>
      <c r="M108" s="4">
        <v>1.0</v>
      </c>
      <c r="N108" s="6" t="s">
        <v>336</v>
      </c>
      <c r="O108" s="95" t="s">
        <v>337</v>
      </c>
      <c r="P108" s="3"/>
      <c r="Q108" s="3"/>
      <c r="R108" s="3"/>
      <c r="S108" s="3"/>
      <c r="T108" s="3"/>
      <c r="U108" s="6">
        <v>1.0</v>
      </c>
      <c r="V108" s="3"/>
      <c r="W108" s="6" t="s">
        <v>78</v>
      </c>
      <c r="X108" s="3"/>
      <c r="Y108" s="3"/>
      <c r="Z108" s="3"/>
      <c r="AA108" s="96" t="s">
        <v>79</v>
      </c>
      <c r="AB108" s="96" t="s">
        <v>79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6">
        <v>2.4004816E7</v>
      </c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01" t="s">
        <v>338</v>
      </c>
      <c r="BI108" s="3"/>
      <c r="BJ108" s="8" t="s">
        <v>339</v>
      </c>
      <c r="BK108" s="6" t="s">
        <v>337</v>
      </c>
      <c r="BL108" s="3"/>
      <c r="BM108" s="3"/>
      <c r="BN108" s="97"/>
      <c r="BO108" s="3"/>
      <c r="BP108" s="3"/>
      <c r="BQ108" s="10"/>
    </row>
    <row r="109">
      <c r="A109" s="1">
        <v>6.0</v>
      </c>
      <c r="B109" s="2" t="s">
        <v>333</v>
      </c>
      <c r="C109" s="2" t="s">
        <v>119</v>
      </c>
      <c r="D109" s="93"/>
      <c r="E109" s="93"/>
      <c r="F109" s="93"/>
      <c r="G109" s="93"/>
      <c r="H109" s="93"/>
      <c r="I109" s="3" t="str">
        <f t="shared" si="1"/>
        <v>2611102</v>
      </c>
      <c r="J109" s="3"/>
      <c r="K109" s="3"/>
      <c r="L109" s="94" t="s">
        <v>340</v>
      </c>
      <c r="M109" s="4">
        <v>1.0</v>
      </c>
      <c r="N109" s="6" t="s">
        <v>336</v>
      </c>
      <c r="O109" s="95" t="s">
        <v>341</v>
      </c>
      <c r="P109" s="3"/>
      <c r="Q109" s="3"/>
      <c r="R109" s="3"/>
      <c r="S109" s="3"/>
      <c r="T109" s="3"/>
      <c r="U109" s="6">
        <v>1.0</v>
      </c>
      <c r="V109" s="3"/>
      <c r="W109" s="6" t="s">
        <v>78</v>
      </c>
      <c r="X109" s="3"/>
      <c r="Y109" s="3"/>
      <c r="Z109" s="3"/>
      <c r="AA109" s="96" t="s">
        <v>79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6">
        <v>2.4004817E7</v>
      </c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01" t="s">
        <v>338</v>
      </c>
      <c r="BI109" s="3"/>
      <c r="BJ109" s="8" t="s">
        <v>339</v>
      </c>
      <c r="BK109" s="6" t="s">
        <v>341</v>
      </c>
      <c r="BL109" s="3"/>
      <c r="BM109" s="3"/>
      <c r="BN109" s="97"/>
      <c r="BO109" s="3"/>
      <c r="BP109" s="3"/>
      <c r="BQ109" s="10"/>
    </row>
    <row r="110">
      <c r="A110" s="1">
        <v>5.0</v>
      </c>
      <c r="B110" s="2" t="s">
        <v>333</v>
      </c>
      <c r="C110" s="2" t="s">
        <v>124</v>
      </c>
      <c r="D110" s="93"/>
      <c r="E110" s="93"/>
      <c r="F110" s="93"/>
      <c r="G110" s="93"/>
      <c r="H110" s="93"/>
      <c r="I110" s="3" t="str">
        <f t="shared" si="1"/>
        <v>2611103</v>
      </c>
      <c r="J110" s="3"/>
      <c r="K110" s="3"/>
      <c r="L110" s="94" t="s">
        <v>342</v>
      </c>
      <c r="M110" s="4">
        <v>1.0</v>
      </c>
      <c r="N110" s="6" t="s">
        <v>336</v>
      </c>
      <c r="O110" s="95" t="s">
        <v>343</v>
      </c>
      <c r="P110" s="3"/>
      <c r="Q110" s="3"/>
      <c r="R110" s="3"/>
      <c r="S110" s="3"/>
      <c r="T110" s="3"/>
      <c r="U110" s="6">
        <v>1.0</v>
      </c>
      <c r="V110" s="3"/>
      <c r="W110" s="6" t="s">
        <v>78</v>
      </c>
      <c r="X110" s="3"/>
      <c r="Y110" s="3"/>
      <c r="Z110" s="3"/>
      <c r="AA110" s="96" t="s">
        <v>79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6">
        <v>2.4004818E7</v>
      </c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101" t="s">
        <v>338</v>
      </c>
      <c r="BI110" s="3"/>
      <c r="BJ110" s="8" t="s">
        <v>339</v>
      </c>
      <c r="BK110" s="6" t="s">
        <v>343</v>
      </c>
      <c r="BL110" s="3"/>
      <c r="BM110" s="3"/>
      <c r="BN110" s="97"/>
      <c r="BO110" s="3"/>
      <c r="BP110" s="3"/>
      <c r="BQ110" s="10"/>
    </row>
    <row r="111">
      <c r="A111" s="1">
        <v>5.0</v>
      </c>
      <c r="B111" s="2" t="s">
        <v>333</v>
      </c>
      <c r="C111" s="2" t="s">
        <v>127</v>
      </c>
      <c r="D111" s="93"/>
      <c r="E111" s="93"/>
      <c r="F111" s="93"/>
      <c r="G111" s="93"/>
      <c r="H111" s="93"/>
      <c r="I111" s="3" t="str">
        <f t="shared" si="1"/>
        <v>2611104</v>
      </c>
      <c r="J111" s="3"/>
      <c r="K111" s="3"/>
      <c r="L111" s="94" t="s">
        <v>344</v>
      </c>
      <c r="M111" s="4">
        <v>1.0</v>
      </c>
      <c r="N111" s="6" t="s">
        <v>336</v>
      </c>
      <c r="O111" s="95" t="s">
        <v>345</v>
      </c>
      <c r="P111" s="3"/>
      <c r="Q111" s="3"/>
      <c r="R111" s="3"/>
      <c r="S111" s="3"/>
      <c r="T111" s="3"/>
      <c r="U111" s="6">
        <v>1.0</v>
      </c>
      <c r="V111" s="3"/>
      <c r="W111" s="6" t="s">
        <v>78</v>
      </c>
      <c r="X111" s="3"/>
      <c r="Y111" s="3"/>
      <c r="Z111" s="3"/>
      <c r="AA111" s="96" t="s">
        <v>79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6">
        <v>2.4004819E7</v>
      </c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01" t="s">
        <v>338</v>
      </c>
      <c r="BI111" s="3"/>
      <c r="BJ111" s="8" t="s">
        <v>339</v>
      </c>
      <c r="BK111" s="6" t="s">
        <v>345</v>
      </c>
      <c r="BL111" s="3"/>
      <c r="BM111" s="3"/>
      <c r="BN111" s="97"/>
      <c r="BO111" s="3"/>
      <c r="BP111" s="3"/>
      <c r="BQ111" s="10"/>
    </row>
    <row r="112">
      <c r="A112" s="1">
        <v>5.0</v>
      </c>
      <c r="B112" s="2" t="s">
        <v>333</v>
      </c>
      <c r="C112" s="2" t="s">
        <v>91</v>
      </c>
      <c r="D112" s="93"/>
      <c r="E112" s="93"/>
      <c r="F112" s="93"/>
      <c r="G112" s="93"/>
      <c r="H112" s="93"/>
      <c r="I112" s="3" t="str">
        <f t="shared" si="1"/>
        <v>2611105</v>
      </c>
      <c r="J112" s="3"/>
      <c r="K112" s="3"/>
      <c r="L112" s="94" t="s">
        <v>346</v>
      </c>
      <c r="M112" s="4">
        <v>1.0</v>
      </c>
      <c r="N112" s="3"/>
      <c r="O112" s="95" t="s">
        <v>347</v>
      </c>
      <c r="P112" s="3"/>
      <c r="Q112" s="3"/>
      <c r="R112" s="3"/>
      <c r="S112" s="3"/>
      <c r="T112" s="3"/>
      <c r="U112" s="6">
        <v>1.0</v>
      </c>
      <c r="V112" s="3"/>
      <c r="W112" s="6" t="s">
        <v>78</v>
      </c>
      <c r="X112" s="3"/>
      <c r="Y112" s="3"/>
      <c r="Z112" s="3"/>
      <c r="AA112" s="96" t="s">
        <v>79</v>
      </c>
      <c r="AB112" s="96" t="s">
        <v>79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6" t="s">
        <v>80</v>
      </c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97"/>
      <c r="BO112" s="3"/>
      <c r="BP112" s="3"/>
      <c r="BQ112" s="10"/>
    </row>
    <row r="113">
      <c r="A113" s="45">
        <v>3.0</v>
      </c>
      <c r="B113" s="46">
        <v>26114.0</v>
      </c>
      <c r="C113" s="47"/>
      <c r="D113" s="47"/>
      <c r="E113" s="47"/>
      <c r="F113" s="47"/>
      <c r="G113" s="47"/>
      <c r="H113" s="47"/>
      <c r="I113" s="48" t="str">
        <f t="shared" si="1"/>
        <v>26114</v>
      </c>
      <c r="J113" s="49"/>
      <c r="K113" s="49"/>
      <c r="L113" s="48" t="s">
        <v>348</v>
      </c>
      <c r="M113" s="50">
        <v>1.0</v>
      </c>
      <c r="N113" s="51"/>
      <c r="O113" s="47"/>
      <c r="P113" s="51"/>
      <c r="Q113" s="51"/>
      <c r="R113" s="51"/>
      <c r="S113" s="51"/>
      <c r="T113" s="49"/>
      <c r="U113" s="52">
        <v>1.0</v>
      </c>
      <c r="V113" s="49"/>
      <c r="W113" s="52" t="s">
        <v>70</v>
      </c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51"/>
      <c r="AQ113" s="51"/>
      <c r="AR113" s="51"/>
      <c r="AS113" s="51"/>
      <c r="AT113" s="51"/>
      <c r="AU113" s="51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51"/>
      <c r="BI113" s="51"/>
      <c r="BJ113" s="51"/>
      <c r="BK113" s="51"/>
      <c r="BL113" s="51"/>
      <c r="BM113" s="49"/>
      <c r="BN113" s="53"/>
      <c r="BO113" s="49"/>
      <c r="BP113" s="51"/>
      <c r="BQ113" s="10"/>
    </row>
    <row r="114">
      <c r="A114" s="28">
        <v>1.0</v>
      </c>
      <c r="B114" s="29" t="s">
        <v>349</v>
      </c>
      <c r="C114" s="30"/>
      <c r="D114" s="30"/>
      <c r="E114" s="30"/>
      <c r="F114" s="30"/>
      <c r="G114" s="30"/>
      <c r="H114" s="30"/>
      <c r="I114" s="31" t="str">
        <f t="shared" si="1"/>
        <v>26200</v>
      </c>
      <c r="J114" s="74"/>
      <c r="K114" s="74"/>
      <c r="L114" s="31" t="s">
        <v>350</v>
      </c>
      <c r="M114" s="75">
        <v>1.0</v>
      </c>
      <c r="N114" s="32"/>
      <c r="O114" s="30"/>
      <c r="P114" s="32"/>
      <c r="Q114" s="32"/>
      <c r="R114" s="32"/>
      <c r="S114" s="32"/>
      <c r="T114" s="74"/>
      <c r="U114" s="34">
        <v>1.0</v>
      </c>
      <c r="V114" s="74"/>
      <c r="W114" s="34" t="s">
        <v>70</v>
      </c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32"/>
      <c r="AQ114" s="32"/>
      <c r="AR114" s="32"/>
      <c r="AS114" s="32"/>
      <c r="AT114" s="32"/>
      <c r="AU114" s="32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102" t="s">
        <v>351</v>
      </c>
      <c r="BI114" s="32"/>
      <c r="BJ114" s="102" t="s">
        <v>352</v>
      </c>
      <c r="BK114" s="34" t="s">
        <v>352</v>
      </c>
      <c r="BL114" s="32"/>
      <c r="BM114" s="74"/>
      <c r="BN114" s="76"/>
      <c r="BO114" s="74"/>
      <c r="BP114" s="32"/>
      <c r="BQ114" s="10"/>
    </row>
    <row r="115">
      <c r="A115" s="36">
        <v>2.0</v>
      </c>
      <c r="B115" s="37" t="s">
        <v>353</v>
      </c>
      <c r="C115" s="38"/>
      <c r="D115" s="38"/>
      <c r="E115" s="38"/>
      <c r="F115" s="38"/>
      <c r="G115" s="38"/>
      <c r="H115" s="38"/>
      <c r="I115" s="39" t="str">
        <f t="shared" si="1"/>
        <v>26220</v>
      </c>
      <c r="J115" s="40"/>
      <c r="K115" s="40"/>
      <c r="L115" s="39" t="s">
        <v>354</v>
      </c>
      <c r="M115" s="41">
        <v>1.0</v>
      </c>
      <c r="N115" s="42"/>
      <c r="O115" s="38"/>
      <c r="P115" s="42"/>
      <c r="Q115" s="42"/>
      <c r="R115" s="42"/>
      <c r="S115" s="42"/>
      <c r="T115" s="40"/>
      <c r="U115" s="43">
        <v>1.0</v>
      </c>
      <c r="V115" s="40"/>
      <c r="W115" s="43" t="s">
        <v>70</v>
      </c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2"/>
      <c r="AQ115" s="42"/>
      <c r="AR115" s="42"/>
      <c r="AS115" s="42"/>
      <c r="AT115" s="42"/>
      <c r="AU115" s="42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2"/>
      <c r="BI115" s="42"/>
      <c r="BJ115" s="42"/>
      <c r="BK115" s="42"/>
      <c r="BL115" s="42"/>
      <c r="BM115" s="40"/>
      <c r="BN115" s="44"/>
      <c r="BO115" s="40"/>
      <c r="BP115" s="42"/>
      <c r="BQ115" s="10"/>
    </row>
    <row r="116">
      <c r="A116" s="45">
        <v>3.0</v>
      </c>
      <c r="B116" s="46" t="s">
        <v>355</v>
      </c>
      <c r="C116" s="47"/>
      <c r="D116" s="47"/>
      <c r="E116" s="47"/>
      <c r="F116" s="47"/>
      <c r="G116" s="47"/>
      <c r="H116" s="47"/>
      <c r="I116" s="48" t="str">
        <f t="shared" si="1"/>
        <v>26221</v>
      </c>
      <c r="J116" s="49"/>
      <c r="K116" s="49"/>
      <c r="L116" s="48" t="s">
        <v>356</v>
      </c>
      <c r="M116" s="50">
        <v>1.0</v>
      </c>
      <c r="N116" s="51"/>
      <c r="O116" s="47"/>
      <c r="P116" s="51"/>
      <c r="Q116" s="51"/>
      <c r="R116" s="51"/>
      <c r="S116" s="51"/>
      <c r="T116" s="49"/>
      <c r="U116" s="52">
        <v>1.0</v>
      </c>
      <c r="V116" s="49"/>
      <c r="W116" s="52" t="s">
        <v>70</v>
      </c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51"/>
      <c r="AQ116" s="51"/>
      <c r="AR116" s="51"/>
      <c r="AS116" s="51"/>
      <c r="AT116" s="51"/>
      <c r="AU116" s="51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51"/>
      <c r="BI116" s="51"/>
      <c r="BJ116" s="51"/>
      <c r="BK116" s="51"/>
      <c r="BL116" s="51"/>
      <c r="BM116" s="49"/>
      <c r="BN116" s="53"/>
      <c r="BO116" s="49"/>
      <c r="BP116" s="51"/>
      <c r="BQ116" s="10"/>
    </row>
    <row r="117">
      <c r="A117" s="1">
        <v>4.0</v>
      </c>
      <c r="B117" s="2" t="s">
        <v>355</v>
      </c>
      <c r="C117" s="2" t="s">
        <v>76</v>
      </c>
      <c r="D117" s="93"/>
      <c r="E117" s="93"/>
      <c r="F117" s="93"/>
      <c r="G117" s="93"/>
      <c r="H117" s="93"/>
      <c r="I117" s="3" t="str">
        <f t="shared" si="1"/>
        <v>2622101</v>
      </c>
      <c r="J117" s="3"/>
      <c r="K117" s="3"/>
      <c r="L117" s="94" t="s">
        <v>357</v>
      </c>
      <c r="M117" s="4">
        <v>1.0</v>
      </c>
      <c r="N117" s="3"/>
      <c r="O117" s="95" t="s">
        <v>358</v>
      </c>
      <c r="P117" s="3"/>
      <c r="Q117" s="3"/>
      <c r="R117" s="3"/>
      <c r="S117" s="3"/>
      <c r="T117" s="3"/>
      <c r="U117" s="6">
        <v>1.0</v>
      </c>
      <c r="V117" s="3"/>
      <c r="W117" s="6" t="s">
        <v>78</v>
      </c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8" t="s">
        <v>351</v>
      </c>
      <c r="BI117" s="3"/>
      <c r="BJ117" s="8" t="s">
        <v>352</v>
      </c>
      <c r="BK117" s="6" t="s">
        <v>358</v>
      </c>
      <c r="BL117" s="3"/>
      <c r="BM117" s="3"/>
      <c r="BN117" s="97"/>
      <c r="BO117" s="3"/>
      <c r="BP117" s="3"/>
      <c r="BQ117" s="10"/>
    </row>
    <row r="118">
      <c r="A118" s="45">
        <v>3.0</v>
      </c>
      <c r="B118" s="46" t="s">
        <v>359</v>
      </c>
      <c r="C118" s="47"/>
      <c r="D118" s="47"/>
      <c r="E118" s="47"/>
      <c r="F118" s="47"/>
      <c r="G118" s="47"/>
      <c r="H118" s="47"/>
      <c r="I118" s="48" t="str">
        <f t="shared" si="1"/>
        <v>26222</v>
      </c>
      <c r="J118" s="49"/>
      <c r="K118" s="49"/>
      <c r="L118" s="48" t="s">
        <v>360</v>
      </c>
      <c r="M118" s="50">
        <v>1.0</v>
      </c>
      <c r="N118" s="51"/>
      <c r="O118" s="47"/>
      <c r="P118" s="51"/>
      <c r="Q118" s="51"/>
      <c r="R118" s="51"/>
      <c r="S118" s="51"/>
      <c r="T118" s="49"/>
      <c r="U118" s="52">
        <v>1.0</v>
      </c>
      <c r="V118" s="49"/>
      <c r="W118" s="52" t="s">
        <v>70</v>
      </c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51"/>
      <c r="AQ118" s="51"/>
      <c r="AR118" s="51"/>
      <c r="AS118" s="51"/>
      <c r="AT118" s="51"/>
      <c r="AU118" s="51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51"/>
      <c r="BI118" s="51"/>
      <c r="BJ118" s="100" t="s">
        <v>352</v>
      </c>
      <c r="BK118" s="51"/>
      <c r="BL118" s="51"/>
      <c r="BM118" s="49"/>
      <c r="BN118" s="53"/>
      <c r="BO118" s="49"/>
      <c r="BP118" s="51"/>
      <c r="BQ118" s="10"/>
    </row>
    <row r="119">
      <c r="A119" s="71" t="s">
        <v>224</v>
      </c>
      <c r="B119" s="71" t="s">
        <v>359</v>
      </c>
      <c r="C119" s="71" t="s">
        <v>76</v>
      </c>
      <c r="D119" s="56"/>
      <c r="E119" s="56"/>
      <c r="F119" s="56"/>
      <c r="G119" s="56"/>
      <c r="H119" s="56"/>
      <c r="I119" s="58" t="str">
        <f t="shared" si="1"/>
        <v>2622201</v>
      </c>
      <c r="J119" s="56"/>
      <c r="K119" s="56"/>
      <c r="L119" s="103" t="s">
        <v>361</v>
      </c>
      <c r="M119" s="98" t="s">
        <v>145</v>
      </c>
      <c r="N119" s="71" t="s">
        <v>362</v>
      </c>
      <c r="O119" s="71" t="s">
        <v>363</v>
      </c>
      <c r="P119" s="71" t="s">
        <v>364</v>
      </c>
      <c r="Q119" s="56" t="s">
        <v>113</v>
      </c>
      <c r="R119" s="56"/>
      <c r="S119" s="56"/>
      <c r="T119" s="56"/>
      <c r="U119" s="71">
        <v>1.0</v>
      </c>
      <c r="V119" s="56"/>
      <c r="W119" s="71" t="s">
        <v>78</v>
      </c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81"/>
      <c r="BG119" s="81"/>
      <c r="BH119" s="59" t="s">
        <v>115</v>
      </c>
      <c r="BI119" s="82">
        <v>205.0</v>
      </c>
      <c r="BJ119" s="58"/>
      <c r="BK119" s="81"/>
      <c r="BL119" s="58"/>
      <c r="BM119" s="81"/>
      <c r="BN119" s="81"/>
      <c r="BO119" s="83"/>
      <c r="BP119" s="58"/>
      <c r="BQ119" s="64"/>
    </row>
    <row r="120">
      <c r="A120" s="71" t="s">
        <v>224</v>
      </c>
      <c r="B120" s="71" t="s">
        <v>359</v>
      </c>
      <c r="C120" s="71" t="s">
        <v>119</v>
      </c>
      <c r="D120" s="56"/>
      <c r="E120" s="56"/>
      <c r="F120" s="56"/>
      <c r="G120" s="56"/>
      <c r="H120" s="56"/>
      <c r="I120" s="58" t="str">
        <f t="shared" si="1"/>
        <v>2622202</v>
      </c>
      <c r="J120" s="56"/>
      <c r="K120" s="56"/>
      <c r="L120" s="103" t="s">
        <v>365</v>
      </c>
      <c r="M120" s="98" t="s">
        <v>145</v>
      </c>
      <c r="N120" s="56"/>
      <c r="O120" s="71" t="s">
        <v>366</v>
      </c>
      <c r="P120" s="71" t="s">
        <v>367</v>
      </c>
      <c r="Q120" s="56" t="s">
        <v>113</v>
      </c>
      <c r="R120" s="56"/>
      <c r="S120" s="56"/>
      <c r="T120" s="56"/>
      <c r="U120" s="71">
        <v>1.0</v>
      </c>
      <c r="V120" s="56"/>
      <c r="W120" s="71" t="s">
        <v>78</v>
      </c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71">
        <v>309494.0</v>
      </c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81"/>
      <c r="BG120" s="81"/>
      <c r="BH120" s="59" t="s">
        <v>115</v>
      </c>
      <c r="BI120" s="82">
        <v>205.0</v>
      </c>
      <c r="BJ120" s="58"/>
      <c r="BK120" s="81"/>
      <c r="BL120" s="58"/>
      <c r="BM120" s="81"/>
      <c r="BN120" s="81"/>
      <c r="BO120" s="83"/>
      <c r="BP120" s="58"/>
      <c r="BQ120" s="64"/>
    </row>
    <row r="121">
      <c r="A121" s="71" t="s">
        <v>224</v>
      </c>
      <c r="B121" s="71" t="s">
        <v>359</v>
      </c>
      <c r="C121" s="71" t="s">
        <v>124</v>
      </c>
      <c r="D121" s="56"/>
      <c r="E121" s="56"/>
      <c r="F121" s="56"/>
      <c r="G121" s="56"/>
      <c r="H121" s="56"/>
      <c r="I121" s="58" t="str">
        <f t="shared" si="1"/>
        <v>2622203</v>
      </c>
      <c r="J121" s="56"/>
      <c r="K121" s="56"/>
      <c r="L121" s="103" t="s">
        <v>368</v>
      </c>
      <c r="M121" s="98" t="s">
        <v>145</v>
      </c>
      <c r="N121" s="56"/>
      <c r="O121" s="71" t="s">
        <v>369</v>
      </c>
      <c r="P121" s="71" t="s">
        <v>370</v>
      </c>
      <c r="Q121" s="56" t="s">
        <v>113</v>
      </c>
      <c r="R121" s="56"/>
      <c r="S121" s="56"/>
      <c r="T121" s="56"/>
      <c r="U121" s="71">
        <v>1.0</v>
      </c>
      <c r="V121" s="56"/>
      <c r="W121" s="71" t="s">
        <v>78</v>
      </c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71">
        <v>309493.0</v>
      </c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81"/>
      <c r="BG121" s="81"/>
      <c r="BH121" s="59" t="s">
        <v>115</v>
      </c>
      <c r="BI121" s="82">
        <v>205.0</v>
      </c>
      <c r="BJ121" s="58"/>
      <c r="BK121" s="81"/>
      <c r="BL121" s="58"/>
      <c r="BM121" s="81"/>
      <c r="BN121" s="81"/>
      <c r="BO121" s="83"/>
      <c r="BP121" s="58"/>
      <c r="BQ121" s="64"/>
    </row>
    <row r="122">
      <c r="A122" s="71" t="s">
        <v>224</v>
      </c>
      <c r="B122" s="71" t="s">
        <v>359</v>
      </c>
      <c r="C122" s="71" t="s">
        <v>127</v>
      </c>
      <c r="D122" s="56"/>
      <c r="E122" s="56"/>
      <c r="F122" s="56"/>
      <c r="G122" s="56"/>
      <c r="H122" s="56"/>
      <c r="I122" s="58" t="str">
        <f t="shared" si="1"/>
        <v>2622204</v>
      </c>
      <c r="J122" s="56"/>
      <c r="K122" s="56"/>
      <c r="L122" s="103" t="s">
        <v>371</v>
      </c>
      <c r="M122" s="98" t="s">
        <v>145</v>
      </c>
      <c r="N122" s="56"/>
      <c r="O122" s="71" t="s">
        <v>372</v>
      </c>
      <c r="P122" s="71" t="s">
        <v>373</v>
      </c>
      <c r="Q122" s="56" t="s">
        <v>113</v>
      </c>
      <c r="R122" s="56"/>
      <c r="S122" s="56"/>
      <c r="T122" s="56"/>
      <c r="U122" s="71">
        <v>1.0</v>
      </c>
      <c r="V122" s="56"/>
      <c r="W122" s="71" t="s">
        <v>78</v>
      </c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81"/>
      <c r="BG122" s="81"/>
      <c r="BH122" s="59" t="s">
        <v>115</v>
      </c>
      <c r="BI122" s="82">
        <v>231.0</v>
      </c>
      <c r="BJ122" s="59">
        <v>1264099.0</v>
      </c>
      <c r="BK122" s="82" t="s">
        <v>374</v>
      </c>
      <c r="BL122" s="58"/>
      <c r="BM122" s="81"/>
      <c r="BN122" s="81"/>
      <c r="BO122" s="83"/>
      <c r="BP122" s="58"/>
      <c r="BQ122" s="64"/>
    </row>
    <row r="123">
      <c r="A123" s="71" t="s">
        <v>224</v>
      </c>
      <c r="B123" s="71" t="s">
        <v>359</v>
      </c>
      <c r="C123" s="71" t="s">
        <v>133</v>
      </c>
      <c r="D123" s="56"/>
      <c r="E123" s="56"/>
      <c r="F123" s="56"/>
      <c r="G123" s="56"/>
      <c r="H123" s="56"/>
      <c r="I123" s="58" t="str">
        <f t="shared" si="1"/>
        <v>2622206</v>
      </c>
      <c r="J123" s="56"/>
      <c r="K123" s="56"/>
      <c r="L123" s="56" t="s">
        <v>375</v>
      </c>
      <c r="M123" s="98" t="s">
        <v>376</v>
      </c>
      <c r="N123" s="56"/>
      <c r="O123" s="71" t="s">
        <v>377</v>
      </c>
      <c r="P123" s="71" t="s">
        <v>378</v>
      </c>
      <c r="Q123" s="71" t="s">
        <v>113</v>
      </c>
      <c r="R123" s="56"/>
      <c r="S123" s="56"/>
      <c r="T123" s="56"/>
      <c r="U123" s="71" t="s">
        <v>145</v>
      </c>
      <c r="V123" s="56"/>
      <c r="W123" s="71" t="s">
        <v>160</v>
      </c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81"/>
      <c r="AN123" s="81"/>
      <c r="AO123" s="64"/>
      <c r="AP123" s="58"/>
      <c r="AQ123" s="58"/>
      <c r="AR123" s="81"/>
      <c r="AS123" s="58"/>
      <c r="AT123" s="58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59" t="s">
        <v>115</v>
      </c>
      <c r="BI123" s="82">
        <v>205.0</v>
      </c>
      <c r="BJ123" s="64"/>
      <c r="BK123" s="64"/>
      <c r="BL123" s="64"/>
      <c r="BM123" s="64"/>
      <c r="BN123" s="64"/>
      <c r="BO123" s="64"/>
      <c r="BP123" s="64"/>
      <c r="BQ123" s="64"/>
    </row>
    <row r="124">
      <c r="A124" s="1">
        <v>4.0</v>
      </c>
      <c r="B124" s="2" t="s">
        <v>359</v>
      </c>
      <c r="C124" s="2" t="s">
        <v>91</v>
      </c>
      <c r="D124" s="93"/>
      <c r="E124" s="93"/>
      <c r="F124" s="93"/>
      <c r="G124" s="93"/>
      <c r="H124" s="93"/>
      <c r="I124" s="3" t="str">
        <f t="shared" si="1"/>
        <v>2622205</v>
      </c>
      <c r="J124" s="3"/>
      <c r="K124" s="3"/>
      <c r="L124" s="94" t="s">
        <v>379</v>
      </c>
      <c r="M124" s="4">
        <v>1.0</v>
      </c>
      <c r="N124" s="3"/>
      <c r="O124" s="95" t="s">
        <v>380</v>
      </c>
      <c r="P124" s="3"/>
      <c r="Q124" s="3"/>
      <c r="R124" s="3"/>
      <c r="S124" s="3"/>
      <c r="T124" s="3"/>
      <c r="U124" s="6">
        <v>1.0</v>
      </c>
      <c r="V124" s="3"/>
      <c r="W124" s="6" t="s">
        <v>78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8" t="s">
        <v>351</v>
      </c>
      <c r="BI124" s="3"/>
      <c r="BJ124" s="8" t="s">
        <v>352</v>
      </c>
      <c r="BK124" s="95" t="s">
        <v>380</v>
      </c>
      <c r="BL124" s="3"/>
      <c r="BM124" s="3"/>
      <c r="BN124" s="97"/>
      <c r="BO124" s="3"/>
      <c r="BP124" s="3"/>
      <c r="BQ124" s="10"/>
    </row>
    <row r="125">
      <c r="A125" s="36">
        <v>2.0</v>
      </c>
      <c r="B125" s="37" t="s">
        <v>381</v>
      </c>
      <c r="C125" s="38"/>
      <c r="D125" s="38"/>
      <c r="E125" s="38"/>
      <c r="F125" s="38"/>
      <c r="G125" s="38"/>
      <c r="H125" s="38"/>
      <c r="I125" s="39" t="str">
        <f t="shared" si="1"/>
        <v>26230</v>
      </c>
      <c r="J125" s="40"/>
      <c r="K125" s="40"/>
      <c r="L125" s="39" t="s">
        <v>382</v>
      </c>
      <c r="M125" s="41">
        <v>1.0</v>
      </c>
      <c r="N125" s="42"/>
      <c r="O125" s="38"/>
      <c r="P125" s="42"/>
      <c r="Q125" s="42"/>
      <c r="R125" s="42"/>
      <c r="S125" s="42"/>
      <c r="T125" s="40"/>
      <c r="U125" s="43">
        <v>1.0</v>
      </c>
      <c r="V125" s="40"/>
      <c r="W125" s="43" t="s">
        <v>70</v>
      </c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2"/>
      <c r="AQ125" s="42"/>
      <c r="AR125" s="42"/>
      <c r="AS125" s="42"/>
      <c r="AT125" s="42"/>
      <c r="AU125" s="42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2"/>
      <c r="BI125" s="42"/>
      <c r="BJ125" s="104" t="s">
        <v>352</v>
      </c>
      <c r="BK125" s="42"/>
      <c r="BL125" s="42"/>
      <c r="BM125" s="40"/>
      <c r="BN125" s="44"/>
      <c r="BO125" s="40"/>
      <c r="BP125" s="42"/>
      <c r="BQ125" s="10"/>
    </row>
    <row r="126">
      <c r="A126" s="45">
        <v>3.0</v>
      </c>
      <c r="B126" s="46" t="s">
        <v>383</v>
      </c>
      <c r="C126" s="47"/>
      <c r="D126" s="47"/>
      <c r="E126" s="47"/>
      <c r="F126" s="47"/>
      <c r="G126" s="47"/>
      <c r="H126" s="47"/>
      <c r="I126" s="48" t="str">
        <f t="shared" si="1"/>
        <v>26231</v>
      </c>
      <c r="J126" s="49"/>
      <c r="K126" s="49"/>
      <c r="L126" s="48" t="s">
        <v>384</v>
      </c>
      <c r="M126" s="50">
        <v>1.0</v>
      </c>
      <c r="N126" s="51"/>
      <c r="O126" s="47"/>
      <c r="P126" s="51"/>
      <c r="Q126" s="51"/>
      <c r="R126" s="51"/>
      <c r="S126" s="51"/>
      <c r="T126" s="49"/>
      <c r="U126" s="52">
        <v>1.0</v>
      </c>
      <c r="V126" s="49"/>
      <c r="W126" s="52" t="s">
        <v>70</v>
      </c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51"/>
      <c r="AQ126" s="51"/>
      <c r="AR126" s="51"/>
      <c r="AS126" s="51"/>
      <c r="AT126" s="51"/>
      <c r="AU126" s="51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51"/>
      <c r="BI126" s="51"/>
      <c r="BJ126" s="100" t="s">
        <v>352</v>
      </c>
      <c r="BK126" s="51"/>
      <c r="BL126" s="51"/>
      <c r="BM126" s="49"/>
      <c r="BN126" s="53"/>
      <c r="BO126" s="49"/>
      <c r="BP126" s="51"/>
      <c r="BQ126" s="10"/>
    </row>
    <row r="127">
      <c r="A127" s="1">
        <v>4.0</v>
      </c>
      <c r="B127" s="2" t="s">
        <v>383</v>
      </c>
      <c r="C127" s="2" t="s">
        <v>76</v>
      </c>
      <c r="D127" s="93"/>
      <c r="E127" s="93"/>
      <c r="F127" s="93"/>
      <c r="G127" s="93"/>
      <c r="H127" s="93"/>
      <c r="I127" s="3" t="str">
        <f t="shared" si="1"/>
        <v>2623101</v>
      </c>
      <c r="J127" s="3"/>
      <c r="K127" s="3"/>
      <c r="L127" s="94" t="s">
        <v>385</v>
      </c>
      <c r="M127" s="4">
        <v>1.0</v>
      </c>
      <c r="N127" s="3"/>
      <c r="O127" s="95" t="s">
        <v>386</v>
      </c>
      <c r="P127" s="3"/>
      <c r="Q127" s="3"/>
      <c r="R127" s="3"/>
      <c r="S127" s="3"/>
      <c r="T127" s="3"/>
      <c r="U127" s="6">
        <v>1.0</v>
      </c>
      <c r="V127" s="3"/>
      <c r="W127" s="6" t="s">
        <v>78</v>
      </c>
      <c r="X127" s="3"/>
      <c r="Y127" s="3"/>
      <c r="Z127" s="3"/>
      <c r="AA127" s="96" t="s">
        <v>79</v>
      </c>
      <c r="AB127" s="96" t="s">
        <v>79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6" t="s">
        <v>80</v>
      </c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8" t="s">
        <v>351</v>
      </c>
      <c r="BI127" s="3"/>
      <c r="BJ127" s="8" t="s">
        <v>352</v>
      </c>
      <c r="BK127" s="6" t="s">
        <v>386</v>
      </c>
      <c r="BL127" s="3"/>
      <c r="BM127" s="3"/>
      <c r="BN127" s="97"/>
      <c r="BO127" s="3"/>
      <c r="BP127" s="3"/>
      <c r="BQ127" s="10"/>
    </row>
    <row r="128">
      <c r="A128" s="36">
        <v>2.0</v>
      </c>
      <c r="B128" s="37" t="s">
        <v>387</v>
      </c>
      <c r="C128" s="38"/>
      <c r="D128" s="38"/>
      <c r="E128" s="38"/>
      <c r="F128" s="38"/>
      <c r="G128" s="38"/>
      <c r="H128" s="38"/>
      <c r="I128" s="39" t="str">
        <f t="shared" si="1"/>
        <v>26240</v>
      </c>
      <c r="J128" s="40"/>
      <c r="K128" s="40"/>
      <c r="L128" s="39" t="s">
        <v>388</v>
      </c>
      <c r="M128" s="41">
        <v>1.0</v>
      </c>
      <c r="N128" s="42"/>
      <c r="O128" s="38"/>
      <c r="P128" s="42"/>
      <c r="Q128" s="42"/>
      <c r="R128" s="42"/>
      <c r="S128" s="42"/>
      <c r="T128" s="40"/>
      <c r="U128" s="43">
        <v>1.0</v>
      </c>
      <c r="V128" s="40"/>
      <c r="W128" s="43" t="s">
        <v>70</v>
      </c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2"/>
      <c r="AQ128" s="42"/>
      <c r="AR128" s="42"/>
      <c r="AS128" s="42"/>
      <c r="AT128" s="42"/>
      <c r="AU128" s="42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2"/>
      <c r="BI128" s="42"/>
      <c r="BJ128" s="104" t="s">
        <v>352</v>
      </c>
      <c r="BK128" s="42"/>
      <c r="BL128" s="42"/>
      <c r="BM128" s="40"/>
      <c r="BN128" s="44"/>
      <c r="BO128" s="40"/>
      <c r="BP128" s="42"/>
      <c r="BQ128" s="10"/>
    </row>
    <row r="129">
      <c r="A129" s="45">
        <v>3.0</v>
      </c>
      <c r="B129" s="46" t="s">
        <v>389</v>
      </c>
      <c r="C129" s="47"/>
      <c r="D129" s="47"/>
      <c r="E129" s="47"/>
      <c r="F129" s="47"/>
      <c r="G129" s="47"/>
      <c r="H129" s="47"/>
      <c r="I129" s="48" t="str">
        <f t="shared" si="1"/>
        <v>26241</v>
      </c>
      <c r="J129" s="49"/>
      <c r="K129" s="49"/>
      <c r="L129" s="48" t="s">
        <v>390</v>
      </c>
      <c r="M129" s="50">
        <v>1.0</v>
      </c>
      <c r="N129" s="51"/>
      <c r="O129" s="47"/>
      <c r="P129" s="51"/>
      <c r="Q129" s="51"/>
      <c r="R129" s="51"/>
      <c r="S129" s="51"/>
      <c r="T129" s="49"/>
      <c r="U129" s="52">
        <v>1.0</v>
      </c>
      <c r="V129" s="49"/>
      <c r="W129" s="52" t="s">
        <v>70</v>
      </c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51"/>
      <c r="AQ129" s="51"/>
      <c r="AR129" s="51"/>
      <c r="AS129" s="51"/>
      <c r="AT129" s="51"/>
      <c r="AU129" s="51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51"/>
      <c r="BI129" s="51"/>
      <c r="BJ129" s="100" t="s">
        <v>352</v>
      </c>
      <c r="BK129" s="51"/>
      <c r="BL129" s="51"/>
      <c r="BM129" s="49"/>
      <c r="BN129" s="53"/>
      <c r="BO129" s="49"/>
      <c r="BP129" s="51"/>
      <c r="BQ129" s="10"/>
    </row>
    <row r="130">
      <c r="A130" s="1">
        <v>4.0</v>
      </c>
      <c r="B130" s="2" t="s">
        <v>389</v>
      </c>
      <c r="C130" s="2" t="s">
        <v>76</v>
      </c>
      <c r="D130" s="93"/>
      <c r="E130" s="93"/>
      <c r="F130" s="93"/>
      <c r="G130" s="93"/>
      <c r="H130" s="93"/>
      <c r="I130" s="3" t="str">
        <f t="shared" si="1"/>
        <v>2624101</v>
      </c>
      <c r="J130" s="3"/>
      <c r="K130" s="3"/>
      <c r="L130" s="94" t="s">
        <v>391</v>
      </c>
      <c r="M130" s="4">
        <v>1.0</v>
      </c>
      <c r="N130" s="6" t="s">
        <v>392</v>
      </c>
      <c r="O130" s="95" t="s">
        <v>393</v>
      </c>
      <c r="P130" s="3"/>
      <c r="Q130" s="3"/>
      <c r="R130" s="3"/>
      <c r="S130" s="3"/>
      <c r="T130" s="3"/>
      <c r="U130" s="6">
        <v>1.0</v>
      </c>
      <c r="V130" s="3"/>
      <c r="W130" s="6" t="s">
        <v>78</v>
      </c>
      <c r="X130" s="3"/>
      <c r="Y130" s="3"/>
      <c r="Z130" s="3"/>
      <c r="AA130" s="96" t="s">
        <v>79</v>
      </c>
      <c r="AB130" s="96" t="s">
        <v>79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6">
        <v>2.406101455E9</v>
      </c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8" t="s">
        <v>351</v>
      </c>
      <c r="BI130" s="3"/>
      <c r="BJ130" s="8" t="s">
        <v>352</v>
      </c>
      <c r="BK130" s="6" t="s">
        <v>393</v>
      </c>
      <c r="BL130" s="3"/>
      <c r="BM130" s="3"/>
      <c r="BN130" s="97"/>
      <c r="BO130" s="3"/>
      <c r="BP130" s="3"/>
      <c r="BQ130" s="10"/>
    </row>
    <row r="131">
      <c r="A131" s="1">
        <v>4.0</v>
      </c>
      <c r="B131" s="2" t="s">
        <v>389</v>
      </c>
      <c r="C131" s="2" t="s">
        <v>119</v>
      </c>
      <c r="D131" s="93"/>
      <c r="E131" s="93"/>
      <c r="F131" s="93"/>
      <c r="G131" s="93"/>
      <c r="H131" s="93"/>
      <c r="I131" s="3" t="str">
        <f t="shared" si="1"/>
        <v>2624102</v>
      </c>
      <c r="J131" s="3"/>
      <c r="K131" s="3"/>
      <c r="L131" s="94" t="s">
        <v>394</v>
      </c>
      <c r="M131" s="4">
        <v>1.0</v>
      </c>
      <c r="N131" s="6" t="s">
        <v>392</v>
      </c>
      <c r="O131" s="95" t="s">
        <v>395</v>
      </c>
      <c r="P131" s="3"/>
      <c r="Q131" s="3"/>
      <c r="R131" s="3"/>
      <c r="S131" s="3"/>
      <c r="T131" s="3"/>
      <c r="U131" s="6">
        <v>1.0</v>
      </c>
      <c r="V131" s="3"/>
      <c r="W131" s="6" t="s">
        <v>78</v>
      </c>
      <c r="X131" s="3"/>
      <c r="Y131" s="3"/>
      <c r="Z131" s="3"/>
      <c r="AA131" s="96" t="s">
        <v>79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6">
        <v>2.406101456E9</v>
      </c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8" t="s">
        <v>351</v>
      </c>
      <c r="BI131" s="3"/>
      <c r="BJ131" s="8" t="s">
        <v>352</v>
      </c>
      <c r="BK131" s="6" t="s">
        <v>395</v>
      </c>
      <c r="BL131" s="3"/>
      <c r="BM131" s="3"/>
      <c r="BN131" s="97"/>
      <c r="BO131" s="3"/>
      <c r="BP131" s="3"/>
      <c r="BQ131" s="10"/>
    </row>
    <row r="132">
      <c r="A132" s="28">
        <v>1.0</v>
      </c>
      <c r="B132" s="29" t="s">
        <v>396</v>
      </c>
      <c r="C132" s="30"/>
      <c r="D132" s="30"/>
      <c r="E132" s="30"/>
      <c r="F132" s="30"/>
      <c r="G132" s="30"/>
      <c r="H132" s="30"/>
      <c r="I132" s="31" t="str">
        <f t="shared" si="1"/>
        <v>26400</v>
      </c>
      <c r="J132" s="74"/>
      <c r="K132" s="74"/>
      <c r="L132" s="31" t="s">
        <v>397</v>
      </c>
      <c r="M132" s="75">
        <v>1.0</v>
      </c>
      <c r="N132" s="32"/>
      <c r="O132" s="30"/>
      <c r="P132" s="32"/>
      <c r="Q132" s="32"/>
      <c r="R132" s="32"/>
      <c r="S132" s="32"/>
      <c r="T132" s="74"/>
      <c r="U132" s="34">
        <v>1.0</v>
      </c>
      <c r="V132" s="74"/>
      <c r="W132" s="34" t="s">
        <v>70</v>
      </c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32"/>
      <c r="AQ132" s="32"/>
      <c r="AR132" s="32"/>
      <c r="AS132" s="32"/>
      <c r="AT132" s="32"/>
      <c r="AU132" s="32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32"/>
      <c r="BI132" s="32"/>
      <c r="BJ132" s="102" t="s">
        <v>352</v>
      </c>
      <c r="BK132" s="32"/>
      <c r="BL132" s="32"/>
      <c r="BM132" s="74"/>
      <c r="BN132" s="76"/>
      <c r="BO132" s="74"/>
      <c r="BP132" s="32"/>
      <c r="BQ132" s="10"/>
    </row>
    <row r="133">
      <c r="A133" s="36">
        <v>2.0</v>
      </c>
      <c r="B133" s="37" t="s">
        <v>398</v>
      </c>
      <c r="C133" s="38"/>
      <c r="D133" s="38"/>
      <c r="E133" s="38"/>
      <c r="F133" s="38"/>
      <c r="G133" s="38"/>
      <c r="H133" s="38"/>
      <c r="I133" s="39" t="str">
        <f t="shared" si="1"/>
        <v>26420</v>
      </c>
      <c r="J133" s="40"/>
      <c r="K133" s="40"/>
      <c r="L133" s="39" t="s">
        <v>399</v>
      </c>
      <c r="M133" s="41">
        <v>1.0</v>
      </c>
      <c r="N133" s="42"/>
      <c r="O133" s="38"/>
      <c r="P133" s="42"/>
      <c r="Q133" s="42"/>
      <c r="R133" s="42"/>
      <c r="S133" s="42"/>
      <c r="T133" s="40"/>
      <c r="U133" s="43">
        <v>1.0</v>
      </c>
      <c r="V133" s="40"/>
      <c r="W133" s="43" t="s">
        <v>70</v>
      </c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2"/>
      <c r="AQ133" s="42"/>
      <c r="AR133" s="42"/>
      <c r="AS133" s="42"/>
      <c r="AT133" s="42"/>
      <c r="AU133" s="42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2"/>
      <c r="BI133" s="42"/>
      <c r="BJ133" s="104" t="s">
        <v>352</v>
      </c>
      <c r="BK133" s="42"/>
      <c r="BL133" s="42"/>
      <c r="BM133" s="40"/>
      <c r="BN133" s="44"/>
      <c r="BO133" s="40"/>
      <c r="BP133" s="42"/>
      <c r="BQ133" s="10"/>
    </row>
    <row r="134">
      <c r="A134" s="45">
        <v>3.0</v>
      </c>
      <c r="B134" s="46" t="s">
        <v>400</v>
      </c>
      <c r="C134" s="47"/>
      <c r="D134" s="47"/>
      <c r="E134" s="47"/>
      <c r="F134" s="47"/>
      <c r="G134" s="47"/>
      <c r="H134" s="47"/>
      <c r="I134" s="48" t="str">
        <f t="shared" si="1"/>
        <v>26421</v>
      </c>
      <c r="J134" s="49"/>
      <c r="K134" s="49"/>
      <c r="L134" s="48" t="s">
        <v>401</v>
      </c>
      <c r="M134" s="50">
        <v>1.0</v>
      </c>
      <c r="N134" s="51"/>
      <c r="O134" s="47"/>
      <c r="P134" s="51"/>
      <c r="Q134" s="51"/>
      <c r="R134" s="51"/>
      <c r="S134" s="51"/>
      <c r="T134" s="49"/>
      <c r="U134" s="52">
        <v>1.0</v>
      </c>
      <c r="V134" s="49"/>
      <c r="W134" s="52" t="s">
        <v>70</v>
      </c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51"/>
      <c r="AQ134" s="51"/>
      <c r="AR134" s="51"/>
      <c r="AS134" s="51"/>
      <c r="AT134" s="51"/>
      <c r="AU134" s="51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51"/>
      <c r="BI134" s="51"/>
      <c r="BJ134" s="100" t="s">
        <v>352</v>
      </c>
      <c r="BK134" s="51"/>
      <c r="BL134" s="51"/>
      <c r="BM134" s="49"/>
      <c r="BN134" s="53"/>
      <c r="BO134" s="49"/>
      <c r="BP134" s="51"/>
      <c r="BQ134" s="10"/>
    </row>
    <row r="135">
      <c r="A135" s="70">
        <v>4.0</v>
      </c>
      <c r="B135" s="71" t="s">
        <v>400</v>
      </c>
      <c r="C135" s="71" t="s">
        <v>76</v>
      </c>
      <c r="D135" s="56"/>
      <c r="E135" s="56"/>
      <c r="F135" s="56"/>
      <c r="G135" s="56"/>
      <c r="H135" s="56"/>
      <c r="I135" s="58" t="str">
        <f t="shared" si="1"/>
        <v>2642101</v>
      </c>
      <c r="J135" s="58"/>
      <c r="K135" s="58"/>
      <c r="L135" s="59" t="s">
        <v>402</v>
      </c>
      <c r="M135" s="60">
        <v>1.0</v>
      </c>
      <c r="N135" s="72" t="s">
        <v>403</v>
      </c>
      <c r="O135" s="73" t="s">
        <v>404</v>
      </c>
      <c r="P135" s="58"/>
      <c r="Q135" s="58"/>
      <c r="R135" s="58"/>
      <c r="S135" s="58"/>
      <c r="T135" s="58"/>
      <c r="U135" s="72">
        <v>1.0</v>
      </c>
      <c r="V135" s="58"/>
      <c r="W135" s="72" t="s">
        <v>78</v>
      </c>
      <c r="X135" s="58"/>
      <c r="Y135" s="58"/>
      <c r="Z135" s="58"/>
      <c r="AA135" s="62" t="s">
        <v>79</v>
      </c>
      <c r="AB135" s="62" t="s">
        <v>79</v>
      </c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72" t="s">
        <v>405</v>
      </c>
      <c r="AQ135" s="58"/>
      <c r="AR135" s="72">
        <v>833.5</v>
      </c>
      <c r="AS135" s="72">
        <v>390.0</v>
      </c>
      <c r="AT135" s="72">
        <v>358.0</v>
      </c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90" t="s">
        <v>351</v>
      </c>
      <c r="BI135" s="58"/>
      <c r="BJ135" s="90" t="s">
        <v>352</v>
      </c>
      <c r="BK135" s="72" t="s">
        <v>404</v>
      </c>
      <c r="BL135" s="58"/>
      <c r="BM135" s="58"/>
      <c r="BN135" s="63"/>
      <c r="BO135" s="58"/>
      <c r="BP135" s="90" t="s">
        <v>406</v>
      </c>
      <c r="BQ135" s="64"/>
    </row>
    <row r="136">
      <c r="A136" s="36">
        <v>2.0</v>
      </c>
      <c r="B136" s="37">
        <v>26430.0</v>
      </c>
      <c r="C136" s="38"/>
      <c r="D136" s="38"/>
      <c r="E136" s="38"/>
      <c r="F136" s="38"/>
      <c r="G136" s="38"/>
      <c r="H136" s="38"/>
      <c r="I136" s="39" t="str">
        <f t="shared" si="1"/>
        <v>26430</v>
      </c>
      <c r="J136" s="40"/>
      <c r="K136" s="40"/>
      <c r="L136" s="39" t="s">
        <v>407</v>
      </c>
      <c r="M136" s="41">
        <v>1.0</v>
      </c>
      <c r="N136" s="42"/>
      <c r="O136" s="38"/>
      <c r="P136" s="42"/>
      <c r="Q136" s="42"/>
      <c r="R136" s="42"/>
      <c r="S136" s="42"/>
      <c r="T136" s="40"/>
      <c r="U136" s="43">
        <v>1.0</v>
      </c>
      <c r="V136" s="40"/>
      <c r="W136" s="43" t="s">
        <v>70</v>
      </c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2"/>
      <c r="AQ136" s="42"/>
      <c r="AR136" s="42"/>
      <c r="AS136" s="42"/>
      <c r="AT136" s="42"/>
      <c r="AU136" s="42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2"/>
      <c r="BI136" s="42"/>
      <c r="BJ136" s="104" t="s">
        <v>352</v>
      </c>
      <c r="BK136" s="42"/>
      <c r="BL136" s="42"/>
      <c r="BM136" s="40"/>
      <c r="BN136" s="44"/>
      <c r="BO136" s="40"/>
      <c r="BP136" s="42"/>
      <c r="BQ136" s="10"/>
    </row>
    <row r="137">
      <c r="A137" s="45">
        <v>3.0</v>
      </c>
      <c r="B137" s="46">
        <v>26431.0</v>
      </c>
      <c r="C137" s="47"/>
      <c r="D137" s="47"/>
      <c r="E137" s="47"/>
      <c r="F137" s="47"/>
      <c r="G137" s="47"/>
      <c r="H137" s="47"/>
      <c r="I137" s="48" t="str">
        <f t="shared" si="1"/>
        <v>26431</v>
      </c>
      <c r="J137" s="49"/>
      <c r="K137" s="49"/>
      <c r="L137" s="48" t="s">
        <v>408</v>
      </c>
      <c r="M137" s="50">
        <v>1.0</v>
      </c>
      <c r="N137" s="51"/>
      <c r="O137" s="47"/>
      <c r="P137" s="51"/>
      <c r="Q137" s="51"/>
      <c r="R137" s="51"/>
      <c r="S137" s="51"/>
      <c r="T137" s="49"/>
      <c r="U137" s="52">
        <v>1.0</v>
      </c>
      <c r="V137" s="49"/>
      <c r="W137" s="52" t="s">
        <v>70</v>
      </c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51"/>
      <c r="AQ137" s="51"/>
      <c r="AR137" s="51"/>
      <c r="AS137" s="51"/>
      <c r="AT137" s="51"/>
      <c r="AU137" s="51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51"/>
      <c r="BI137" s="51"/>
      <c r="BJ137" s="100" t="s">
        <v>352</v>
      </c>
      <c r="BK137" s="51"/>
      <c r="BL137" s="51"/>
      <c r="BM137" s="49"/>
      <c r="BN137" s="53"/>
      <c r="BO137" s="49"/>
      <c r="BP137" s="51"/>
      <c r="BQ137" s="10"/>
    </row>
    <row r="138">
      <c r="A138" s="1">
        <v>4.0</v>
      </c>
      <c r="B138" s="2">
        <v>26431.0</v>
      </c>
      <c r="C138" s="2" t="s">
        <v>76</v>
      </c>
      <c r="D138" s="93"/>
      <c r="E138" s="93"/>
      <c r="F138" s="93"/>
      <c r="G138" s="93"/>
      <c r="H138" s="93"/>
      <c r="I138" s="3" t="str">
        <f t="shared" si="1"/>
        <v>2643101</v>
      </c>
      <c r="J138" s="3"/>
      <c r="K138" s="3"/>
      <c r="L138" s="94" t="s">
        <v>409</v>
      </c>
      <c r="M138" s="4">
        <v>1.0</v>
      </c>
      <c r="N138" s="3"/>
      <c r="O138" s="95" t="s">
        <v>410</v>
      </c>
      <c r="P138" s="3"/>
      <c r="Q138" s="3"/>
      <c r="R138" s="3"/>
      <c r="S138" s="3"/>
      <c r="T138" s="3"/>
      <c r="U138" s="6">
        <v>1.0</v>
      </c>
      <c r="V138" s="3"/>
      <c r="W138" s="6" t="s">
        <v>78</v>
      </c>
      <c r="X138" s="3"/>
      <c r="Y138" s="3"/>
      <c r="Z138" s="3"/>
      <c r="AA138" s="96" t="s">
        <v>79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6" t="s">
        <v>80</v>
      </c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8" t="s">
        <v>351</v>
      </c>
      <c r="BI138" s="3"/>
      <c r="BJ138" s="8" t="s">
        <v>352</v>
      </c>
      <c r="BK138" s="6" t="s">
        <v>410</v>
      </c>
      <c r="BL138" s="3"/>
      <c r="BM138" s="3"/>
      <c r="BN138" s="97"/>
      <c r="BO138" s="3"/>
      <c r="BP138" s="3"/>
      <c r="BQ138" s="10"/>
    </row>
    <row r="139">
      <c r="A139" s="70">
        <v>4.0</v>
      </c>
      <c r="B139" s="71">
        <v>26431.0</v>
      </c>
      <c r="C139" s="71" t="s">
        <v>119</v>
      </c>
      <c r="D139" s="56"/>
      <c r="E139" s="56"/>
      <c r="F139" s="56"/>
      <c r="G139" s="56"/>
      <c r="H139" s="56"/>
      <c r="I139" s="58" t="str">
        <f t="shared" si="1"/>
        <v>2643102</v>
      </c>
      <c r="J139" s="58"/>
      <c r="K139" s="58"/>
      <c r="L139" s="59" t="s">
        <v>411</v>
      </c>
      <c r="M139" s="60">
        <v>1.0</v>
      </c>
      <c r="N139" s="72" t="s">
        <v>412</v>
      </c>
      <c r="O139" s="73" t="s">
        <v>413</v>
      </c>
      <c r="P139" s="72" t="s">
        <v>414</v>
      </c>
      <c r="Q139" s="90" t="s">
        <v>415</v>
      </c>
      <c r="R139" s="58"/>
      <c r="S139" s="58"/>
      <c r="T139" s="58"/>
      <c r="U139" s="72">
        <v>1.0</v>
      </c>
      <c r="V139" s="58"/>
      <c r="W139" s="72" t="s">
        <v>78</v>
      </c>
      <c r="X139" s="58"/>
      <c r="Y139" s="58"/>
      <c r="Z139" s="58"/>
      <c r="AA139" s="62" t="s">
        <v>79</v>
      </c>
      <c r="AB139" s="62" t="s">
        <v>79</v>
      </c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72" t="s">
        <v>416</v>
      </c>
      <c r="AQ139" s="72">
        <v>42.0</v>
      </c>
      <c r="AR139" s="72">
        <v>774.0</v>
      </c>
      <c r="AS139" s="72">
        <v>320.0</v>
      </c>
      <c r="AT139" s="72">
        <v>537.0</v>
      </c>
      <c r="AU139" s="58"/>
      <c r="AV139" s="91" t="s">
        <v>417</v>
      </c>
      <c r="AW139" s="58"/>
      <c r="AX139" s="58"/>
      <c r="AY139" s="58"/>
      <c r="AZ139" s="58"/>
      <c r="BA139" s="58"/>
      <c r="BB139" s="58"/>
      <c r="BC139" s="60" t="s">
        <v>418</v>
      </c>
      <c r="BD139" s="58"/>
      <c r="BE139" s="58"/>
      <c r="BF139" s="91" t="s">
        <v>419</v>
      </c>
      <c r="BG139" s="60">
        <v>1.0</v>
      </c>
      <c r="BH139" s="90" t="s">
        <v>351</v>
      </c>
      <c r="BI139" s="58"/>
      <c r="BJ139" s="90" t="s">
        <v>352</v>
      </c>
      <c r="BK139" s="72" t="s">
        <v>413</v>
      </c>
      <c r="BL139" s="58"/>
      <c r="BM139" s="58"/>
      <c r="BN139" s="63"/>
      <c r="BO139" s="58"/>
      <c r="BP139" s="58"/>
      <c r="BQ139" s="64"/>
    </row>
    <row r="140">
      <c r="A140" s="70">
        <v>4.0</v>
      </c>
      <c r="B140" s="71">
        <v>26431.0</v>
      </c>
      <c r="C140" s="71" t="s">
        <v>124</v>
      </c>
      <c r="D140" s="56"/>
      <c r="E140" s="56"/>
      <c r="F140" s="56"/>
      <c r="G140" s="56"/>
      <c r="H140" s="56"/>
      <c r="I140" s="58" t="str">
        <f t="shared" si="1"/>
        <v>2643103</v>
      </c>
      <c r="J140" s="58"/>
      <c r="K140" s="58"/>
      <c r="L140" s="59" t="s">
        <v>420</v>
      </c>
      <c r="M140" s="60">
        <v>1.0</v>
      </c>
      <c r="N140" s="72" t="s">
        <v>412</v>
      </c>
      <c r="O140" s="73" t="s">
        <v>421</v>
      </c>
      <c r="P140" s="72" t="s">
        <v>414</v>
      </c>
      <c r="Q140" s="90" t="s">
        <v>415</v>
      </c>
      <c r="R140" s="58"/>
      <c r="S140" s="58"/>
      <c r="T140" s="58"/>
      <c r="U140" s="72">
        <v>1.0</v>
      </c>
      <c r="V140" s="58"/>
      <c r="W140" s="72" t="s">
        <v>78</v>
      </c>
      <c r="X140" s="58"/>
      <c r="Y140" s="58"/>
      <c r="Z140" s="58"/>
      <c r="AA140" s="62" t="s">
        <v>79</v>
      </c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72" t="s">
        <v>422</v>
      </c>
      <c r="AQ140" s="72">
        <v>42.0</v>
      </c>
      <c r="AR140" s="72">
        <v>774.0</v>
      </c>
      <c r="AS140" s="72">
        <v>320.0</v>
      </c>
      <c r="AT140" s="72">
        <v>537.0</v>
      </c>
      <c r="AU140" s="58"/>
      <c r="AV140" s="91" t="s">
        <v>417</v>
      </c>
      <c r="AW140" s="58"/>
      <c r="AX140" s="58"/>
      <c r="AY140" s="58"/>
      <c r="AZ140" s="58"/>
      <c r="BA140" s="58"/>
      <c r="BB140" s="58"/>
      <c r="BC140" s="60" t="s">
        <v>418</v>
      </c>
      <c r="BD140" s="58"/>
      <c r="BE140" s="58"/>
      <c r="BF140" s="91" t="s">
        <v>419</v>
      </c>
      <c r="BG140" s="60">
        <v>1.0</v>
      </c>
      <c r="BH140" s="90" t="s">
        <v>351</v>
      </c>
      <c r="BI140" s="58"/>
      <c r="BJ140" s="90" t="s">
        <v>352</v>
      </c>
      <c r="BK140" s="72" t="s">
        <v>421</v>
      </c>
      <c r="BL140" s="58"/>
      <c r="BM140" s="58"/>
      <c r="BN140" s="63"/>
      <c r="BO140" s="58"/>
      <c r="BP140" s="58"/>
      <c r="BQ140" s="64"/>
    </row>
    <row r="141">
      <c r="A141" s="70">
        <v>4.0</v>
      </c>
      <c r="B141" s="71">
        <v>26431.0</v>
      </c>
      <c r="C141" s="71" t="s">
        <v>127</v>
      </c>
      <c r="D141" s="56"/>
      <c r="E141" s="56"/>
      <c r="F141" s="56"/>
      <c r="G141" s="56"/>
      <c r="H141" s="56"/>
      <c r="I141" s="58" t="str">
        <f t="shared" si="1"/>
        <v>2643104</v>
      </c>
      <c r="J141" s="58"/>
      <c r="K141" s="58"/>
      <c r="L141" s="59" t="s">
        <v>423</v>
      </c>
      <c r="M141" s="60">
        <v>1.0</v>
      </c>
      <c r="N141" s="72" t="s">
        <v>412</v>
      </c>
      <c r="O141" s="73" t="s">
        <v>424</v>
      </c>
      <c r="P141" s="72" t="s">
        <v>414</v>
      </c>
      <c r="Q141" s="90" t="s">
        <v>415</v>
      </c>
      <c r="R141" s="58"/>
      <c r="S141" s="58"/>
      <c r="T141" s="58"/>
      <c r="U141" s="72">
        <v>1.0</v>
      </c>
      <c r="V141" s="58"/>
      <c r="W141" s="72" t="s">
        <v>78</v>
      </c>
      <c r="X141" s="58"/>
      <c r="Y141" s="58"/>
      <c r="Z141" s="58"/>
      <c r="AA141" s="62" t="s">
        <v>79</v>
      </c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72" t="s">
        <v>425</v>
      </c>
      <c r="AQ141" s="72">
        <v>42.0</v>
      </c>
      <c r="AR141" s="72">
        <v>774.0</v>
      </c>
      <c r="AS141" s="72">
        <v>320.0</v>
      </c>
      <c r="AT141" s="72">
        <v>537.0</v>
      </c>
      <c r="AU141" s="58"/>
      <c r="AV141" s="91" t="s">
        <v>417</v>
      </c>
      <c r="AW141" s="58"/>
      <c r="AX141" s="58"/>
      <c r="AY141" s="58"/>
      <c r="AZ141" s="58"/>
      <c r="BA141" s="58"/>
      <c r="BB141" s="58"/>
      <c r="BC141" s="60" t="s">
        <v>418</v>
      </c>
      <c r="BD141" s="58"/>
      <c r="BE141" s="58"/>
      <c r="BF141" s="91" t="s">
        <v>419</v>
      </c>
      <c r="BG141" s="60">
        <v>1.0</v>
      </c>
      <c r="BH141" s="90" t="s">
        <v>351</v>
      </c>
      <c r="BI141" s="58"/>
      <c r="BJ141" s="90" t="s">
        <v>352</v>
      </c>
      <c r="BK141" s="72" t="s">
        <v>424</v>
      </c>
      <c r="BL141" s="58"/>
      <c r="BM141" s="58"/>
      <c r="BN141" s="63"/>
      <c r="BO141" s="58"/>
      <c r="BP141" s="58"/>
      <c r="BQ141" s="64"/>
    </row>
    <row r="142">
      <c r="A142" s="1">
        <v>4.0</v>
      </c>
      <c r="B142" s="2">
        <v>26431.0</v>
      </c>
      <c r="C142" s="2" t="s">
        <v>91</v>
      </c>
      <c r="D142" s="93"/>
      <c r="E142" s="93"/>
      <c r="F142" s="93"/>
      <c r="G142" s="93"/>
      <c r="H142" s="93"/>
      <c r="I142" s="3" t="str">
        <f t="shared" si="1"/>
        <v>2643105</v>
      </c>
      <c r="J142" s="3"/>
      <c r="K142" s="3"/>
      <c r="L142" s="94" t="s">
        <v>426</v>
      </c>
      <c r="M142" s="4">
        <v>2.0</v>
      </c>
      <c r="N142" s="3"/>
      <c r="O142" s="93"/>
      <c r="P142" s="3"/>
      <c r="Q142" s="3"/>
      <c r="R142" s="3"/>
      <c r="S142" s="3"/>
      <c r="T142" s="3"/>
      <c r="U142" s="6">
        <v>1.0</v>
      </c>
      <c r="V142" s="3"/>
      <c r="W142" s="6" t="s">
        <v>304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97"/>
      <c r="BO142" s="3"/>
      <c r="BP142" s="3"/>
      <c r="BQ142" s="10"/>
    </row>
    <row r="143">
      <c r="A143" s="1">
        <v>5.0</v>
      </c>
      <c r="B143" s="2">
        <v>26431.0</v>
      </c>
      <c r="C143" s="2" t="s">
        <v>91</v>
      </c>
      <c r="D143" s="2" t="s">
        <v>91</v>
      </c>
      <c r="E143" s="93"/>
      <c r="F143" s="93"/>
      <c r="G143" s="93"/>
      <c r="H143" s="93"/>
      <c r="I143" s="3" t="str">
        <f t="shared" si="1"/>
        <v>264310505</v>
      </c>
      <c r="J143" s="3"/>
      <c r="K143" s="3"/>
      <c r="L143" s="94" t="s">
        <v>427</v>
      </c>
      <c r="M143" s="4">
        <v>2.0</v>
      </c>
      <c r="N143" s="3"/>
      <c r="O143" s="93"/>
      <c r="P143" s="3"/>
      <c r="Q143" s="3"/>
      <c r="R143" s="3"/>
      <c r="S143" s="3"/>
      <c r="T143" s="3"/>
      <c r="U143" s="6" t="s">
        <v>79</v>
      </c>
      <c r="V143" s="3"/>
      <c r="W143" s="3"/>
      <c r="X143" s="3"/>
      <c r="Y143" s="3"/>
      <c r="Z143" s="3"/>
      <c r="AA143" s="96" t="s">
        <v>79</v>
      </c>
      <c r="AB143" s="96" t="s">
        <v>79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6" t="s">
        <v>80</v>
      </c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97"/>
      <c r="BO143" s="3"/>
      <c r="BP143" s="3"/>
      <c r="BQ143" s="10"/>
    </row>
    <row r="144">
      <c r="A144" s="1">
        <v>4.0</v>
      </c>
      <c r="B144" s="2">
        <v>26431.0</v>
      </c>
      <c r="C144" s="2" t="s">
        <v>133</v>
      </c>
      <c r="D144" s="93"/>
      <c r="E144" s="93"/>
      <c r="F144" s="93"/>
      <c r="G144" s="93"/>
      <c r="H144" s="93"/>
      <c r="I144" s="3" t="str">
        <f t="shared" si="1"/>
        <v>2643106</v>
      </c>
      <c r="J144" s="3"/>
      <c r="K144" s="3"/>
      <c r="L144" s="94" t="s">
        <v>428</v>
      </c>
      <c r="M144" s="4">
        <v>2.0</v>
      </c>
      <c r="N144" s="3"/>
      <c r="O144" s="93"/>
      <c r="P144" s="3"/>
      <c r="Q144" s="3"/>
      <c r="R144" s="3"/>
      <c r="S144" s="3"/>
      <c r="T144" s="3"/>
      <c r="U144" s="6">
        <v>1.0</v>
      </c>
      <c r="V144" s="3"/>
      <c r="W144" s="6" t="s">
        <v>304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97"/>
      <c r="BO144" s="3"/>
      <c r="BP144" s="3"/>
      <c r="BQ144" s="10"/>
    </row>
    <row r="145">
      <c r="A145" s="1">
        <v>5.0</v>
      </c>
      <c r="B145" s="2">
        <v>26431.0</v>
      </c>
      <c r="C145" s="2" t="s">
        <v>133</v>
      </c>
      <c r="D145" s="2" t="s">
        <v>76</v>
      </c>
      <c r="E145" s="93"/>
      <c r="F145" s="93"/>
      <c r="G145" s="93"/>
      <c r="H145" s="93"/>
      <c r="I145" s="3" t="str">
        <f t="shared" si="1"/>
        <v>264310601</v>
      </c>
      <c r="J145" s="3"/>
      <c r="K145" s="3"/>
      <c r="L145" s="94" t="s">
        <v>429</v>
      </c>
      <c r="M145" s="4">
        <v>1.0</v>
      </c>
      <c r="N145" s="3"/>
      <c r="O145" s="93"/>
      <c r="P145" s="3"/>
      <c r="Q145" s="3"/>
      <c r="R145" s="3"/>
      <c r="S145" s="3"/>
      <c r="T145" s="3"/>
      <c r="U145" s="6">
        <v>1.0</v>
      </c>
      <c r="V145" s="3"/>
      <c r="W145" s="6" t="s">
        <v>78</v>
      </c>
      <c r="X145" s="3"/>
      <c r="Y145" s="3"/>
      <c r="Z145" s="3"/>
      <c r="AA145" s="96" t="s">
        <v>79</v>
      </c>
      <c r="AB145" s="96" t="s">
        <v>79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6" t="s">
        <v>80</v>
      </c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97"/>
      <c r="BO145" s="3"/>
      <c r="BP145" s="3"/>
      <c r="BQ145" s="10"/>
    </row>
    <row r="146">
      <c r="A146" s="28">
        <v>1.0</v>
      </c>
      <c r="B146" s="29" t="s">
        <v>430</v>
      </c>
      <c r="C146" s="30"/>
      <c r="D146" s="30"/>
      <c r="E146" s="30"/>
      <c r="F146" s="30"/>
      <c r="G146" s="30"/>
      <c r="H146" s="30"/>
      <c r="I146" s="31" t="str">
        <f t="shared" si="1"/>
        <v>29900</v>
      </c>
      <c r="J146" s="74"/>
      <c r="K146" s="74"/>
      <c r="L146" s="31" t="s">
        <v>431</v>
      </c>
      <c r="M146" s="75">
        <v>1.0</v>
      </c>
      <c r="N146" s="32"/>
      <c r="O146" s="30"/>
      <c r="P146" s="32"/>
      <c r="Q146" s="32"/>
      <c r="R146" s="32"/>
      <c r="S146" s="32"/>
      <c r="T146" s="74"/>
      <c r="U146" s="34">
        <v>1.0</v>
      </c>
      <c r="V146" s="74"/>
      <c r="W146" s="34" t="s">
        <v>70</v>
      </c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32"/>
      <c r="AQ146" s="32"/>
      <c r="AR146" s="32"/>
      <c r="AS146" s="32"/>
      <c r="AT146" s="32"/>
      <c r="AU146" s="32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32"/>
      <c r="BI146" s="32"/>
      <c r="BJ146" s="32"/>
      <c r="BK146" s="32"/>
      <c r="BL146" s="32"/>
      <c r="BM146" s="74"/>
      <c r="BN146" s="76"/>
      <c r="BO146" s="74"/>
      <c r="BP146" s="32"/>
      <c r="BQ146" s="10"/>
    </row>
    <row r="147">
      <c r="A147" s="36">
        <v>2.0</v>
      </c>
      <c r="B147" s="37" t="s">
        <v>432</v>
      </c>
      <c r="C147" s="38"/>
      <c r="D147" s="38"/>
      <c r="E147" s="38"/>
      <c r="F147" s="38"/>
      <c r="G147" s="38"/>
      <c r="H147" s="38"/>
      <c r="I147" s="39" t="str">
        <f t="shared" si="1"/>
        <v>29910</v>
      </c>
      <c r="J147" s="40"/>
      <c r="K147" s="40"/>
      <c r="L147" s="39" t="s">
        <v>431</v>
      </c>
      <c r="M147" s="41">
        <v>1.0</v>
      </c>
      <c r="N147" s="42"/>
      <c r="O147" s="38"/>
      <c r="P147" s="42"/>
      <c r="Q147" s="42"/>
      <c r="R147" s="42"/>
      <c r="S147" s="42"/>
      <c r="T147" s="40"/>
      <c r="U147" s="43">
        <v>1.0</v>
      </c>
      <c r="V147" s="40"/>
      <c r="W147" s="43" t="s">
        <v>70</v>
      </c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2"/>
      <c r="AQ147" s="42"/>
      <c r="AR147" s="42"/>
      <c r="AS147" s="42"/>
      <c r="AT147" s="42"/>
      <c r="AU147" s="42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2"/>
      <c r="BI147" s="42"/>
      <c r="BJ147" s="42"/>
      <c r="BK147" s="42"/>
      <c r="BL147" s="42"/>
      <c r="BM147" s="40"/>
      <c r="BN147" s="44"/>
      <c r="BO147" s="40"/>
      <c r="BP147" s="42"/>
      <c r="BQ147" s="10"/>
    </row>
    <row r="148">
      <c r="A148" s="45">
        <v>3.0</v>
      </c>
      <c r="B148" s="46" t="s">
        <v>433</v>
      </c>
      <c r="C148" s="47"/>
      <c r="D148" s="47"/>
      <c r="E148" s="47"/>
      <c r="F148" s="47"/>
      <c r="G148" s="47"/>
      <c r="H148" s="47"/>
      <c r="I148" s="48" t="str">
        <f t="shared" si="1"/>
        <v>29911</v>
      </c>
      <c r="J148" s="49"/>
      <c r="K148" s="49"/>
      <c r="L148" s="48" t="s">
        <v>431</v>
      </c>
      <c r="M148" s="50">
        <v>1.0</v>
      </c>
      <c r="N148" s="51"/>
      <c r="O148" s="47"/>
      <c r="P148" s="51"/>
      <c r="Q148" s="51"/>
      <c r="R148" s="51"/>
      <c r="S148" s="51"/>
      <c r="T148" s="49"/>
      <c r="U148" s="52">
        <v>1.0</v>
      </c>
      <c r="V148" s="49"/>
      <c r="W148" s="52" t="s">
        <v>70</v>
      </c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51"/>
      <c r="AQ148" s="51"/>
      <c r="AR148" s="51"/>
      <c r="AS148" s="51"/>
      <c r="AT148" s="51"/>
      <c r="AU148" s="51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51"/>
      <c r="BI148" s="51"/>
      <c r="BJ148" s="51"/>
      <c r="BK148" s="51"/>
      <c r="BL148" s="51"/>
      <c r="BM148" s="49"/>
      <c r="BN148" s="53"/>
      <c r="BO148" s="49"/>
      <c r="BP148" s="51"/>
      <c r="BQ148" s="10"/>
    </row>
    <row r="149">
      <c r="A149" s="70" t="s">
        <v>224</v>
      </c>
      <c r="B149" s="71" t="s">
        <v>433</v>
      </c>
      <c r="C149" s="71" t="s">
        <v>76</v>
      </c>
      <c r="D149" s="56"/>
      <c r="E149" s="56"/>
      <c r="F149" s="56"/>
      <c r="G149" s="56"/>
      <c r="H149" s="56"/>
      <c r="I149" s="58" t="str">
        <f t="shared" si="1"/>
        <v>2991101</v>
      </c>
      <c r="J149" s="58"/>
      <c r="K149" s="58"/>
      <c r="L149" s="59" t="s">
        <v>434</v>
      </c>
      <c r="M149" s="60">
        <v>2.0</v>
      </c>
      <c r="N149" s="58"/>
      <c r="O149" s="56"/>
      <c r="P149" s="58"/>
      <c r="Q149" s="58"/>
      <c r="R149" s="58"/>
      <c r="S149" s="58"/>
      <c r="T149" s="58"/>
      <c r="U149" s="72">
        <v>1.0</v>
      </c>
      <c r="V149" s="58"/>
      <c r="W149" s="72" t="s">
        <v>435</v>
      </c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63"/>
      <c r="BO149" s="58"/>
      <c r="BP149" s="58"/>
      <c r="BQ149" s="64"/>
    </row>
    <row r="150">
      <c r="A150" s="70">
        <v>5.0</v>
      </c>
      <c r="B150" s="71" t="s">
        <v>433</v>
      </c>
      <c r="C150" s="105" t="s">
        <v>76</v>
      </c>
      <c r="D150" s="71" t="s">
        <v>76</v>
      </c>
      <c r="E150" s="56"/>
      <c r="F150" s="56"/>
      <c r="G150" s="56"/>
      <c r="H150" s="56"/>
      <c r="I150" s="58" t="str">
        <f t="shared" si="1"/>
        <v>299110101</v>
      </c>
      <c r="J150" s="58"/>
      <c r="K150" s="58"/>
      <c r="L150" s="106" t="s">
        <v>436</v>
      </c>
      <c r="M150" s="60">
        <v>2.0</v>
      </c>
      <c r="N150" s="58"/>
      <c r="O150" s="56"/>
      <c r="P150" s="72" t="s">
        <v>437</v>
      </c>
      <c r="Q150" s="90" t="s">
        <v>113</v>
      </c>
      <c r="R150" s="58"/>
      <c r="S150" s="58"/>
      <c r="T150" s="58"/>
      <c r="U150" s="72">
        <v>1.0</v>
      </c>
      <c r="V150" s="58"/>
      <c r="W150" s="72" t="s">
        <v>435</v>
      </c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91" t="s">
        <v>115</v>
      </c>
      <c r="BI150" s="60">
        <v>205.0</v>
      </c>
      <c r="BJ150" s="58"/>
      <c r="BK150" s="58"/>
      <c r="BL150" s="58"/>
      <c r="BM150" s="58"/>
      <c r="BN150" s="63"/>
      <c r="BO150" s="58"/>
      <c r="BP150" s="58"/>
      <c r="BQ150" s="64"/>
    </row>
    <row r="151">
      <c r="A151" s="70">
        <v>5.0</v>
      </c>
      <c r="B151" s="71" t="s">
        <v>433</v>
      </c>
      <c r="C151" s="105" t="s">
        <v>76</v>
      </c>
      <c r="D151" s="71" t="s">
        <v>119</v>
      </c>
      <c r="E151" s="56"/>
      <c r="F151" s="56"/>
      <c r="G151" s="56"/>
      <c r="H151" s="56"/>
      <c r="I151" s="58" t="str">
        <f t="shared" si="1"/>
        <v>299110102</v>
      </c>
      <c r="J151" s="58"/>
      <c r="K151" s="58"/>
      <c r="L151" s="106" t="s">
        <v>438</v>
      </c>
      <c r="M151" s="60">
        <v>2.0</v>
      </c>
      <c r="N151" s="58"/>
      <c r="O151" s="56"/>
      <c r="P151" s="72" t="s">
        <v>439</v>
      </c>
      <c r="Q151" s="90" t="s">
        <v>113</v>
      </c>
      <c r="R151" s="58"/>
      <c r="S151" s="58"/>
      <c r="T151" s="58"/>
      <c r="U151" s="72">
        <v>1.0</v>
      </c>
      <c r="V151" s="58"/>
      <c r="W151" s="72" t="s">
        <v>435</v>
      </c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91" t="s">
        <v>115</v>
      </c>
      <c r="BI151" s="60">
        <v>205.0</v>
      </c>
      <c r="BJ151" s="58"/>
      <c r="BK151" s="58"/>
      <c r="BL151" s="58"/>
      <c r="BM151" s="58"/>
      <c r="BN151" s="63"/>
      <c r="BO151" s="58"/>
      <c r="BP151" s="58"/>
      <c r="BQ151" s="64"/>
    </row>
    <row r="152">
      <c r="A152" s="70">
        <v>5.0</v>
      </c>
      <c r="B152" s="71" t="s">
        <v>433</v>
      </c>
      <c r="C152" s="105" t="s">
        <v>76</v>
      </c>
      <c r="D152" s="71" t="s">
        <v>124</v>
      </c>
      <c r="E152" s="56"/>
      <c r="F152" s="56"/>
      <c r="G152" s="56"/>
      <c r="H152" s="56"/>
      <c r="I152" s="58" t="str">
        <f t="shared" si="1"/>
        <v>299110103</v>
      </c>
      <c r="J152" s="58"/>
      <c r="K152" s="58"/>
      <c r="L152" s="106" t="s">
        <v>440</v>
      </c>
      <c r="M152" s="60">
        <v>2.0</v>
      </c>
      <c r="N152" s="58"/>
      <c r="O152" s="56"/>
      <c r="P152" s="72" t="s">
        <v>441</v>
      </c>
      <c r="Q152" s="90" t="s">
        <v>113</v>
      </c>
      <c r="R152" s="58"/>
      <c r="S152" s="58"/>
      <c r="T152" s="58"/>
      <c r="U152" s="72">
        <v>1.0</v>
      </c>
      <c r="V152" s="58"/>
      <c r="W152" s="72" t="s">
        <v>435</v>
      </c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91" t="s">
        <v>115</v>
      </c>
      <c r="BI152" s="60">
        <v>205.0</v>
      </c>
      <c r="BJ152" s="58"/>
      <c r="BK152" s="58"/>
      <c r="BL152" s="58"/>
      <c r="BM152" s="58"/>
      <c r="BN152" s="63"/>
      <c r="BO152" s="58"/>
      <c r="BP152" s="58"/>
      <c r="BQ152" s="64"/>
    </row>
    <row r="153">
      <c r="A153" s="36">
        <v>2.0</v>
      </c>
      <c r="B153" s="37" t="s">
        <v>442</v>
      </c>
      <c r="C153" s="38"/>
      <c r="D153" s="38"/>
      <c r="E153" s="38"/>
      <c r="F153" s="38"/>
      <c r="G153" s="38"/>
      <c r="H153" s="38"/>
      <c r="I153" s="39" t="str">
        <f t="shared" si="1"/>
        <v>29920</v>
      </c>
      <c r="J153" s="40"/>
      <c r="K153" s="40"/>
      <c r="L153" s="39" t="s">
        <v>443</v>
      </c>
      <c r="M153" s="41">
        <v>1.0</v>
      </c>
      <c r="N153" s="42"/>
      <c r="O153" s="38"/>
      <c r="P153" s="42"/>
      <c r="Q153" s="42"/>
      <c r="R153" s="42"/>
      <c r="S153" s="42"/>
      <c r="T153" s="40"/>
      <c r="U153" s="43">
        <v>1.0</v>
      </c>
      <c r="V153" s="40"/>
      <c r="W153" s="43" t="s">
        <v>70</v>
      </c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2"/>
      <c r="AQ153" s="42"/>
      <c r="AR153" s="42"/>
      <c r="AS153" s="42"/>
      <c r="AT153" s="42"/>
      <c r="AU153" s="42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2"/>
      <c r="BI153" s="42"/>
      <c r="BJ153" s="42"/>
      <c r="BK153" s="42"/>
      <c r="BL153" s="42"/>
      <c r="BM153" s="40"/>
      <c r="BN153" s="44"/>
      <c r="BO153" s="40"/>
      <c r="BP153" s="42"/>
      <c r="BQ153" s="10"/>
    </row>
    <row r="154">
      <c r="A154" s="45">
        <v>3.0</v>
      </c>
      <c r="B154" s="46" t="s">
        <v>444</v>
      </c>
      <c r="C154" s="47"/>
      <c r="D154" s="47"/>
      <c r="E154" s="47"/>
      <c r="F154" s="47"/>
      <c r="G154" s="47"/>
      <c r="H154" s="47"/>
      <c r="I154" s="48" t="str">
        <f t="shared" si="1"/>
        <v>29921</v>
      </c>
      <c r="J154" s="49"/>
      <c r="K154" s="49"/>
      <c r="L154" s="48" t="s">
        <v>445</v>
      </c>
      <c r="M154" s="50">
        <v>1.0</v>
      </c>
      <c r="N154" s="51"/>
      <c r="O154" s="47"/>
      <c r="P154" s="51"/>
      <c r="Q154" s="51"/>
      <c r="R154" s="51"/>
      <c r="S154" s="51"/>
      <c r="T154" s="49"/>
      <c r="U154" s="52">
        <v>1.0</v>
      </c>
      <c r="V154" s="49"/>
      <c r="W154" s="52" t="s">
        <v>70</v>
      </c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51"/>
      <c r="AQ154" s="51"/>
      <c r="AR154" s="51"/>
      <c r="AS154" s="51"/>
      <c r="AT154" s="51"/>
      <c r="AU154" s="51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51"/>
      <c r="BI154" s="51"/>
      <c r="BJ154" s="51"/>
      <c r="BK154" s="51"/>
      <c r="BL154" s="51"/>
      <c r="BM154" s="49"/>
      <c r="BN154" s="53"/>
      <c r="BO154" s="49"/>
      <c r="BP154" s="51"/>
      <c r="BQ154" s="10"/>
    </row>
    <row r="155">
      <c r="A155" s="70" t="s">
        <v>224</v>
      </c>
      <c r="B155" s="71" t="s">
        <v>444</v>
      </c>
      <c r="C155" s="71" t="s">
        <v>76</v>
      </c>
      <c r="D155" s="56"/>
      <c r="E155" s="56"/>
      <c r="F155" s="56"/>
      <c r="G155" s="56"/>
      <c r="H155" s="56"/>
      <c r="I155" s="58" t="str">
        <f t="shared" si="1"/>
        <v>2992101</v>
      </c>
      <c r="J155" s="58"/>
      <c r="K155" s="58"/>
      <c r="L155" s="59" t="s">
        <v>446</v>
      </c>
      <c r="M155" s="60">
        <v>1.0</v>
      </c>
      <c r="N155" s="58"/>
      <c r="O155" s="56"/>
      <c r="P155" s="58"/>
      <c r="Q155" s="58"/>
      <c r="R155" s="58"/>
      <c r="S155" s="58"/>
      <c r="T155" s="58"/>
      <c r="U155" s="72">
        <v>1.0</v>
      </c>
      <c r="V155" s="58"/>
      <c r="W155" s="72" t="s">
        <v>447</v>
      </c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63"/>
      <c r="BO155" s="58"/>
      <c r="BP155" s="58"/>
      <c r="BQ155" s="64"/>
    </row>
    <row r="156">
      <c r="A156" s="20">
        <v>1.0</v>
      </c>
      <c r="B156" s="21">
        <v>31000.0</v>
      </c>
      <c r="C156" s="22"/>
      <c r="D156" s="22"/>
      <c r="E156" s="22"/>
      <c r="F156" s="22"/>
      <c r="G156" s="22"/>
      <c r="H156" s="22"/>
      <c r="I156" s="23" t="str">
        <f t="shared" si="1"/>
        <v>31000</v>
      </c>
      <c r="J156" s="24"/>
      <c r="K156" s="24"/>
      <c r="L156" s="23" t="s">
        <v>448</v>
      </c>
      <c r="M156" s="25">
        <v>1.0</v>
      </c>
      <c r="N156" s="24"/>
      <c r="O156" s="22"/>
      <c r="P156" s="24"/>
      <c r="Q156" s="24"/>
      <c r="R156" s="24"/>
      <c r="S156" s="24"/>
      <c r="T156" s="24"/>
      <c r="U156" s="26">
        <v>1.0</v>
      </c>
      <c r="V156" s="24"/>
      <c r="W156" s="26" t="s">
        <v>70</v>
      </c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7"/>
      <c r="BO156" s="24"/>
      <c r="BP156" s="24"/>
      <c r="BQ156" s="10"/>
    </row>
    <row r="157">
      <c r="A157" s="28">
        <v>1.0</v>
      </c>
      <c r="B157" s="29">
        <v>31100.0</v>
      </c>
      <c r="C157" s="30"/>
      <c r="D157" s="30"/>
      <c r="E157" s="30"/>
      <c r="F157" s="30"/>
      <c r="G157" s="30"/>
      <c r="H157" s="30"/>
      <c r="I157" s="31" t="str">
        <f t="shared" si="1"/>
        <v>31100</v>
      </c>
      <c r="J157" s="74"/>
      <c r="K157" s="74"/>
      <c r="L157" s="31" t="s">
        <v>449</v>
      </c>
      <c r="M157" s="75">
        <v>1.0</v>
      </c>
      <c r="N157" s="32"/>
      <c r="O157" s="30"/>
      <c r="P157" s="32"/>
      <c r="Q157" s="32"/>
      <c r="R157" s="32"/>
      <c r="S157" s="32"/>
      <c r="T157" s="74"/>
      <c r="U157" s="34">
        <v>1.0</v>
      </c>
      <c r="V157" s="74"/>
      <c r="W157" s="34" t="s">
        <v>70</v>
      </c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32"/>
      <c r="AQ157" s="32"/>
      <c r="AR157" s="32"/>
      <c r="AS157" s="32"/>
      <c r="AT157" s="32"/>
      <c r="AU157" s="32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32"/>
      <c r="BI157" s="32"/>
      <c r="BJ157" s="32"/>
      <c r="BK157" s="32"/>
      <c r="BL157" s="32"/>
      <c r="BM157" s="74"/>
      <c r="BN157" s="76"/>
      <c r="BO157" s="74"/>
      <c r="BP157" s="32"/>
      <c r="BQ157" s="10"/>
    </row>
    <row r="158">
      <c r="A158" s="36">
        <v>2.0</v>
      </c>
      <c r="B158" s="37">
        <v>31120.0</v>
      </c>
      <c r="C158" s="38"/>
      <c r="D158" s="38"/>
      <c r="E158" s="38"/>
      <c r="F158" s="38"/>
      <c r="G158" s="38"/>
      <c r="H158" s="38"/>
      <c r="I158" s="39" t="str">
        <f t="shared" si="1"/>
        <v>31120</v>
      </c>
      <c r="J158" s="40"/>
      <c r="K158" s="40"/>
      <c r="L158" s="39" t="s">
        <v>450</v>
      </c>
      <c r="M158" s="41">
        <v>1.0</v>
      </c>
      <c r="N158" s="42"/>
      <c r="O158" s="38"/>
      <c r="P158" s="42"/>
      <c r="Q158" s="42"/>
      <c r="R158" s="42"/>
      <c r="S158" s="42"/>
      <c r="T158" s="40"/>
      <c r="U158" s="43">
        <v>1.0</v>
      </c>
      <c r="V158" s="40"/>
      <c r="W158" s="43" t="s">
        <v>70</v>
      </c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2"/>
      <c r="AQ158" s="42"/>
      <c r="AR158" s="42"/>
      <c r="AS158" s="42"/>
      <c r="AT158" s="42"/>
      <c r="AU158" s="42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2"/>
      <c r="BI158" s="42"/>
      <c r="BJ158" s="42"/>
      <c r="BK158" s="42"/>
      <c r="BL158" s="42"/>
      <c r="BM158" s="40"/>
      <c r="BN158" s="44"/>
      <c r="BO158" s="40"/>
      <c r="BP158" s="42"/>
      <c r="BQ158" s="10"/>
    </row>
    <row r="159">
      <c r="A159" s="65">
        <v>3.0</v>
      </c>
      <c r="B159" s="66">
        <v>31121.0</v>
      </c>
      <c r="C159" s="56"/>
      <c r="D159" s="56"/>
      <c r="E159" s="56"/>
      <c r="F159" s="56"/>
      <c r="G159" s="56"/>
      <c r="H159" s="56"/>
      <c r="I159" s="67" t="str">
        <f t="shared" si="1"/>
        <v>31121</v>
      </c>
      <c r="J159" s="58"/>
      <c r="K159" s="58"/>
      <c r="L159" s="67" t="s">
        <v>451</v>
      </c>
      <c r="M159" s="68">
        <v>1.0</v>
      </c>
      <c r="N159" s="58"/>
      <c r="O159" s="56"/>
      <c r="P159" s="58"/>
      <c r="Q159" s="58"/>
      <c r="R159" s="58"/>
      <c r="S159" s="58"/>
      <c r="T159" s="58"/>
      <c r="U159" s="69">
        <v>1.0</v>
      </c>
      <c r="V159" s="58"/>
      <c r="W159" s="69" t="s">
        <v>70</v>
      </c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63"/>
      <c r="BO159" s="58"/>
      <c r="BP159" s="58"/>
      <c r="BQ159" s="64"/>
    </row>
    <row r="160">
      <c r="A160" s="70">
        <v>4.0</v>
      </c>
      <c r="B160" s="71">
        <v>31121.0</v>
      </c>
      <c r="C160" s="71" t="s">
        <v>76</v>
      </c>
      <c r="D160" s="56"/>
      <c r="E160" s="56"/>
      <c r="F160" s="56"/>
      <c r="G160" s="56"/>
      <c r="H160" s="56"/>
      <c r="I160" s="58" t="str">
        <f t="shared" si="1"/>
        <v>3112101</v>
      </c>
      <c r="J160" s="58"/>
      <c r="K160" s="58"/>
      <c r="L160" s="59" t="s">
        <v>452</v>
      </c>
      <c r="M160" s="60">
        <v>1.0</v>
      </c>
      <c r="N160" s="72" t="s">
        <v>453</v>
      </c>
      <c r="O160" s="73" t="s">
        <v>454</v>
      </c>
      <c r="P160" s="72" t="s">
        <v>453</v>
      </c>
      <c r="Q160" s="90" t="s">
        <v>455</v>
      </c>
      <c r="R160" s="72" t="s">
        <v>453</v>
      </c>
      <c r="S160" s="90" t="s">
        <v>455</v>
      </c>
      <c r="T160" s="58"/>
      <c r="U160" s="72">
        <v>1.0</v>
      </c>
      <c r="V160" s="58"/>
      <c r="W160" s="72" t="s">
        <v>78</v>
      </c>
      <c r="X160" s="58"/>
      <c r="Y160" s="58"/>
      <c r="Z160" s="58"/>
      <c r="AA160" s="62" t="s">
        <v>79</v>
      </c>
      <c r="AB160" s="62" t="s">
        <v>79</v>
      </c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72" t="s">
        <v>456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92">
        <v>1200.0</v>
      </c>
      <c r="BC160" s="60">
        <v>1170.0</v>
      </c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63"/>
      <c r="BO160" s="58"/>
      <c r="BP160" s="58"/>
      <c r="BQ160" s="64"/>
    </row>
    <row r="161">
      <c r="A161" s="70">
        <v>4.0</v>
      </c>
      <c r="B161" s="71">
        <v>31121.0</v>
      </c>
      <c r="C161" s="71" t="s">
        <v>119</v>
      </c>
      <c r="D161" s="56"/>
      <c r="E161" s="56"/>
      <c r="F161" s="56"/>
      <c r="G161" s="56"/>
      <c r="H161" s="56"/>
      <c r="I161" s="58" t="str">
        <f t="shared" si="1"/>
        <v>3112102</v>
      </c>
      <c r="J161" s="58"/>
      <c r="K161" s="58"/>
      <c r="L161" s="59" t="s">
        <v>457</v>
      </c>
      <c r="M161" s="60">
        <v>1.0</v>
      </c>
      <c r="N161" s="72" t="s">
        <v>458</v>
      </c>
      <c r="O161" s="73" t="s">
        <v>459</v>
      </c>
      <c r="P161" s="58"/>
      <c r="Q161" s="58"/>
      <c r="R161" s="58"/>
      <c r="S161" s="58"/>
      <c r="T161" s="58"/>
      <c r="U161" s="72">
        <v>1.0</v>
      </c>
      <c r="V161" s="58"/>
      <c r="W161" s="72" t="s">
        <v>78</v>
      </c>
      <c r="X161" s="58"/>
      <c r="Y161" s="58"/>
      <c r="Z161" s="58"/>
      <c r="AA161" s="62" t="s">
        <v>79</v>
      </c>
      <c r="AB161" s="62" t="s">
        <v>79</v>
      </c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72" t="s">
        <v>460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63"/>
      <c r="BO161" s="58"/>
      <c r="BP161" s="58"/>
      <c r="BQ161" s="64"/>
    </row>
    <row r="162">
      <c r="A162" s="70">
        <v>4.0</v>
      </c>
      <c r="B162" s="71">
        <v>31121.0</v>
      </c>
      <c r="C162" s="71" t="s">
        <v>124</v>
      </c>
      <c r="D162" s="56"/>
      <c r="E162" s="56"/>
      <c r="F162" s="56"/>
      <c r="G162" s="56"/>
      <c r="H162" s="56"/>
      <c r="I162" s="58" t="str">
        <f t="shared" si="1"/>
        <v>3112103</v>
      </c>
      <c r="J162" s="58"/>
      <c r="K162" s="58"/>
      <c r="L162" s="59" t="s">
        <v>461</v>
      </c>
      <c r="M162" s="60">
        <v>1.0</v>
      </c>
      <c r="N162" s="72" t="s">
        <v>462</v>
      </c>
      <c r="O162" s="73" t="s">
        <v>463</v>
      </c>
      <c r="P162" s="72" t="s">
        <v>464</v>
      </c>
      <c r="Q162" s="90" t="s">
        <v>455</v>
      </c>
      <c r="R162" s="58"/>
      <c r="S162" s="58"/>
      <c r="T162" s="58"/>
      <c r="U162" s="72">
        <v>1.0</v>
      </c>
      <c r="V162" s="58"/>
      <c r="W162" s="72" t="s">
        <v>78</v>
      </c>
      <c r="X162" s="58"/>
      <c r="Y162" s="58"/>
      <c r="Z162" s="58"/>
      <c r="AA162" s="62" t="s">
        <v>79</v>
      </c>
      <c r="AB162" s="62" t="s">
        <v>79</v>
      </c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72" t="s">
        <v>465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91" t="s">
        <v>466</v>
      </c>
      <c r="BI162" s="60">
        <v>115.0</v>
      </c>
      <c r="BJ162" s="90" t="s">
        <v>467</v>
      </c>
      <c r="BK162" s="72" t="s">
        <v>464</v>
      </c>
      <c r="BL162" s="58"/>
      <c r="BM162" s="58"/>
      <c r="BN162" s="63"/>
      <c r="BO162" s="58"/>
      <c r="BP162" s="58"/>
      <c r="BQ162" s="64"/>
    </row>
    <row r="163">
      <c r="A163" s="65">
        <v>3.0</v>
      </c>
      <c r="B163" s="66">
        <v>31122.0</v>
      </c>
      <c r="C163" s="56"/>
      <c r="D163" s="56"/>
      <c r="E163" s="56"/>
      <c r="F163" s="56"/>
      <c r="G163" s="56"/>
      <c r="H163" s="56"/>
      <c r="I163" s="67" t="str">
        <f t="shared" si="1"/>
        <v>31122</v>
      </c>
      <c r="J163" s="58"/>
      <c r="K163" s="58"/>
      <c r="L163" s="67" t="s">
        <v>468</v>
      </c>
      <c r="M163" s="68">
        <v>1.0</v>
      </c>
      <c r="N163" s="58"/>
      <c r="O163" s="56"/>
      <c r="P163" s="58"/>
      <c r="Q163" s="58"/>
      <c r="R163" s="58"/>
      <c r="S163" s="58"/>
      <c r="T163" s="58"/>
      <c r="U163" s="69">
        <v>1.0</v>
      </c>
      <c r="V163" s="58"/>
      <c r="W163" s="69" t="s">
        <v>70</v>
      </c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63"/>
      <c r="BO163" s="58"/>
      <c r="BP163" s="58"/>
      <c r="BQ163" s="64"/>
    </row>
    <row r="164">
      <c r="A164" s="70">
        <v>4.0</v>
      </c>
      <c r="B164" s="71">
        <v>31122.0</v>
      </c>
      <c r="C164" s="71" t="s">
        <v>76</v>
      </c>
      <c r="D164" s="56"/>
      <c r="E164" s="56"/>
      <c r="F164" s="56"/>
      <c r="G164" s="56"/>
      <c r="H164" s="56"/>
      <c r="I164" s="58" t="str">
        <f t="shared" si="1"/>
        <v>3112201</v>
      </c>
      <c r="J164" s="58"/>
      <c r="K164" s="58"/>
      <c r="L164" s="59" t="s">
        <v>469</v>
      </c>
      <c r="M164" s="60">
        <v>1.0</v>
      </c>
      <c r="N164" s="72" t="s">
        <v>453</v>
      </c>
      <c r="O164" s="73" t="s">
        <v>470</v>
      </c>
      <c r="P164" s="72" t="s">
        <v>453</v>
      </c>
      <c r="Q164" s="90" t="s">
        <v>455</v>
      </c>
      <c r="R164" s="72" t="s">
        <v>453</v>
      </c>
      <c r="S164" s="90" t="s">
        <v>455</v>
      </c>
      <c r="T164" s="58"/>
      <c r="U164" s="72">
        <v>1.0</v>
      </c>
      <c r="V164" s="58"/>
      <c r="W164" s="72" t="s">
        <v>78</v>
      </c>
      <c r="X164" s="58"/>
      <c r="Y164" s="58"/>
      <c r="Z164" s="58"/>
      <c r="AA164" s="62" t="s">
        <v>79</v>
      </c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72" t="s">
        <v>471</v>
      </c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92">
        <v>1200.0</v>
      </c>
      <c r="BC164" s="60">
        <v>1170.0</v>
      </c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63"/>
      <c r="BO164" s="58"/>
      <c r="BP164" s="58"/>
      <c r="BQ164" s="64"/>
    </row>
    <row r="165">
      <c r="A165" s="70">
        <v>4.0</v>
      </c>
      <c r="B165" s="71">
        <v>31122.0</v>
      </c>
      <c r="C165" s="71" t="s">
        <v>119</v>
      </c>
      <c r="D165" s="56"/>
      <c r="E165" s="56"/>
      <c r="F165" s="56"/>
      <c r="G165" s="56"/>
      <c r="H165" s="56"/>
      <c r="I165" s="58" t="str">
        <f t="shared" si="1"/>
        <v>3112202</v>
      </c>
      <c r="J165" s="58"/>
      <c r="K165" s="58"/>
      <c r="L165" s="59" t="s">
        <v>472</v>
      </c>
      <c r="M165" s="60">
        <v>1.0</v>
      </c>
      <c r="N165" s="72" t="s">
        <v>458</v>
      </c>
      <c r="O165" s="73" t="s">
        <v>473</v>
      </c>
      <c r="P165" s="58"/>
      <c r="Q165" s="58"/>
      <c r="R165" s="58"/>
      <c r="S165" s="58"/>
      <c r="T165" s="58"/>
      <c r="U165" s="72">
        <v>1.0</v>
      </c>
      <c r="V165" s="58"/>
      <c r="W165" s="72" t="s">
        <v>78</v>
      </c>
      <c r="X165" s="58"/>
      <c r="Y165" s="58"/>
      <c r="Z165" s="58"/>
      <c r="AA165" s="62" t="s">
        <v>79</v>
      </c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72" t="s">
        <v>474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63"/>
      <c r="BO165" s="58"/>
      <c r="BP165" s="58"/>
      <c r="BQ165" s="64"/>
    </row>
    <row r="166">
      <c r="A166" s="70">
        <v>4.0</v>
      </c>
      <c r="B166" s="71">
        <v>31122.0</v>
      </c>
      <c r="C166" s="71" t="s">
        <v>124</v>
      </c>
      <c r="D166" s="56"/>
      <c r="E166" s="56"/>
      <c r="F166" s="56"/>
      <c r="G166" s="56"/>
      <c r="H166" s="56"/>
      <c r="I166" s="58" t="str">
        <f t="shared" si="1"/>
        <v>3112203</v>
      </c>
      <c r="J166" s="58"/>
      <c r="K166" s="58"/>
      <c r="L166" s="59" t="s">
        <v>475</v>
      </c>
      <c r="M166" s="60">
        <v>1.0</v>
      </c>
      <c r="N166" s="72" t="s">
        <v>462</v>
      </c>
      <c r="O166" s="73" t="s">
        <v>476</v>
      </c>
      <c r="P166" s="72" t="s">
        <v>464</v>
      </c>
      <c r="Q166" s="90" t="s">
        <v>455</v>
      </c>
      <c r="R166" s="58"/>
      <c r="S166" s="58"/>
      <c r="T166" s="58"/>
      <c r="U166" s="72">
        <v>1.0</v>
      </c>
      <c r="V166" s="58"/>
      <c r="W166" s="72" t="s">
        <v>78</v>
      </c>
      <c r="X166" s="58"/>
      <c r="Y166" s="58"/>
      <c r="Z166" s="58"/>
      <c r="AA166" s="62" t="s">
        <v>79</v>
      </c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72" t="s">
        <v>477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91" t="s">
        <v>466</v>
      </c>
      <c r="BI166" s="60">
        <v>115.0</v>
      </c>
      <c r="BJ166" s="90" t="s">
        <v>467</v>
      </c>
      <c r="BK166" s="72" t="s">
        <v>464</v>
      </c>
      <c r="BL166" s="58"/>
      <c r="BM166" s="58"/>
      <c r="BN166" s="63"/>
      <c r="BO166" s="58"/>
      <c r="BP166" s="58"/>
      <c r="BQ166" s="64"/>
    </row>
    <row r="167">
      <c r="A167" s="65">
        <v>3.0</v>
      </c>
      <c r="B167" s="66">
        <v>31123.0</v>
      </c>
      <c r="C167" s="56"/>
      <c r="D167" s="56"/>
      <c r="E167" s="56"/>
      <c r="F167" s="56"/>
      <c r="G167" s="56"/>
      <c r="H167" s="56"/>
      <c r="I167" s="67" t="str">
        <f t="shared" si="1"/>
        <v>31123</v>
      </c>
      <c r="J167" s="58"/>
      <c r="K167" s="58"/>
      <c r="L167" s="67" t="s">
        <v>478</v>
      </c>
      <c r="M167" s="68">
        <v>1.0</v>
      </c>
      <c r="N167" s="58"/>
      <c r="O167" s="56"/>
      <c r="P167" s="58"/>
      <c r="Q167" s="58"/>
      <c r="R167" s="58"/>
      <c r="S167" s="58"/>
      <c r="T167" s="58"/>
      <c r="U167" s="69">
        <v>1.0</v>
      </c>
      <c r="V167" s="58"/>
      <c r="W167" s="69" t="s">
        <v>70</v>
      </c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63"/>
      <c r="BO167" s="58"/>
      <c r="BP167" s="58"/>
      <c r="BQ167" s="64"/>
    </row>
    <row r="168">
      <c r="A168" s="70">
        <v>4.0</v>
      </c>
      <c r="B168" s="71">
        <v>31123.0</v>
      </c>
      <c r="C168" s="71" t="s">
        <v>76</v>
      </c>
      <c r="D168" s="56"/>
      <c r="E168" s="56"/>
      <c r="F168" s="56"/>
      <c r="G168" s="56"/>
      <c r="H168" s="56"/>
      <c r="I168" s="58" t="str">
        <f t="shared" si="1"/>
        <v>3112301</v>
      </c>
      <c r="J168" s="58"/>
      <c r="K168" s="58"/>
      <c r="L168" s="59" t="s">
        <v>479</v>
      </c>
      <c r="M168" s="60">
        <v>1.0</v>
      </c>
      <c r="N168" s="72" t="s">
        <v>453</v>
      </c>
      <c r="O168" s="73" t="s">
        <v>480</v>
      </c>
      <c r="P168" s="72" t="s">
        <v>453</v>
      </c>
      <c r="Q168" s="90" t="s">
        <v>455</v>
      </c>
      <c r="R168" s="72" t="s">
        <v>453</v>
      </c>
      <c r="S168" s="90" t="s">
        <v>455</v>
      </c>
      <c r="T168" s="58"/>
      <c r="U168" s="72">
        <v>1.0</v>
      </c>
      <c r="V168" s="58"/>
      <c r="W168" s="72" t="s">
        <v>78</v>
      </c>
      <c r="X168" s="58"/>
      <c r="Y168" s="58"/>
      <c r="Z168" s="58"/>
      <c r="AA168" s="62" t="s">
        <v>79</v>
      </c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72" t="s">
        <v>481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92">
        <v>1200.0</v>
      </c>
      <c r="BC168" s="60">
        <v>1170.0</v>
      </c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63"/>
      <c r="BO168" s="58"/>
      <c r="BP168" s="58"/>
      <c r="BQ168" s="64"/>
    </row>
    <row r="169">
      <c r="A169" s="70">
        <v>4.0</v>
      </c>
      <c r="B169" s="71">
        <v>31123.0</v>
      </c>
      <c r="C169" s="71" t="s">
        <v>119</v>
      </c>
      <c r="D169" s="56"/>
      <c r="E169" s="56"/>
      <c r="F169" s="56"/>
      <c r="G169" s="56"/>
      <c r="H169" s="56"/>
      <c r="I169" s="58" t="str">
        <f t="shared" si="1"/>
        <v>3112302</v>
      </c>
      <c r="J169" s="58"/>
      <c r="K169" s="58"/>
      <c r="L169" s="59" t="s">
        <v>482</v>
      </c>
      <c r="M169" s="60">
        <v>1.0</v>
      </c>
      <c r="N169" s="72" t="s">
        <v>458</v>
      </c>
      <c r="O169" s="73" t="s">
        <v>483</v>
      </c>
      <c r="P169" s="58"/>
      <c r="Q169" s="58"/>
      <c r="R169" s="58"/>
      <c r="S169" s="58"/>
      <c r="T169" s="58"/>
      <c r="U169" s="72">
        <v>1.0</v>
      </c>
      <c r="V169" s="58"/>
      <c r="W169" s="72" t="s">
        <v>78</v>
      </c>
      <c r="X169" s="58"/>
      <c r="Y169" s="58"/>
      <c r="Z169" s="58"/>
      <c r="AA169" s="62" t="s">
        <v>79</v>
      </c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72" t="s">
        <v>484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63"/>
      <c r="BO169" s="58"/>
      <c r="BP169" s="58"/>
      <c r="BQ169" s="64"/>
    </row>
    <row r="170">
      <c r="A170" s="70">
        <v>4.0</v>
      </c>
      <c r="B170" s="71">
        <v>31123.0</v>
      </c>
      <c r="C170" s="71" t="s">
        <v>124</v>
      </c>
      <c r="D170" s="56"/>
      <c r="E170" s="56"/>
      <c r="F170" s="56"/>
      <c r="G170" s="56"/>
      <c r="H170" s="56"/>
      <c r="I170" s="58" t="str">
        <f t="shared" si="1"/>
        <v>3112303</v>
      </c>
      <c r="J170" s="58"/>
      <c r="K170" s="58"/>
      <c r="L170" s="59" t="s">
        <v>485</v>
      </c>
      <c r="M170" s="60">
        <v>1.0</v>
      </c>
      <c r="N170" s="72" t="s">
        <v>462</v>
      </c>
      <c r="O170" s="73" t="s">
        <v>486</v>
      </c>
      <c r="P170" s="72" t="s">
        <v>464</v>
      </c>
      <c r="Q170" s="90" t="s">
        <v>455</v>
      </c>
      <c r="R170" s="58"/>
      <c r="S170" s="58"/>
      <c r="T170" s="58"/>
      <c r="U170" s="72">
        <v>1.0</v>
      </c>
      <c r="V170" s="58"/>
      <c r="W170" s="72" t="s">
        <v>78</v>
      </c>
      <c r="X170" s="58"/>
      <c r="Y170" s="58"/>
      <c r="Z170" s="58"/>
      <c r="AA170" s="62" t="s">
        <v>79</v>
      </c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72" t="s">
        <v>487</v>
      </c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91" t="s">
        <v>466</v>
      </c>
      <c r="BI170" s="60">
        <v>115.0</v>
      </c>
      <c r="BJ170" s="90" t="s">
        <v>467</v>
      </c>
      <c r="BK170" s="72" t="s">
        <v>464</v>
      </c>
      <c r="BL170" s="58"/>
      <c r="BM170" s="58"/>
      <c r="BN170" s="63"/>
      <c r="BO170" s="58"/>
      <c r="BP170" s="58"/>
      <c r="BQ170" s="64"/>
    </row>
    <row r="171">
      <c r="A171" s="28">
        <v>1.0</v>
      </c>
      <c r="B171" s="29">
        <v>31200.0</v>
      </c>
      <c r="C171" s="30"/>
      <c r="D171" s="30"/>
      <c r="E171" s="30"/>
      <c r="F171" s="30"/>
      <c r="G171" s="30"/>
      <c r="H171" s="30"/>
      <c r="I171" s="31" t="str">
        <f t="shared" si="1"/>
        <v>31200</v>
      </c>
      <c r="J171" s="74"/>
      <c r="K171" s="74"/>
      <c r="L171" s="31" t="s">
        <v>488</v>
      </c>
      <c r="M171" s="75">
        <v>1.0</v>
      </c>
      <c r="N171" s="32"/>
      <c r="O171" s="30"/>
      <c r="P171" s="32"/>
      <c r="Q171" s="32"/>
      <c r="R171" s="32"/>
      <c r="S171" s="32"/>
      <c r="T171" s="74"/>
      <c r="U171" s="34">
        <v>1.0</v>
      </c>
      <c r="V171" s="74"/>
      <c r="W171" s="34" t="s">
        <v>70</v>
      </c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32"/>
      <c r="AQ171" s="32"/>
      <c r="AR171" s="32"/>
      <c r="AS171" s="32"/>
      <c r="AT171" s="32"/>
      <c r="AU171" s="32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32"/>
      <c r="BI171" s="32"/>
      <c r="BJ171" s="32"/>
      <c r="BK171" s="32"/>
      <c r="BL171" s="32"/>
      <c r="BM171" s="74"/>
      <c r="BN171" s="76"/>
      <c r="BO171" s="74"/>
      <c r="BP171" s="32"/>
      <c r="BQ171" s="10"/>
    </row>
    <row r="172">
      <c r="A172" s="36">
        <v>2.0</v>
      </c>
      <c r="B172" s="37">
        <v>31210.0</v>
      </c>
      <c r="C172" s="38"/>
      <c r="D172" s="38"/>
      <c r="E172" s="38"/>
      <c r="F172" s="38"/>
      <c r="G172" s="38"/>
      <c r="H172" s="38"/>
      <c r="I172" s="39" t="str">
        <f t="shared" si="1"/>
        <v>31210</v>
      </c>
      <c r="J172" s="40"/>
      <c r="K172" s="40"/>
      <c r="L172" s="39" t="s">
        <v>489</v>
      </c>
      <c r="M172" s="41">
        <v>1.0</v>
      </c>
      <c r="N172" s="42"/>
      <c r="O172" s="38"/>
      <c r="P172" s="42"/>
      <c r="Q172" s="42"/>
      <c r="R172" s="42"/>
      <c r="S172" s="42"/>
      <c r="T172" s="40"/>
      <c r="U172" s="43">
        <v>1.0</v>
      </c>
      <c r="V172" s="40"/>
      <c r="W172" s="43" t="s">
        <v>70</v>
      </c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2"/>
      <c r="AQ172" s="42"/>
      <c r="AR172" s="42"/>
      <c r="AS172" s="42"/>
      <c r="AT172" s="42"/>
      <c r="AU172" s="42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2"/>
      <c r="BI172" s="42"/>
      <c r="BJ172" s="42"/>
      <c r="BK172" s="42"/>
      <c r="BL172" s="42"/>
      <c r="BM172" s="40"/>
      <c r="BN172" s="44"/>
      <c r="BO172" s="40"/>
      <c r="BP172" s="42"/>
      <c r="BQ172" s="10"/>
    </row>
    <row r="173">
      <c r="A173" s="65">
        <v>3.0</v>
      </c>
      <c r="B173" s="66">
        <v>31211.0</v>
      </c>
      <c r="C173" s="56"/>
      <c r="D173" s="56"/>
      <c r="E173" s="56"/>
      <c r="F173" s="56"/>
      <c r="G173" s="56"/>
      <c r="H173" s="56"/>
      <c r="I173" s="67" t="str">
        <f t="shared" si="1"/>
        <v>31211</v>
      </c>
      <c r="J173" s="58"/>
      <c r="K173" s="58"/>
      <c r="L173" s="67" t="s">
        <v>490</v>
      </c>
      <c r="M173" s="68">
        <v>1.0</v>
      </c>
      <c r="N173" s="58"/>
      <c r="O173" s="56"/>
      <c r="P173" s="69" t="s">
        <v>491</v>
      </c>
      <c r="Q173" s="58"/>
      <c r="R173" s="58"/>
      <c r="S173" s="58"/>
      <c r="T173" s="58"/>
      <c r="U173" s="69">
        <v>1.0</v>
      </c>
      <c r="V173" s="58"/>
      <c r="W173" s="69" t="s">
        <v>70</v>
      </c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63"/>
      <c r="BO173" s="58"/>
      <c r="BP173" s="58"/>
      <c r="BQ173" s="64"/>
    </row>
    <row r="174">
      <c r="A174" s="70">
        <v>4.0</v>
      </c>
      <c r="B174" s="71">
        <v>31211.0</v>
      </c>
      <c r="C174" s="71" t="s">
        <v>76</v>
      </c>
      <c r="D174" s="56"/>
      <c r="E174" s="56"/>
      <c r="F174" s="56"/>
      <c r="G174" s="56"/>
      <c r="H174" s="56"/>
      <c r="I174" s="58" t="str">
        <f t="shared" si="1"/>
        <v>3121101</v>
      </c>
      <c r="J174" s="58"/>
      <c r="K174" s="58"/>
      <c r="L174" s="59" t="s">
        <v>492</v>
      </c>
      <c r="M174" s="60">
        <v>1.0</v>
      </c>
      <c r="N174" s="72" t="s">
        <v>493</v>
      </c>
      <c r="O174" s="73" t="s">
        <v>494</v>
      </c>
      <c r="P174" s="58"/>
      <c r="Q174" s="58"/>
      <c r="R174" s="58"/>
      <c r="S174" s="58"/>
      <c r="T174" s="58"/>
      <c r="U174" s="72">
        <v>1.0</v>
      </c>
      <c r="V174" s="58"/>
      <c r="W174" s="72" t="s">
        <v>78</v>
      </c>
      <c r="X174" s="58"/>
      <c r="Y174" s="58"/>
      <c r="Z174" s="58"/>
      <c r="AA174" s="62" t="s">
        <v>79</v>
      </c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72" t="s">
        <v>495</v>
      </c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91" t="s">
        <v>338</v>
      </c>
      <c r="BI174" s="58"/>
      <c r="BJ174" s="90" t="s">
        <v>339</v>
      </c>
      <c r="BK174" s="72">
        <v>121.0</v>
      </c>
      <c r="BL174" s="58"/>
      <c r="BM174" s="58"/>
      <c r="BN174" s="63"/>
      <c r="BO174" s="58"/>
      <c r="BP174" s="58"/>
      <c r="BQ174" s="64"/>
    </row>
    <row r="175">
      <c r="A175" s="70">
        <v>4.0</v>
      </c>
      <c r="B175" s="71">
        <v>31211.0</v>
      </c>
      <c r="C175" s="71" t="s">
        <v>119</v>
      </c>
      <c r="D175" s="56"/>
      <c r="E175" s="56"/>
      <c r="F175" s="56"/>
      <c r="G175" s="56"/>
      <c r="H175" s="56"/>
      <c r="I175" s="58" t="str">
        <f t="shared" si="1"/>
        <v>3121102</v>
      </c>
      <c r="J175" s="58"/>
      <c r="K175" s="58"/>
      <c r="L175" s="59" t="s">
        <v>496</v>
      </c>
      <c r="M175" s="60">
        <v>1.0</v>
      </c>
      <c r="N175" s="72" t="s">
        <v>497</v>
      </c>
      <c r="O175" s="73" t="s">
        <v>498</v>
      </c>
      <c r="P175" s="58"/>
      <c r="Q175" s="58"/>
      <c r="R175" s="58"/>
      <c r="S175" s="58"/>
      <c r="T175" s="58"/>
      <c r="U175" s="72">
        <v>1.0</v>
      </c>
      <c r="V175" s="58"/>
      <c r="W175" s="72" t="s">
        <v>78</v>
      </c>
      <c r="X175" s="58"/>
      <c r="Y175" s="58"/>
      <c r="Z175" s="58"/>
      <c r="AA175" s="62" t="s">
        <v>79</v>
      </c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72" t="s">
        <v>499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63"/>
      <c r="BO175" s="58"/>
      <c r="BP175" s="58"/>
      <c r="BQ175" s="64"/>
    </row>
    <row r="176">
      <c r="A176" s="28">
        <v>1.0</v>
      </c>
      <c r="B176" s="29">
        <v>31300.0</v>
      </c>
      <c r="C176" s="30"/>
      <c r="D176" s="30"/>
      <c r="E176" s="30"/>
      <c r="F176" s="30"/>
      <c r="G176" s="30"/>
      <c r="H176" s="30"/>
      <c r="I176" s="31" t="str">
        <f t="shared" si="1"/>
        <v>31300</v>
      </c>
      <c r="J176" s="74"/>
      <c r="K176" s="74"/>
      <c r="L176" s="31" t="s">
        <v>500</v>
      </c>
      <c r="M176" s="75">
        <v>1.0</v>
      </c>
      <c r="N176" s="32"/>
      <c r="O176" s="30"/>
      <c r="P176" s="32"/>
      <c r="Q176" s="32"/>
      <c r="R176" s="32"/>
      <c r="S176" s="32"/>
      <c r="T176" s="74"/>
      <c r="U176" s="34">
        <v>1.0</v>
      </c>
      <c r="V176" s="74"/>
      <c r="W176" s="34" t="s">
        <v>70</v>
      </c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32"/>
      <c r="AQ176" s="32"/>
      <c r="AR176" s="32"/>
      <c r="AS176" s="32"/>
      <c r="AT176" s="32"/>
      <c r="AU176" s="32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32"/>
      <c r="BI176" s="32"/>
      <c r="BJ176" s="32"/>
      <c r="BK176" s="32"/>
      <c r="BL176" s="32"/>
      <c r="BM176" s="74"/>
      <c r="BN176" s="76"/>
      <c r="BO176" s="74"/>
      <c r="BP176" s="32"/>
      <c r="BQ176" s="10"/>
    </row>
    <row r="177">
      <c r="A177" s="36">
        <v>2.0</v>
      </c>
      <c r="B177" s="37">
        <v>31310.0</v>
      </c>
      <c r="C177" s="38"/>
      <c r="D177" s="38"/>
      <c r="E177" s="38"/>
      <c r="F177" s="38"/>
      <c r="G177" s="38"/>
      <c r="H177" s="38"/>
      <c r="I177" s="39" t="str">
        <f t="shared" si="1"/>
        <v>31310</v>
      </c>
      <c r="J177" s="40"/>
      <c r="K177" s="40"/>
      <c r="L177" s="39" t="s">
        <v>500</v>
      </c>
      <c r="M177" s="41">
        <v>1.0</v>
      </c>
      <c r="N177" s="42"/>
      <c r="O177" s="38"/>
      <c r="P177" s="42"/>
      <c r="Q177" s="42"/>
      <c r="R177" s="42"/>
      <c r="S177" s="42"/>
      <c r="T177" s="40"/>
      <c r="U177" s="43">
        <v>1.0</v>
      </c>
      <c r="V177" s="40"/>
      <c r="W177" s="43" t="s">
        <v>70</v>
      </c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2"/>
      <c r="AQ177" s="42"/>
      <c r="AR177" s="42"/>
      <c r="AS177" s="42"/>
      <c r="AT177" s="42"/>
      <c r="AU177" s="42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2"/>
      <c r="BI177" s="42"/>
      <c r="BJ177" s="42"/>
      <c r="BK177" s="42"/>
      <c r="BL177" s="42"/>
      <c r="BM177" s="40"/>
      <c r="BN177" s="44"/>
      <c r="BO177" s="40"/>
      <c r="BP177" s="42"/>
      <c r="BQ177" s="10"/>
    </row>
    <row r="178">
      <c r="A178" s="45">
        <v>3.0</v>
      </c>
      <c r="B178" s="46">
        <v>31311.0</v>
      </c>
      <c r="C178" s="47"/>
      <c r="D178" s="47"/>
      <c r="E178" s="47"/>
      <c r="F178" s="47"/>
      <c r="G178" s="47"/>
      <c r="H178" s="47"/>
      <c r="I178" s="48" t="str">
        <f t="shared" si="1"/>
        <v>31311</v>
      </c>
      <c r="J178" s="49"/>
      <c r="K178" s="49"/>
      <c r="L178" s="48" t="s">
        <v>501</v>
      </c>
      <c r="M178" s="50">
        <v>1.0</v>
      </c>
      <c r="N178" s="51"/>
      <c r="O178" s="47"/>
      <c r="P178" s="51"/>
      <c r="Q178" s="51"/>
      <c r="R178" s="51"/>
      <c r="S178" s="51"/>
      <c r="T178" s="49"/>
      <c r="U178" s="52">
        <v>1.0</v>
      </c>
      <c r="V178" s="49"/>
      <c r="W178" s="52" t="s">
        <v>70</v>
      </c>
      <c r="X178" s="49"/>
      <c r="Y178" s="49"/>
      <c r="Z178" s="49"/>
      <c r="AA178" s="107" t="s">
        <v>79</v>
      </c>
      <c r="AB178" s="107" t="s">
        <v>79</v>
      </c>
      <c r="AC178" s="49"/>
      <c r="AD178" s="49"/>
      <c r="AE178" s="49"/>
      <c r="AF178" s="49"/>
      <c r="AG178" s="49"/>
      <c r="AH178" s="49"/>
      <c r="AI178" s="49"/>
      <c r="AJ178" s="49"/>
      <c r="AK178" s="49"/>
      <c r="AL178" s="49"/>
      <c r="AM178" s="49"/>
      <c r="AN178" s="49"/>
      <c r="AO178" s="49"/>
      <c r="AP178" s="52" t="s">
        <v>80</v>
      </c>
      <c r="AQ178" s="51"/>
      <c r="AR178" s="51"/>
      <c r="AS178" s="51"/>
      <c r="AT178" s="51"/>
      <c r="AU178" s="51"/>
      <c r="AV178" s="49"/>
      <c r="AW178" s="49"/>
      <c r="AX178" s="49"/>
      <c r="AY178" s="49"/>
      <c r="AZ178" s="49"/>
      <c r="BA178" s="49"/>
      <c r="BB178" s="49"/>
      <c r="BC178" s="49"/>
      <c r="BD178" s="49"/>
      <c r="BE178" s="49"/>
      <c r="BF178" s="49"/>
      <c r="BG178" s="49"/>
      <c r="BH178" s="51"/>
      <c r="BI178" s="51"/>
      <c r="BJ178" s="51"/>
      <c r="BK178" s="51"/>
      <c r="BL178" s="51"/>
      <c r="BM178" s="49"/>
      <c r="BN178" s="53"/>
      <c r="BO178" s="49"/>
      <c r="BP178" s="51"/>
      <c r="BQ178" s="10"/>
    </row>
    <row r="179">
      <c r="A179" s="1">
        <v>4.0</v>
      </c>
      <c r="B179" s="2">
        <v>31311.0</v>
      </c>
      <c r="C179" s="2" t="s">
        <v>76</v>
      </c>
      <c r="D179" s="93"/>
      <c r="E179" s="93"/>
      <c r="F179" s="93"/>
      <c r="G179" s="93"/>
      <c r="H179" s="93"/>
      <c r="I179" s="3" t="str">
        <f t="shared" si="1"/>
        <v>3131101</v>
      </c>
      <c r="J179" s="3"/>
      <c r="K179" s="3"/>
      <c r="L179" s="94" t="s">
        <v>502</v>
      </c>
      <c r="M179" s="4">
        <v>1.0</v>
      </c>
      <c r="N179" s="3"/>
      <c r="O179" s="93"/>
      <c r="P179" s="3"/>
      <c r="Q179" s="3"/>
      <c r="R179" s="3"/>
      <c r="S179" s="3"/>
      <c r="T179" s="3"/>
      <c r="U179" s="6">
        <v>2.0</v>
      </c>
      <c r="V179" s="3"/>
      <c r="W179" s="6" t="s">
        <v>435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97"/>
      <c r="BO179" s="3"/>
      <c r="BP179" s="3"/>
      <c r="BQ179" s="10"/>
    </row>
    <row r="180">
      <c r="A180" s="1">
        <v>4.0</v>
      </c>
      <c r="B180" s="2">
        <v>31311.0</v>
      </c>
      <c r="C180" s="2" t="s">
        <v>119</v>
      </c>
      <c r="D180" s="93"/>
      <c r="E180" s="93"/>
      <c r="F180" s="93"/>
      <c r="G180" s="93"/>
      <c r="H180" s="93"/>
      <c r="I180" s="3" t="str">
        <f t="shared" si="1"/>
        <v>3131102</v>
      </c>
      <c r="J180" s="3"/>
      <c r="K180" s="3"/>
      <c r="L180" s="94" t="s">
        <v>503</v>
      </c>
      <c r="M180" s="4">
        <v>2.0</v>
      </c>
      <c r="N180" s="3"/>
      <c r="O180" s="93"/>
      <c r="P180" s="3"/>
      <c r="Q180" s="3"/>
      <c r="R180" s="3"/>
      <c r="S180" s="3"/>
      <c r="T180" s="3"/>
      <c r="U180" s="6">
        <v>2.0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97"/>
      <c r="BO180" s="3"/>
      <c r="BP180" s="3"/>
      <c r="BQ180" s="10"/>
    </row>
    <row r="181">
      <c r="A181" s="1">
        <v>4.0</v>
      </c>
      <c r="B181" s="2">
        <v>31311.0</v>
      </c>
      <c r="C181" s="2" t="s">
        <v>124</v>
      </c>
      <c r="D181" s="93"/>
      <c r="E181" s="93"/>
      <c r="F181" s="93"/>
      <c r="G181" s="93"/>
      <c r="H181" s="93"/>
      <c r="I181" s="3" t="str">
        <f t="shared" si="1"/>
        <v>3131103</v>
      </c>
      <c r="J181" s="3"/>
      <c r="K181" s="3"/>
      <c r="L181" s="94" t="s">
        <v>504</v>
      </c>
      <c r="M181" s="4">
        <v>1.0</v>
      </c>
      <c r="N181" s="3"/>
      <c r="O181" s="93"/>
      <c r="P181" s="3"/>
      <c r="Q181" s="3"/>
      <c r="R181" s="3"/>
      <c r="S181" s="3"/>
      <c r="T181" s="3"/>
      <c r="U181" s="6">
        <v>2.0</v>
      </c>
      <c r="V181" s="3"/>
      <c r="W181" s="6" t="s">
        <v>78</v>
      </c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97"/>
      <c r="BO181" s="3"/>
      <c r="BP181" s="3"/>
      <c r="BQ181" s="10"/>
    </row>
    <row r="182">
      <c r="A182" s="1">
        <v>5.0</v>
      </c>
      <c r="B182" s="2">
        <v>31311.0</v>
      </c>
      <c r="C182" s="2" t="s">
        <v>124</v>
      </c>
      <c r="D182" s="2" t="s">
        <v>76</v>
      </c>
      <c r="E182" s="93"/>
      <c r="F182" s="93"/>
      <c r="G182" s="93"/>
      <c r="H182" s="93"/>
      <c r="I182" s="3" t="str">
        <f t="shared" si="1"/>
        <v>313110301</v>
      </c>
      <c r="J182" s="3"/>
      <c r="K182" s="3"/>
      <c r="L182" s="94" t="s">
        <v>505</v>
      </c>
      <c r="M182" s="4">
        <v>2.0</v>
      </c>
      <c r="N182" s="3"/>
      <c r="O182" s="93"/>
      <c r="P182" s="3"/>
      <c r="Q182" s="3"/>
      <c r="R182" s="3"/>
      <c r="S182" s="3"/>
      <c r="T182" s="3"/>
      <c r="U182" s="6">
        <v>1.0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97"/>
      <c r="BO182" s="3"/>
      <c r="BP182" s="3"/>
      <c r="BQ182" s="10"/>
    </row>
    <row r="183">
      <c r="A183" s="1">
        <v>4.0</v>
      </c>
      <c r="B183" s="2">
        <v>31311.0</v>
      </c>
      <c r="C183" s="2" t="s">
        <v>127</v>
      </c>
      <c r="D183" s="93"/>
      <c r="E183" s="93"/>
      <c r="F183" s="93"/>
      <c r="G183" s="93"/>
      <c r="H183" s="93"/>
      <c r="I183" s="3" t="str">
        <f t="shared" si="1"/>
        <v>3131104</v>
      </c>
      <c r="J183" s="3"/>
      <c r="K183" s="3"/>
      <c r="L183" s="94" t="s">
        <v>506</v>
      </c>
      <c r="M183" s="4">
        <v>2.0</v>
      </c>
      <c r="N183" s="3"/>
      <c r="O183" s="93"/>
      <c r="P183" s="3"/>
      <c r="Q183" s="3"/>
      <c r="R183" s="3"/>
      <c r="S183" s="3"/>
      <c r="T183" s="3"/>
      <c r="U183" s="6" t="s">
        <v>79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97"/>
      <c r="BO183" s="3"/>
      <c r="BP183" s="3"/>
      <c r="BQ183" s="10"/>
    </row>
    <row r="184">
      <c r="A184" s="1">
        <v>4.0</v>
      </c>
      <c r="B184" s="2">
        <v>31311.0</v>
      </c>
      <c r="C184" s="2" t="s">
        <v>91</v>
      </c>
      <c r="D184" s="93"/>
      <c r="E184" s="93"/>
      <c r="F184" s="93"/>
      <c r="G184" s="93"/>
      <c r="H184" s="93"/>
      <c r="I184" s="3" t="str">
        <f t="shared" si="1"/>
        <v>3131105</v>
      </c>
      <c r="J184" s="3"/>
      <c r="K184" s="3"/>
      <c r="L184" s="94" t="s">
        <v>507</v>
      </c>
      <c r="M184" s="4">
        <v>1.0</v>
      </c>
      <c r="N184" s="3"/>
      <c r="O184" s="93"/>
      <c r="P184" s="3"/>
      <c r="Q184" s="3"/>
      <c r="R184" s="3"/>
      <c r="S184" s="3"/>
      <c r="T184" s="3"/>
      <c r="U184" s="6">
        <v>1.0</v>
      </c>
      <c r="V184" s="3"/>
      <c r="W184" s="6" t="s">
        <v>78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97"/>
      <c r="BO184" s="3"/>
      <c r="BP184" s="3"/>
      <c r="BQ184" s="10"/>
    </row>
    <row r="185">
      <c r="A185" s="1">
        <v>4.0</v>
      </c>
      <c r="B185" s="2">
        <v>31311.0</v>
      </c>
      <c r="C185" s="2" t="s">
        <v>133</v>
      </c>
      <c r="D185" s="93"/>
      <c r="E185" s="93"/>
      <c r="F185" s="93"/>
      <c r="G185" s="93"/>
      <c r="H185" s="93"/>
      <c r="I185" s="3" t="str">
        <f t="shared" si="1"/>
        <v>3131106</v>
      </c>
      <c r="J185" s="3"/>
      <c r="K185" s="3"/>
      <c r="L185" s="94" t="s">
        <v>508</v>
      </c>
      <c r="M185" s="4">
        <v>2.0</v>
      </c>
      <c r="N185" s="3"/>
      <c r="O185" s="93"/>
      <c r="P185" s="3"/>
      <c r="Q185" s="3"/>
      <c r="R185" s="3"/>
      <c r="S185" s="3"/>
      <c r="T185" s="3"/>
      <c r="U185" s="6">
        <v>2.0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97"/>
      <c r="BO185" s="3"/>
      <c r="BP185" s="3"/>
      <c r="BQ185" s="10"/>
    </row>
    <row r="186">
      <c r="A186" s="45">
        <v>3.0</v>
      </c>
      <c r="B186" s="46">
        <v>31312.0</v>
      </c>
      <c r="C186" s="47"/>
      <c r="D186" s="47"/>
      <c r="E186" s="47"/>
      <c r="F186" s="47"/>
      <c r="G186" s="47"/>
      <c r="H186" s="47"/>
      <c r="I186" s="48" t="str">
        <f t="shared" si="1"/>
        <v>31312</v>
      </c>
      <c r="J186" s="49"/>
      <c r="K186" s="49"/>
      <c r="L186" s="48" t="s">
        <v>509</v>
      </c>
      <c r="M186" s="50">
        <v>1.0</v>
      </c>
      <c r="N186" s="51"/>
      <c r="O186" s="47"/>
      <c r="P186" s="51"/>
      <c r="Q186" s="51"/>
      <c r="R186" s="51"/>
      <c r="S186" s="51"/>
      <c r="T186" s="49"/>
      <c r="U186" s="52">
        <v>1.0</v>
      </c>
      <c r="V186" s="49"/>
      <c r="W186" s="52" t="s">
        <v>70</v>
      </c>
      <c r="X186" s="49"/>
      <c r="Y186" s="49"/>
      <c r="Z186" s="49"/>
      <c r="AA186" s="107" t="s">
        <v>79</v>
      </c>
      <c r="AB186" s="49"/>
      <c r="AC186" s="49"/>
      <c r="AD186" s="49"/>
      <c r="AE186" s="49"/>
      <c r="AF186" s="49"/>
      <c r="AG186" s="49"/>
      <c r="AH186" s="49"/>
      <c r="AI186" s="49"/>
      <c r="AJ186" s="49"/>
      <c r="AK186" s="49"/>
      <c r="AL186" s="49"/>
      <c r="AM186" s="49"/>
      <c r="AN186" s="49"/>
      <c r="AO186" s="49"/>
      <c r="AP186" s="52" t="s">
        <v>80</v>
      </c>
      <c r="AQ186" s="51"/>
      <c r="AR186" s="51"/>
      <c r="AS186" s="51"/>
      <c r="AT186" s="51"/>
      <c r="AU186" s="51"/>
      <c r="AV186" s="49"/>
      <c r="AW186" s="49"/>
      <c r="AX186" s="49"/>
      <c r="AY186" s="49"/>
      <c r="AZ186" s="49"/>
      <c r="BA186" s="49"/>
      <c r="BB186" s="49"/>
      <c r="BC186" s="49"/>
      <c r="BD186" s="49"/>
      <c r="BE186" s="49"/>
      <c r="BF186" s="49"/>
      <c r="BG186" s="49"/>
      <c r="BH186" s="51"/>
      <c r="BI186" s="51"/>
      <c r="BJ186" s="51"/>
      <c r="BK186" s="51"/>
      <c r="BL186" s="51"/>
      <c r="BM186" s="49"/>
      <c r="BN186" s="53"/>
      <c r="BO186" s="49"/>
      <c r="BP186" s="51"/>
      <c r="BQ186" s="10"/>
    </row>
    <row r="187">
      <c r="A187" s="1">
        <v>4.0</v>
      </c>
      <c r="B187" s="2">
        <v>31312.0</v>
      </c>
      <c r="C187" s="2" t="s">
        <v>76</v>
      </c>
      <c r="D187" s="93"/>
      <c r="E187" s="93"/>
      <c r="F187" s="93"/>
      <c r="G187" s="93"/>
      <c r="H187" s="93"/>
      <c r="I187" s="3" t="str">
        <f t="shared" si="1"/>
        <v>3131201</v>
      </c>
      <c r="J187" s="3"/>
      <c r="K187" s="3"/>
      <c r="L187" s="94" t="s">
        <v>502</v>
      </c>
      <c r="M187" s="4">
        <v>1.0</v>
      </c>
      <c r="N187" s="3"/>
      <c r="O187" s="93"/>
      <c r="P187" s="3"/>
      <c r="Q187" s="3"/>
      <c r="R187" s="3"/>
      <c r="S187" s="3"/>
      <c r="T187" s="3"/>
      <c r="U187" s="6">
        <v>2.0</v>
      </c>
      <c r="V187" s="3"/>
      <c r="W187" s="6" t="s">
        <v>435</v>
      </c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97"/>
      <c r="BO187" s="3"/>
      <c r="BP187" s="3"/>
      <c r="BQ187" s="10"/>
    </row>
    <row r="188">
      <c r="A188" s="1">
        <v>4.0</v>
      </c>
      <c r="B188" s="2">
        <v>31312.0</v>
      </c>
      <c r="C188" s="2" t="s">
        <v>119</v>
      </c>
      <c r="D188" s="93"/>
      <c r="E188" s="93"/>
      <c r="F188" s="93"/>
      <c r="G188" s="93"/>
      <c r="H188" s="93"/>
      <c r="I188" s="3" t="str">
        <f t="shared" si="1"/>
        <v>3131202</v>
      </c>
      <c r="J188" s="3"/>
      <c r="K188" s="3"/>
      <c r="L188" s="94" t="s">
        <v>503</v>
      </c>
      <c r="M188" s="4">
        <v>2.0</v>
      </c>
      <c r="N188" s="3"/>
      <c r="O188" s="93"/>
      <c r="P188" s="3"/>
      <c r="Q188" s="3"/>
      <c r="R188" s="3"/>
      <c r="S188" s="3"/>
      <c r="T188" s="3"/>
      <c r="U188" s="6">
        <v>2.0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97"/>
      <c r="BO188" s="3"/>
      <c r="BP188" s="3"/>
      <c r="BQ188" s="10"/>
    </row>
    <row r="189">
      <c r="A189" s="1">
        <v>4.0</v>
      </c>
      <c r="B189" s="2">
        <v>31312.0</v>
      </c>
      <c r="C189" s="2" t="s">
        <v>124</v>
      </c>
      <c r="D189" s="93"/>
      <c r="E189" s="93"/>
      <c r="F189" s="93"/>
      <c r="G189" s="93"/>
      <c r="H189" s="93"/>
      <c r="I189" s="3" t="str">
        <f t="shared" si="1"/>
        <v>3131203</v>
      </c>
      <c r="J189" s="3"/>
      <c r="K189" s="3"/>
      <c r="L189" s="94" t="s">
        <v>504</v>
      </c>
      <c r="M189" s="4">
        <v>1.0</v>
      </c>
      <c r="N189" s="3"/>
      <c r="O189" s="93"/>
      <c r="P189" s="3"/>
      <c r="Q189" s="3"/>
      <c r="R189" s="3"/>
      <c r="S189" s="3"/>
      <c r="T189" s="3"/>
      <c r="U189" s="6">
        <v>2.0</v>
      </c>
      <c r="V189" s="3"/>
      <c r="W189" s="6" t="s">
        <v>78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97"/>
      <c r="BO189" s="3"/>
      <c r="BP189" s="3"/>
      <c r="BQ189" s="10"/>
    </row>
    <row r="190">
      <c r="A190" s="1">
        <v>5.0</v>
      </c>
      <c r="B190" s="2">
        <v>31312.0</v>
      </c>
      <c r="C190" s="2" t="s">
        <v>124</v>
      </c>
      <c r="D190" s="2" t="s">
        <v>76</v>
      </c>
      <c r="E190" s="93"/>
      <c r="F190" s="93"/>
      <c r="G190" s="93"/>
      <c r="H190" s="93"/>
      <c r="I190" s="3" t="str">
        <f t="shared" si="1"/>
        <v>313120301</v>
      </c>
      <c r="J190" s="3"/>
      <c r="K190" s="3"/>
      <c r="L190" s="94" t="s">
        <v>505</v>
      </c>
      <c r="M190" s="4">
        <v>2.0</v>
      </c>
      <c r="N190" s="3"/>
      <c r="O190" s="93"/>
      <c r="P190" s="3"/>
      <c r="Q190" s="3"/>
      <c r="R190" s="3"/>
      <c r="S190" s="3"/>
      <c r="T190" s="3"/>
      <c r="U190" s="6">
        <v>1.0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97"/>
      <c r="BO190" s="3"/>
      <c r="BP190" s="3"/>
      <c r="BQ190" s="10"/>
    </row>
    <row r="191">
      <c r="A191" s="1">
        <v>4.0</v>
      </c>
      <c r="B191" s="2">
        <v>31312.0</v>
      </c>
      <c r="C191" s="2" t="s">
        <v>127</v>
      </c>
      <c r="D191" s="93"/>
      <c r="E191" s="93"/>
      <c r="F191" s="93"/>
      <c r="G191" s="93"/>
      <c r="H191" s="93"/>
      <c r="I191" s="3" t="str">
        <f t="shared" si="1"/>
        <v>3131204</v>
      </c>
      <c r="J191" s="3"/>
      <c r="K191" s="3"/>
      <c r="L191" s="94" t="s">
        <v>506</v>
      </c>
      <c r="M191" s="4">
        <v>2.0</v>
      </c>
      <c r="N191" s="3"/>
      <c r="O191" s="93"/>
      <c r="P191" s="3"/>
      <c r="Q191" s="3"/>
      <c r="R191" s="3"/>
      <c r="S191" s="3"/>
      <c r="T191" s="3"/>
      <c r="U191" s="6" t="s">
        <v>79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97"/>
      <c r="BO191" s="3"/>
      <c r="BP191" s="3"/>
      <c r="BQ191" s="10"/>
    </row>
    <row r="192">
      <c r="A192" s="1">
        <v>4.0</v>
      </c>
      <c r="B192" s="2">
        <v>31312.0</v>
      </c>
      <c r="C192" s="2" t="s">
        <v>91</v>
      </c>
      <c r="D192" s="93"/>
      <c r="E192" s="93"/>
      <c r="F192" s="93"/>
      <c r="G192" s="93"/>
      <c r="H192" s="93"/>
      <c r="I192" s="3" t="str">
        <f t="shared" si="1"/>
        <v>3131205</v>
      </c>
      <c r="J192" s="3"/>
      <c r="K192" s="3"/>
      <c r="L192" s="94" t="s">
        <v>507</v>
      </c>
      <c r="M192" s="4">
        <v>1.0</v>
      </c>
      <c r="N192" s="3"/>
      <c r="O192" s="93"/>
      <c r="P192" s="3"/>
      <c r="Q192" s="3"/>
      <c r="R192" s="3"/>
      <c r="S192" s="3"/>
      <c r="T192" s="3"/>
      <c r="U192" s="6">
        <v>1.0</v>
      </c>
      <c r="V192" s="3"/>
      <c r="W192" s="6" t="s">
        <v>78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97"/>
      <c r="BO192" s="3"/>
      <c r="BP192" s="3"/>
      <c r="BQ192" s="10"/>
    </row>
    <row r="193">
      <c r="A193" s="1">
        <v>4.0</v>
      </c>
      <c r="B193" s="2">
        <v>31312.0</v>
      </c>
      <c r="C193" s="2" t="s">
        <v>133</v>
      </c>
      <c r="D193" s="93"/>
      <c r="E193" s="93"/>
      <c r="F193" s="93"/>
      <c r="G193" s="93"/>
      <c r="H193" s="93"/>
      <c r="I193" s="3" t="str">
        <f t="shared" si="1"/>
        <v>3131206</v>
      </c>
      <c r="J193" s="3"/>
      <c r="K193" s="3"/>
      <c r="L193" s="94" t="s">
        <v>508</v>
      </c>
      <c r="M193" s="4">
        <v>2.0</v>
      </c>
      <c r="N193" s="3"/>
      <c r="O193" s="93"/>
      <c r="P193" s="3"/>
      <c r="Q193" s="3"/>
      <c r="R193" s="3"/>
      <c r="S193" s="3"/>
      <c r="T193" s="3"/>
      <c r="U193" s="6">
        <v>2.0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97"/>
      <c r="BO193" s="3"/>
      <c r="BP193" s="3"/>
      <c r="BQ193" s="10"/>
    </row>
    <row r="194">
      <c r="A194" s="45">
        <v>3.0</v>
      </c>
      <c r="B194" s="46" t="s">
        <v>510</v>
      </c>
      <c r="C194" s="47"/>
      <c r="D194" s="47"/>
      <c r="E194" s="47"/>
      <c r="F194" s="47"/>
      <c r="G194" s="47"/>
      <c r="H194" s="47"/>
      <c r="I194" s="48" t="str">
        <f t="shared" si="1"/>
        <v>31313</v>
      </c>
      <c r="J194" s="49"/>
      <c r="K194" s="49"/>
      <c r="L194" s="48" t="s">
        <v>511</v>
      </c>
      <c r="M194" s="50">
        <v>1.0</v>
      </c>
      <c r="N194" s="51"/>
      <c r="O194" s="47"/>
      <c r="P194" s="51"/>
      <c r="Q194" s="51"/>
      <c r="R194" s="51"/>
      <c r="S194" s="51"/>
      <c r="T194" s="49"/>
      <c r="U194" s="52">
        <v>1.0</v>
      </c>
      <c r="V194" s="49"/>
      <c r="W194" s="52" t="s">
        <v>70</v>
      </c>
      <c r="X194" s="49"/>
      <c r="Y194" s="49"/>
      <c r="Z194" s="49"/>
      <c r="AA194" s="107" t="s">
        <v>79</v>
      </c>
      <c r="AB194" s="49"/>
      <c r="AC194" s="49"/>
      <c r="AD194" s="49"/>
      <c r="AE194" s="49"/>
      <c r="AF194" s="49"/>
      <c r="AG194" s="49"/>
      <c r="AH194" s="49"/>
      <c r="AI194" s="49"/>
      <c r="AJ194" s="49"/>
      <c r="AK194" s="49"/>
      <c r="AL194" s="49"/>
      <c r="AM194" s="49"/>
      <c r="AN194" s="49"/>
      <c r="AO194" s="49"/>
      <c r="AP194" s="52" t="s">
        <v>80</v>
      </c>
      <c r="AQ194" s="51"/>
      <c r="AR194" s="51"/>
      <c r="AS194" s="51"/>
      <c r="AT194" s="51"/>
      <c r="AU194" s="51"/>
      <c r="AV194" s="49"/>
      <c r="AW194" s="49"/>
      <c r="AX194" s="49"/>
      <c r="AY194" s="49"/>
      <c r="AZ194" s="49"/>
      <c r="BA194" s="49"/>
      <c r="BB194" s="49"/>
      <c r="BC194" s="49"/>
      <c r="BD194" s="49"/>
      <c r="BE194" s="49"/>
      <c r="BF194" s="49"/>
      <c r="BG194" s="49"/>
      <c r="BH194" s="51"/>
      <c r="BI194" s="51"/>
      <c r="BJ194" s="51"/>
      <c r="BK194" s="51"/>
      <c r="BL194" s="51"/>
      <c r="BM194" s="49"/>
      <c r="BN194" s="53"/>
      <c r="BO194" s="49"/>
      <c r="BP194" s="51"/>
      <c r="BQ194" s="10"/>
    </row>
    <row r="195">
      <c r="A195" s="1">
        <v>4.0</v>
      </c>
      <c r="B195" s="2" t="s">
        <v>510</v>
      </c>
      <c r="C195" s="2" t="s">
        <v>76</v>
      </c>
      <c r="D195" s="93"/>
      <c r="E195" s="93"/>
      <c r="F195" s="93"/>
      <c r="G195" s="93"/>
      <c r="H195" s="93"/>
      <c r="I195" s="3" t="str">
        <f t="shared" si="1"/>
        <v>3131301</v>
      </c>
      <c r="J195" s="3"/>
      <c r="K195" s="3"/>
      <c r="L195" s="94" t="s">
        <v>502</v>
      </c>
      <c r="M195" s="4">
        <v>1.0</v>
      </c>
      <c r="N195" s="3"/>
      <c r="O195" s="93"/>
      <c r="P195" s="3"/>
      <c r="Q195" s="3"/>
      <c r="R195" s="3"/>
      <c r="S195" s="3"/>
      <c r="T195" s="3"/>
      <c r="U195" s="6">
        <v>2.0</v>
      </c>
      <c r="V195" s="3"/>
      <c r="W195" s="6" t="s">
        <v>435</v>
      </c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97"/>
      <c r="BO195" s="3"/>
      <c r="BP195" s="3"/>
      <c r="BQ195" s="10"/>
    </row>
    <row r="196">
      <c r="A196" s="1">
        <v>4.0</v>
      </c>
      <c r="B196" s="2" t="s">
        <v>510</v>
      </c>
      <c r="C196" s="2" t="s">
        <v>119</v>
      </c>
      <c r="D196" s="93"/>
      <c r="E196" s="93"/>
      <c r="F196" s="93"/>
      <c r="G196" s="93"/>
      <c r="H196" s="93"/>
      <c r="I196" s="3" t="str">
        <f t="shared" si="1"/>
        <v>3131302</v>
      </c>
      <c r="J196" s="3"/>
      <c r="K196" s="3"/>
      <c r="L196" s="94" t="s">
        <v>503</v>
      </c>
      <c r="M196" s="4">
        <v>2.0</v>
      </c>
      <c r="N196" s="3"/>
      <c r="O196" s="93"/>
      <c r="P196" s="3"/>
      <c r="Q196" s="3"/>
      <c r="R196" s="3"/>
      <c r="S196" s="3"/>
      <c r="T196" s="3"/>
      <c r="U196" s="6">
        <v>2.0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97"/>
      <c r="BO196" s="3"/>
      <c r="BP196" s="3"/>
      <c r="BQ196" s="10"/>
    </row>
    <row r="197">
      <c r="A197" s="1">
        <v>4.0</v>
      </c>
      <c r="B197" s="2" t="s">
        <v>510</v>
      </c>
      <c r="C197" s="2" t="s">
        <v>124</v>
      </c>
      <c r="D197" s="93"/>
      <c r="E197" s="93"/>
      <c r="F197" s="93"/>
      <c r="G197" s="93"/>
      <c r="H197" s="93"/>
      <c r="I197" s="3" t="str">
        <f t="shared" si="1"/>
        <v>3131303</v>
      </c>
      <c r="J197" s="3"/>
      <c r="K197" s="3"/>
      <c r="L197" s="94" t="s">
        <v>504</v>
      </c>
      <c r="M197" s="4">
        <v>1.0</v>
      </c>
      <c r="N197" s="3"/>
      <c r="O197" s="93"/>
      <c r="P197" s="3"/>
      <c r="Q197" s="3"/>
      <c r="R197" s="3"/>
      <c r="S197" s="3"/>
      <c r="T197" s="3"/>
      <c r="U197" s="6">
        <v>2.0</v>
      </c>
      <c r="V197" s="3"/>
      <c r="W197" s="6" t="s">
        <v>78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97"/>
      <c r="BO197" s="3"/>
      <c r="BP197" s="3"/>
      <c r="BQ197" s="10"/>
    </row>
    <row r="198">
      <c r="A198" s="1">
        <v>5.0</v>
      </c>
      <c r="B198" s="2" t="s">
        <v>512</v>
      </c>
      <c r="C198" s="2" t="s">
        <v>124</v>
      </c>
      <c r="D198" s="2" t="s">
        <v>76</v>
      </c>
      <c r="E198" s="93"/>
      <c r="F198" s="93"/>
      <c r="G198" s="93"/>
      <c r="H198" s="93"/>
      <c r="I198" s="3" t="str">
        <f t="shared" si="1"/>
        <v>313140301</v>
      </c>
      <c r="J198" s="3"/>
      <c r="K198" s="3"/>
      <c r="L198" s="94" t="s">
        <v>505</v>
      </c>
      <c r="M198" s="4">
        <v>2.0</v>
      </c>
      <c r="N198" s="3"/>
      <c r="O198" s="93"/>
      <c r="P198" s="3"/>
      <c r="Q198" s="3"/>
      <c r="R198" s="3"/>
      <c r="S198" s="3"/>
      <c r="T198" s="3"/>
      <c r="U198" s="6">
        <v>1.0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97"/>
      <c r="BO198" s="3"/>
      <c r="BP198" s="3"/>
      <c r="BQ198" s="10"/>
    </row>
    <row r="199">
      <c r="A199" s="1">
        <v>4.0</v>
      </c>
      <c r="B199" s="2" t="s">
        <v>510</v>
      </c>
      <c r="C199" s="2" t="s">
        <v>127</v>
      </c>
      <c r="D199" s="93"/>
      <c r="E199" s="93"/>
      <c r="F199" s="93"/>
      <c r="G199" s="93"/>
      <c r="H199" s="93"/>
      <c r="I199" s="3" t="str">
        <f t="shared" si="1"/>
        <v>3131304</v>
      </c>
      <c r="J199" s="3"/>
      <c r="K199" s="3"/>
      <c r="L199" s="94" t="s">
        <v>506</v>
      </c>
      <c r="M199" s="4">
        <v>2.0</v>
      </c>
      <c r="N199" s="3"/>
      <c r="O199" s="93"/>
      <c r="P199" s="3"/>
      <c r="Q199" s="3"/>
      <c r="R199" s="3"/>
      <c r="S199" s="3"/>
      <c r="T199" s="3"/>
      <c r="U199" s="6" t="s">
        <v>79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97"/>
      <c r="BO199" s="3"/>
      <c r="BP199" s="3"/>
      <c r="BQ199" s="10"/>
    </row>
    <row r="200">
      <c r="A200" s="1">
        <v>4.0</v>
      </c>
      <c r="B200" s="2" t="s">
        <v>510</v>
      </c>
      <c r="C200" s="2" t="s">
        <v>91</v>
      </c>
      <c r="D200" s="93"/>
      <c r="E200" s="93"/>
      <c r="F200" s="93"/>
      <c r="G200" s="93"/>
      <c r="H200" s="93"/>
      <c r="I200" s="3" t="str">
        <f t="shared" si="1"/>
        <v>3131305</v>
      </c>
      <c r="J200" s="3"/>
      <c r="K200" s="3"/>
      <c r="L200" s="94" t="s">
        <v>507</v>
      </c>
      <c r="M200" s="4">
        <v>1.0</v>
      </c>
      <c r="N200" s="3"/>
      <c r="O200" s="93"/>
      <c r="P200" s="3"/>
      <c r="Q200" s="3"/>
      <c r="R200" s="3"/>
      <c r="S200" s="3"/>
      <c r="T200" s="3"/>
      <c r="U200" s="6">
        <v>1.0</v>
      </c>
      <c r="V200" s="3"/>
      <c r="W200" s="6" t="s">
        <v>78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97"/>
      <c r="BO200" s="3"/>
      <c r="BP200" s="3"/>
      <c r="BQ200" s="10"/>
    </row>
    <row r="201">
      <c r="A201" s="1">
        <v>4.0</v>
      </c>
      <c r="B201" s="2" t="s">
        <v>510</v>
      </c>
      <c r="C201" s="2" t="s">
        <v>133</v>
      </c>
      <c r="D201" s="93"/>
      <c r="E201" s="93"/>
      <c r="F201" s="93"/>
      <c r="G201" s="93"/>
      <c r="H201" s="93"/>
      <c r="I201" s="3" t="str">
        <f t="shared" si="1"/>
        <v>3131306</v>
      </c>
      <c r="J201" s="3"/>
      <c r="K201" s="3"/>
      <c r="L201" s="94" t="s">
        <v>508</v>
      </c>
      <c r="M201" s="4">
        <v>2.0</v>
      </c>
      <c r="N201" s="3"/>
      <c r="O201" s="93"/>
      <c r="P201" s="3"/>
      <c r="Q201" s="3"/>
      <c r="R201" s="3"/>
      <c r="S201" s="3"/>
      <c r="T201" s="3"/>
      <c r="U201" s="6">
        <v>2.0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97"/>
      <c r="BO201" s="3"/>
      <c r="BP201" s="3"/>
      <c r="BQ201" s="10"/>
    </row>
    <row r="202">
      <c r="A202" s="28">
        <v>1.0</v>
      </c>
      <c r="B202" s="29">
        <v>31400.0</v>
      </c>
      <c r="C202" s="30"/>
      <c r="D202" s="30"/>
      <c r="E202" s="30"/>
      <c r="F202" s="30"/>
      <c r="G202" s="30"/>
      <c r="H202" s="30"/>
      <c r="I202" s="31" t="str">
        <f t="shared" si="1"/>
        <v>31400</v>
      </c>
      <c r="J202" s="74"/>
      <c r="K202" s="74"/>
      <c r="L202" s="31" t="s">
        <v>513</v>
      </c>
      <c r="M202" s="75">
        <v>1.0</v>
      </c>
      <c r="N202" s="32"/>
      <c r="O202" s="30"/>
      <c r="P202" s="32"/>
      <c r="Q202" s="32"/>
      <c r="R202" s="32"/>
      <c r="S202" s="32"/>
      <c r="T202" s="74"/>
      <c r="U202" s="34">
        <v>1.0</v>
      </c>
      <c r="V202" s="74"/>
      <c r="W202" s="34" t="s">
        <v>70</v>
      </c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32"/>
      <c r="AQ202" s="32"/>
      <c r="AR202" s="32"/>
      <c r="AS202" s="32"/>
      <c r="AT202" s="32"/>
      <c r="AU202" s="32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32"/>
      <c r="BI202" s="32"/>
      <c r="BJ202" s="32"/>
      <c r="BK202" s="32"/>
      <c r="BL202" s="32"/>
      <c r="BM202" s="74"/>
      <c r="BN202" s="76"/>
      <c r="BO202" s="74"/>
      <c r="BP202" s="32"/>
      <c r="BQ202" s="10"/>
    </row>
    <row r="203">
      <c r="A203" s="36">
        <v>2.0</v>
      </c>
      <c r="B203" s="37">
        <v>31430.0</v>
      </c>
      <c r="C203" s="38"/>
      <c r="D203" s="38"/>
      <c r="E203" s="38"/>
      <c r="F203" s="38"/>
      <c r="G203" s="38"/>
      <c r="H203" s="38"/>
      <c r="I203" s="39" t="str">
        <f t="shared" si="1"/>
        <v>31430</v>
      </c>
      <c r="J203" s="40"/>
      <c r="K203" s="40"/>
      <c r="L203" s="39" t="s">
        <v>514</v>
      </c>
      <c r="M203" s="41">
        <v>1.0</v>
      </c>
      <c r="N203" s="42"/>
      <c r="O203" s="38"/>
      <c r="P203" s="42"/>
      <c r="Q203" s="42"/>
      <c r="R203" s="42"/>
      <c r="S203" s="42"/>
      <c r="T203" s="40"/>
      <c r="U203" s="43">
        <v>1.0</v>
      </c>
      <c r="V203" s="40"/>
      <c r="W203" s="43" t="s">
        <v>70</v>
      </c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2"/>
      <c r="AQ203" s="42"/>
      <c r="AR203" s="42"/>
      <c r="AS203" s="42"/>
      <c r="AT203" s="42"/>
      <c r="AU203" s="42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2"/>
      <c r="BI203" s="42"/>
      <c r="BJ203" s="42"/>
      <c r="BK203" s="42"/>
      <c r="BL203" s="42"/>
      <c r="BM203" s="40"/>
      <c r="BN203" s="44"/>
      <c r="BO203" s="40"/>
      <c r="BP203" s="42"/>
      <c r="BQ203" s="10"/>
    </row>
    <row r="204">
      <c r="A204" s="45">
        <v>3.0</v>
      </c>
      <c r="B204" s="46">
        <v>31431.0</v>
      </c>
      <c r="C204" s="47"/>
      <c r="D204" s="47"/>
      <c r="E204" s="47"/>
      <c r="F204" s="47"/>
      <c r="G204" s="47"/>
      <c r="H204" s="47"/>
      <c r="I204" s="48" t="str">
        <f t="shared" si="1"/>
        <v>31431</v>
      </c>
      <c r="J204" s="49"/>
      <c r="K204" s="49"/>
      <c r="L204" s="48" t="s">
        <v>515</v>
      </c>
      <c r="M204" s="50">
        <v>1.0</v>
      </c>
      <c r="N204" s="51"/>
      <c r="O204" s="47"/>
      <c r="P204" s="51"/>
      <c r="Q204" s="51"/>
      <c r="R204" s="51"/>
      <c r="S204" s="51"/>
      <c r="T204" s="49"/>
      <c r="U204" s="52">
        <v>1.0</v>
      </c>
      <c r="V204" s="49"/>
      <c r="W204" s="52" t="s">
        <v>70</v>
      </c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51"/>
      <c r="AQ204" s="51"/>
      <c r="AR204" s="51"/>
      <c r="AS204" s="51"/>
      <c r="AT204" s="51"/>
      <c r="AU204" s="51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51"/>
      <c r="BI204" s="51"/>
      <c r="BJ204" s="51"/>
      <c r="BK204" s="51"/>
      <c r="BL204" s="51"/>
      <c r="BM204" s="49"/>
      <c r="BN204" s="53"/>
      <c r="BO204" s="49"/>
      <c r="BP204" s="51"/>
      <c r="BQ204" s="10"/>
    </row>
    <row r="205">
      <c r="A205" s="1">
        <v>4.0</v>
      </c>
      <c r="B205" s="2">
        <v>31431.0</v>
      </c>
      <c r="C205" s="2" t="s">
        <v>76</v>
      </c>
      <c r="D205" s="93"/>
      <c r="E205" s="93"/>
      <c r="F205" s="93"/>
      <c r="G205" s="93"/>
      <c r="H205" s="93"/>
      <c r="I205" s="3" t="str">
        <f t="shared" si="1"/>
        <v>3143101</v>
      </c>
      <c r="J205" s="3"/>
      <c r="K205" s="3"/>
      <c r="L205" s="94" t="s">
        <v>516</v>
      </c>
      <c r="M205" s="4">
        <v>1.0</v>
      </c>
      <c r="N205" s="3"/>
      <c r="O205" s="95" t="s">
        <v>517</v>
      </c>
      <c r="P205" s="3"/>
      <c r="Q205" s="3"/>
      <c r="R205" s="3"/>
      <c r="S205" s="3"/>
      <c r="T205" s="3"/>
      <c r="U205" s="6">
        <v>1.0</v>
      </c>
      <c r="V205" s="3"/>
      <c r="W205" s="6" t="s">
        <v>78</v>
      </c>
      <c r="X205" s="3"/>
      <c r="Y205" s="3"/>
      <c r="Z205" s="3"/>
      <c r="AA205" s="96" t="s">
        <v>79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6" t="s">
        <v>80</v>
      </c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97"/>
      <c r="BO205" s="3"/>
      <c r="BP205" s="3"/>
      <c r="BQ205" s="10"/>
    </row>
    <row r="206">
      <c r="A206" s="1">
        <v>4.0</v>
      </c>
      <c r="B206" s="2">
        <v>31431.0</v>
      </c>
      <c r="C206" s="2" t="s">
        <v>119</v>
      </c>
      <c r="D206" s="93"/>
      <c r="E206" s="93"/>
      <c r="F206" s="93"/>
      <c r="G206" s="93"/>
      <c r="H206" s="93"/>
      <c r="I206" s="3" t="str">
        <f t="shared" si="1"/>
        <v>3143102</v>
      </c>
      <c r="J206" s="3"/>
      <c r="K206" s="3"/>
      <c r="L206" s="94" t="s">
        <v>518</v>
      </c>
      <c r="M206" s="4">
        <v>1.0</v>
      </c>
      <c r="N206" s="6" t="s">
        <v>519</v>
      </c>
      <c r="O206" s="95" t="s">
        <v>520</v>
      </c>
      <c r="P206" s="3"/>
      <c r="Q206" s="3"/>
      <c r="R206" s="3"/>
      <c r="S206" s="3"/>
      <c r="T206" s="3"/>
      <c r="U206" s="6">
        <v>1.0</v>
      </c>
      <c r="V206" s="3"/>
      <c r="W206" s="6" t="s">
        <v>78</v>
      </c>
      <c r="X206" s="3"/>
      <c r="Y206" s="3"/>
      <c r="Z206" s="3"/>
      <c r="AA206" s="96" t="s">
        <v>79</v>
      </c>
      <c r="AB206" s="96" t="s">
        <v>79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6" t="s">
        <v>521</v>
      </c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97"/>
      <c r="BO206" s="3"/>
      <c r="BP206" s="3"/>
      <c r="BQ206" s="10"/>
    </row>
    <row r="207">
      <c r="A207" s="1">
        <v>4.0</v>
      </c>
      <c r="B207" s="2">
        <v>31431.0</v>
      </c>
      <c r="C207" s="2" t="s">
        <v>124</v>
      </c>
      <c r="D207" s="93"/>
      <c r="E207" s="93"/>
      <c r="F207" s="93"/>
      <c r="G207" s="93"/>
      <c r="H207" s="93"/>
      <c r="I207" s="3" t="str">
        <f t="shared" si="1"/>
        <v>3143103</v>
      </c>
      <c r="J207" s="3"/>
      <c r="K207" s="3"/>
      <c r="L207" s="94" t="s">
        <v>522</v>
      </c>
      <c r="M207" s="4">
        <v>1.0</v>
      </c>
      <c r="N207" s="6" t="s">
        <v>523</v>
      </c>
      <c r="O207" s="95" t="s">
        <v>524</v>
      </c>
      <c r="P207" s="3"/>
      <c r="Q207" s="3"/>
      <c r="R207" s="3"/>
      <c r="S207" s="3"/>
      <c r="T207" s="3"/>
      <c r="U207" s="6">
        <v>1.0</v>
      </c>
      <c r="V207" s="3"/>
      <c r="W207" s="6" t="s">
        <v>78</v>
      </c>
      <c r="X207" s="3"/>
      <c r="Y207" s="3"/>
      <c r="Z207" s="3"/>
      <c r="AA207" s="96" t="s">
        <v>79</v>
      </c>
      <c r="AB207" s="96" t="s">
        <v>79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6" t="s">
        <v>525</v>
      </c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97"/>
      <c r="BO207" s="3"/>
      <c r="BP207" s="3"/>
      <c r="BQ207" s="10"/>
    </row>
    <row r="208">
      <c r="A208" s="1">
        <v>4.0</v>
      </c>
      <c r="B208" s="2">
        <v>31431.0</v>
      </c>
      <c r="C208" s="2" t="s">
        <v>127</v>
      </c>
      <c r="D208" s="93"/>
      <c r="E208" s="93"/>
      <c r="F208" s="93"/>
      <c r="G208" s="93"/>
      <c r="H208" s="93"/>
      <c r="I208" s="3" t="str">
        <f t="shared" si="1"/>
        <v>3143104</v>
      </c>
      <c r="J208" s="3"/>
      <c r="K208" s="3"/>
      <c r="L208" s="94" t="s">
        <v>526</v>
      </c>
      <c r="M208" s="4">
        <v>1.0</v>
      </c>
      <c r="N208" s="3"/>
      <c r="O208" s="95" t="s">
        <v>527</v>
      </c>
      <c r="P208" s="3"/>
      <c r="Q208" s="3"/>
      <c r="R208" s="3"/>
      <c r="S208" s="3"/>
      <c r="T208" s="3"/>
      <c r="U208" s="6">
        <v>1.0</v>
      </c>
      <c r="V208" s="3"/>
      <c r="W208" s="6" t="s">
        <v>78</v>
      </c>
      <c r="X208" s="3"/>
      <c r="Y208" s="3"/>
      <c r="Z208" s="3"/>
      <c r="AA208" s="96" t="s">
        <v>79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6" t="s">
        <v>80</v>
      </c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97"/>
      <c r="BO208" s="3"/>
      <c r="BP208" s="3"/>
      <c r="BQ208" s="10"/>
    </row>
    <row r="209">
      <c r="A209" s="1">
        <v>4.0</v>
      </c>
      <c r="B209" s="2">
        <v>31431.0</v>
      </c>
      <c r="C209" s="2" t="s">
        <v>91</v>
      </c>
      <c r="D209" s="93"/>
      <c r="E209" s="93"/>
      <c r="F209" s="93"/>
      <c r="G209" s="93"/>
      <c r="H209" s="93"/>
      <c r="I209" s="3" t="str">
        <f t="shared" si="1"/>
        <v>3143105</v>
      </c>
      <c r="J209" s="3"/>
      <c r="K209" s="3"/>
      <c r="L209" s="94" t="s">
        <v>528</v>
      </c>
      <c r="M209" s="4">
        <v>1.0</v>
      </c>
      <c r="N209" s="3"/>
      <c r="O209" s="95" t="s">
        <v>529</v>
      </c>
      <c r="P209" s="3"/>
      <c r="Q209" s="3"/>
      <c r="R209" s="3"/>
      <c r="S209" s="3"/>
      <c r="T209" s="3"/>
      <c r="U209" s="6">
        <v>1.0</v>
      </c>
      <c r="V209" s="3"/>
      <c r="W209" s="6" t="s">
        <v>78</v>
      </c>
      <c r="X209" s="3"/>
      <c r="Y209" s="3"/>
      <c r="Z209" s="3"/>
      <c r="AA209" s="96" t="s">
        <v>79</v>
      </c>
      <c r="AB209" s="96" t="s">
        <v>79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6" t="s">
        <v>80</v>
      </c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97"/>
      <c r="BO209" s="3"/>
      <c r="BP209" s="3"/>
      <c r="BQ209" s="10"/>
    </row>
    <row r="210">
      <c r="A210" s="1">
        <v>4.0</v>
      </c>
      <c r="B210" s="2">
        <v>31431.0</v>
      </c>
      <c r="C210" s="2" t="s">
        <v>133</v>
      </c>
      <c r="D210" s="93"/>
      <c r="E210" s="93"/>
      <c r="F210" s="93"/>
      <c r="G210" s="93"/>
      <c r="H210" s="93"/>
      <c r="I210" s="3" t="str">
        <f t="shared" si="1"/>
        <v>3143106</v>
      </c>
      <c r="J210" s="3"/>
      <c r="K210" s="3"/>
      <c r="L210" s="94" t="s">
        <v>530</v>
      </c>
      <c r="M210" s="4">
        <v>1.0</v>
      </c>
      <c r="N210" s="3"/>
      <c r="O210" s="95" t="s">
        <v>531</v>
      </c>
      <c r="P210" s="3"/>
      <c r="Q210" s="3"/>
      <c r="R210" s="3"/>
      <c r="S210" s="3"/>
      <c r="T210" s="3"/>
      <c r="U210" s="6">
        <v>1.0</v>
      </c>
      <c r="V210" s="3"/>
      <c r="W210" s="6" t="s">
        <v>78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97"/>
      <c r="BO210" s="3"/>
      <c r="BP210" s="3"/>
      <c r="BQ210" s="10"/>
    </row>
    <row r="211">
      <c r="A211" s="20">
        <v>1.0</v>
      </c>
      <c r="B211" s="21" t="s">
        <v>532</v>
      </c>
      <c r="C211" s="22"/>
      <c r="D211" s="22"/>
      <c r="E211" s="22"/>
      <c r="F211" s="22"/>
      <c r="G211" s="22"/>
      <c r="H211" s="22"/>
      <c r="I211" s="23" t="str">
        <f t="shared" si="1"/>
        <v>32000</v>
      </c>
      <c r="J211" s="24"/>
      <c r="K211" s="24"/>
      <c r="L211" s="23" t="s">
        <v>533</v>
      </c>
      <c r="M211" s="25">
        <v>1.0</v>
      </c>
      <c r="N211" s="24"/>
      <c r="O211" s="22"/>
      <c r="P211" s="24"/>
      <c r="Q211" s="24"/>
      <c r="R211" s="24"/>
      <c r="S211" s="24"/>
      <c r="T211" s="24"/>
      <c r="U211" s="26">
        <v>1.0</v>
      </c>
      <c r="V211" s="24"/>
      <c r="W211" s="26" t="s">
        <v>70</v>
      </c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7"/>
      <c r="BO211" s="24"/>
      <c r="BP211" s="24"/>
      <c r="BQ211" s="10"/>
    </row>
    <row r="212">
      <c r="A212" s="28">
        <v>1.0</v>
      </c>
      <c r="B212" s="29">
        <v>32100.0</v>
      </c>
      <c r="C212" s="30"/>
      <c r="D212" s="30"/>
      <c r="E212" s="30"/>
      <c r="F212" s="30"/>
      <c r="G212" s="30"/>
      <c r="H212" s="30"/>
      <c r="I212" s="31" t="str">
        <f t="shared" si="1"/>
        <v>32100</v>
      </c>
      <c r="J212" s="74"/>
      <c r="K212" s="74"/>
      <c r="L212" s="31" t="s">
        <v>534</v>
      </c>
      <c r="M212" s="75">
        <v>1.0</v>
      </c>
      <c r="N212" s="32"/>
      <c r="O212" s="30"/>
      <c r="P212" s="32"/>
      <c r="Q212" s="32"/>
      <c r="R212" s="32"/>
      <c r="S212" s="32"/>
      <c r="T212" s="74"/>
      <c r="U212" s="34">
        <v>1.0</v>
      </c>
      <c r="V212" s="74"/>
      <c r="W212" s="34" t="s">
        <v>70</v>
      </c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32"/>
      <c r="AQ212" s="32"/>
      <c r="AR212" s="32"/>
      <c r="AS212" s="32"/>
      <c r="AT212" s="32"/>
      <c r="AU212" s="32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32"/>
      <c r="BI212" s="32"/>
      <c r="BJ212" s="32"/>
      <c r="BK212" s="32"/>
      <c r="BL212" s="32"/>
      <c r="BM212" s="74"/>
      <c r="BN212" s="76"/>
      <c r="BO212" s="74"/>
      <c r="BP212" s="32"/>
      <c r="BQ212" s="10"/>
    </row>
    <row r="213">
      <c r="A213" s="36">
        <v>2.0</v>
      </c>
      <c r="B213" s="37" t="s">
        <v>535</v>
      </c>
      <c r="C213" s="38"/>
      <c r="D213" s="38"/>
      <c r="E213" s="38"/>
      <c r="F213" s="38"/>
      <c r="G213" s="38"/>
      <c r="H213" s="38"/>
      <c r="I213" s="39" t="str">
        <f t="shared" si="1"/>
        <v>32110</v>
      </c>
      <c r="J213" s="40"/>
      <c r="K213" s="40"/>
      <c r="L213" s="39" t="s">
        <v>536</v>
      </c>
      <c r="M213" s="41">
        <v>1.0</v>
      </c>
      <c r="N213" s="42"/>
      <c r="O213" s="38"/>
      <c r="P213" s="42"/>
      <c r="Q213" s="42"/>
      <c r="R213" s="42"/>
      <c r="S213" s="42"/>
      <c r="T213" s="40"/>
      <c r="U213" s="43">
        <v>1.0</v>
      </c>
      <c r="V213" s="40"/>
      <c r="W213" s="43" t="s">
        <v>70</v>
      </c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2"/>
      <c r="AQ213" s="42"/>
      <c r="AR213" s="42"/>
      <c r="AS213" s="42"/>
      <c r="AT213" s="42"/>
      <c r="AU213" s="42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2"/>
      <c r="BI213" s="42"/>
      <c r="BJ213" s="42"/>
      <c r="BK213" s="42"/>
      <c r="BL213" s="42"/>
      <c r="BM213" s="40"/>
      <c r="BN213" s="44"/>
      <c r="BO213" s="40"/>
      <c r="BP213" s="42"/>
      <c r="BQ213" s="10"/>
    </row>
    <row r="214">
      <c r="A214" s="45">
        <v>3.0</v>
      </c>
      <c r="B214" s="46" t="s">
        <v>537</v>
      </c>
      <c r="C214" s="47"/>
      <c r="D214" s="47"/>
      <c r="E214" s="47"/>
      <c r="F214" s="47"/>
      <c r="G214" s="47"/>
      <c r="H214" s="47"/>
      <c r="I214" s="48" t="str">
        <f t="shared" si="1"/>
        <v>32112</v>
      </c>
      <c r="J214" s="49"/>
      <c r="K214" s="49"/>
      <c r="L214" s="48" t="s">
        <v>538</v>
      </c>
      <c r="M214" s="50">
        <v>1.0</v>
      </c>
      <c r="N214" s="51"/>
      <c r="O214" s="47"/>
      <c r="P214" s="51"/>
      <c r="Q214" s="51"/>
      <c r="R214" s="51"/>
      <c r="S214" s="51"/>
      <c r="T214" s="49"/>
      <c r="U214" s="52">
        <v>1.0</v>
      </c>
      <c r="V214" s="49"/>
      <c r="W214" s="52" t="s">
        <v>70</v>
      </c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  <c r="AI214" s="49"/>
      <c r="AJ214" s="49"/>
      <c r="AK214" s="49"/>
      <c r="AL214" s="49"/>
      <c r="AM214" s="49"/>
      <c r="AN214" s="49"/>
      <c r="AO214" s="49"/>
      <c r="AP214" s="51"/>
      <c r="AQ214" s="51"/>
      <c r="AR214" s="51"/>
      <c r="AS214" s="51"/>
      <c r="AT214" s="51"/>
      <c r="AU214" s="51"/>
      <c r="AV214" s="49"/>
      <c r="AW214" s="49"/>
      <c r="AX214" s="49"/>
      <c r="AY214" s="49"/>
      <c r="AZ214" s="49"/>
      <c r="BA214" s="49"/>
      <c r="BB214" s="49"/>
      <c r="BC214" s="49"/>
      <c r="BD214" s="49"/>
      <c r="BE214" s="49"/>
      <c r="BF214" s="49"/>
      <c r="BG214" s="49"/>
      <c r="BH214" s="51"/>
      <c r="BI214" s="51"/>
      <c r="BJ214" s="51"/>
      <c r="BK214" s="51"/>
      <c r="BL214" s="51"/>
      <c r="BM214" s="49"/>
      <c r="BN214" s="53"/>
      <c r="BO214" s="49"/>
      <c r="BP214" s="51"/>
      <c r="BQ214" s="10"/>
    </row>
    <row r="215">
      <c r="A215" s="1">
        <v>4.0</v>
      </c>
      <c r="B215" s="2" t="s">
        <v>537</v>
      </c>
      <c r="C215" s="2" t="s">
        <v>76</v>
      </c>
      <c r="D215" s="93"/>
      <c r="E215" s="93"/>
      <c r="F215" s="93"/>
      <c r="G215" s="93"/>
      <c r="H215" s="93"/>
      <c r="I215" s="3" t="str">
        <f t="shared" si="1"/>
        <v>3211201</v>
      </c>
      <c r="J215" s="3"/>
      <c r="K215" s="3"/>
      <c r="L215" s="94" t="s">
        <v>539</v>
      </c>
      <c r="M215" s="4">
        <v>2.0</v>
      </c>
      <c r="N215" s="3"/>
      <c r="O215" s="93"/>
      <c r="P215" s="3"/>
      <c r="Q215" s="3"/>
      <c r="R215" s="3"/>
      <c r="S215" s="3"/>
      <c r="T215" s="3"/>
      <c r="U215" s="6">
        <v>1.0</v>
      </c>
      <c r="V215" s="3"/>
      <c r="W215" s="6" t="s">
        <v>304</v>
      </c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97"/>
      <c r="BO215" s="3"/>
      <c r="BP215" s="3"/>
      <c r="BQ215" s="10"/>
    </row>
    <row r="216">
      <c r="A216" s="1">
        <v>4.0</v>
      </c>
      <c r="B216" s="2" t="s">
        <v>537</v>
      </c>
      <c r="C216" s="2" t="s">
        <v>119</v>
      </c>
      <c r="D216" s="93"/>
      <c r="E216" s="93"/>
      <c r="F216" s="93"/>
      <c r="G216" s="93"/>
      <c r="H216" s="93"/>
      <c r="I216" s="3" t="str">
        <f t="shared" si="1"/>
        <v>3211202</v>
      </c>
      <c r="J216" s="3"/>
      <c r="K216" s="3"/>
      <c r="L216" s="94" t="s">
        <v>540</v>
      </c>
      <c r="M216" s="4">
        <v>2.0</v>
      </c>
      <c r="N216" s="3"/>
      <c r="O216" s="93"/>
      <c r="P216" s="3"/>
      <c r="Q216" s="3"/>
      <c r="R216" s="3"/>
      <c r="S216" s="3"/>
      <c r="T216" s="3"/>
      <c r="U216" s="6">
        <v>1.0</v>
      </c>
      <c r="V216" s="3"/>
      <c r="W216" s="6" t="s">
        <v>304</v>
      </c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97"/>
      <c r="BO216" s="3"/>
      <c r="BP216" s="3"/>
      <c r="BQ216" s="10"/>
    </row>
    <row r="217">
      <c r="A217" s="45">
        <v>2.0</v>
      </c>
      <c r="B217" s="46">
        <v>32114.0</v>
      </c>
      <c r="C217" s="47"/>
      <c r="D217" s="47"/>
      <c r="E217" s="47"/>
      <c r="F217" s="47"/>
      <c r="G217" s="47"/>
      <c r="H217" s="47"/>
      <c r="I217" s="48" t="str">
        <f t="shared" si="1"/>
        <v>32114</v>
      </c>
      <c r="J217" s="49"/>
      <c r="K217" s="49"/>
      <c r="L217" s="48" t="s">
        <v>541</v>
      </c>
      <c r="M217" s="50">
        <v>1.0</v>
      </c>
      <c r="N217" s="51"/>
      <c r="O217" s="47"/>
      <c r="P217" s="51"/>
      <c r="Q217" s="51"/>
      <c r="R217" s="51"/>
      <c r="S217" s="51"/>
      <c r="T217" s="49"/>
      <c r="U217" s="52">
        <v>1.0</v>
      </c>
      <c r="V217" s="49"/>
      <c r="W217" s="52" t="s">
        <v>70</v>
      </c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  <c r="AI217" s="49"/>
      <c r="AJ217" s="49"/>
      <c r="AK217" s="49"/>
      <c r="AL217" s="49"/>
      <c r="AM217" s="49"/>
      <c r="AN217" s="49"/>
      <c r="AO217" s="49"/>
      <c r="AP217" s="51"/>
      <c r="AQ217" s="51"/>
      <c r="AR217" s="51"/>
      <c r="AS217" s="51"/>
      <c r="AT217" s="51"/>
      <c r="AU217" s="51"/>
      <c r="AV217" s="49"/>
      <c r="AW217" s="49"/>
      <c r="AX217" s="49"/>
      <c r="AY217" s="49"/>
      <c r="AZ217" s="49"/>
      <c r="BA217" s="49"/>
      <c r="BB217" s="49"/>
      <c r="BC217" s="49"/>
      <c r="BD217" s="49"/>
      <c r="BE217" s="49"/>
      <c r="BF217" s="49"/>
      <c r="BG217" s="49"/>
      <c r="BH217" s="51"/>
      <c r="BI217" s="51"/>
      <c r="BJ217" s="51"/>
      <c r="BK217" s="51"/>
      <c r="BL217" s="51"/>
      <c r="BM217" s="49"/>
      <c r="BN217" s="53"/>
      <c r="BO217" s="49"/>
      <c r="BP217" s="51"/>
      <c r="BQ217" s="10"/>
    </row>
    <row r="218">
      <c r="A218" s="1">
        <v>4.0</v>
      </c>
      <c r="B218" s="2">
        <v>32114.0</v>
      </c>
      <c r="C218" s="2" t="s">
        <v>76</v>
      </c>
      <c r="D218" s="93"/>
      <c r="E218" s="93"/>
      <c r="F218" s="93"/>
      <c r="G218" s="93"/>
      <c r="H218" s="93"/>
      <c r="I218" s="3" t="str">
        <f t="shared" si="1"/>
        <v>3211401</v>
      </c>
      <c r="J218" s="3"/>
      <c r="K218" s="3"/>
      <c r="L218" s="94" t="s">
        <v>542</v>
      </c>
      <c r="M218" s="4">
        <v>2.0</v>
      </c>
      <c r="N218" s="3"/>
      <c r="O218" s="93"/>
      <c r="P218" s="3"/>
      <c r="Q218" s="3"/>
      <c r="R218" s="3"/>
      <c r="S218" s="3"/>
      <c r="T218" s="3"/>
      <c r="U218" s="6">
        <v>1.0</v>
      </c>
      <c r="V218" s="3"/>
      <c r="W218" s="6" t="s">
        <v>304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97"/>
      <c r="BO218" s="3"/>
      <c r="BP218" s="3"/>
      <c r="BQ218" s="10"/>
    </row>
    <row r="219">
      <c r="A219" s="45">
        <v>3.0</v>
      </c>
      <c r="B219" s="46">
        <v>32117.0</v>
      </c>
      <c r="C219" s="47"/>
      <c r="D219" s="47"/>
      <c r="E219" s="47"/>
      <c r="F219" s="47"/>
      <c r="G219" s="47"/>
      <c r="H219" s="47"/>
      <c r="I219" s="48" t="str">
        <f t="shared" si="1"/>
        <v>32117</v>
      </c>
      <c r="J219" s="49"/>
      <c r="K219" s="49"/>
      <c r="L219" s="48" t="s">
        <v>543</v>
      </c>
      <c r="M219" s="50">
        <v>1.0</v>
      </c>
      <c r="N219" s="51"/>
      <c r="O219" s="47"/>
      <c r="P219" s="51"/>
      <c r="Q219" s="51"/>
      <c r="R219" s="51"/>
      <c r="S219" s="51"/>
      <c r="T219" s="49"/>
      <c r="U219" s="52">
        <v>1.0</v>
      </c>
      <c r="V219" s="49"/>
      <c r="W219" s="52" t="s">
        <v>70</v>
      </c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  <c r="AI219" s="49"/>
      <c r="AJ219" s="49"/>
      <c r="AK219" s="49"/>
      <c r="AL219" s="49"/>
      <c r="AM219" s="49"/>
      <c r="AN219" s="49"/>
      <c r="AO219" s="49"/>
      <c r="AP219" s="51"/>
      <c r="AQ219" s="51"/>
      <c r="AR219" s="51"/>
      <c r="AS219" s="51"/>
      <c r="AT219" s="51"/>
      <c r="AU219" s="51"/>
      <c r="AV219" s="49"/>
      <c r="AW219" s="49"/>
      <c r="AX219" s="49"/>
      <c r="AY219" s="49"/>
      <c r="AZ219" s="49"/>
      <c r="BA219" s="49"/>
      <c r="BB219" s="49"/>
      <c r="BC219" s="49"/>
      <c r="BD219" s="49"/>
      <c r="BE219" s="49"/>
      <c r="BF219" s="49"/>
      <c r="BG219" s="49"/>
      <c r="BH219" s="51"/>
      <c r="BI219" s="51"/>
      <c r="BJ219" s="51"/>
      <c r="BK219" s="51"/>
      <c r="BL219" s="51"/>
      <c r="BM219" s="49"/>
      <c r="BN219" s="53"/>
      <c r="BO219" s="49"/>
      <c r="BP219" s="51"/>
      <c r="BQ219" s="10"/>
    </row>
    <row r="220">
      <c r="A220" s="1">
        <v>4.0</v>
      </c>
      <c r="B220" s="2">
        <v>32117.0</v>
      </c>
      <c r="C220" s="2" t="s">
        <v>76</v>
      </c>
      <c r="D220" s="93"/>
      <c r="E220" s="93"/>
      <c r="F220" s="93"/>
      <c r="G220" s="93"/>
      <c r="H220" s="93"/>
      <c r="I220" s="3" t="str">
        <f t="shared" si="1"/>
        <v>3211701</v>
      </c>
      <c r="J220" s="3"/>
      <c r="K220" s="3"/>
      <c r="L220" s="94" t="s">
        <v>544</v>
      </c>
      <c r="M220" s="4">
        <v>2.0</v>
      </c>
      <c r="N220" s="3"/>
      <c r="O220" s="93"/>
      <c r="P220" s="3"/>
      <c r="Q220" s="3"/>
      <c r="R220" s="3"/>
      <c r="S220" s="3"/>
      <c r="T220" s="3"/>
      <c r="U220" s="6">
        <v>1.0</v>
      </c>
      <c r="V220" s="3"/>
      <c r="W220" s="6" t="s">
        <v>304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97"/>
      <c r="BO220" s="3"/>
      <c r="BP220" s="3"/>
      <c r="BQ220" s="10"/>
    </row>
    <row r="221">
      <c r="A221" s="28">
        <v>1.0</v>
      </c>
      <c r="B221" s="29" t="s">
        <v>545</v>
      </c>
      <c r="C221" s="30"/>
      <c r="D221" s="30"/>
      <c r="E221" s="30"/>
      <c r="F221" s="30"/>
      <c r="G221" s="30"/>
      <c r="H221" s="30"/>
      <c r="I221" s="31" t="str">
        <f t="shared" si="1"/>
        <v>32400</v>
      </c>
      <c r="J221" s="74"/>
      <c r="K221" s="74"/>
      <c r="L221" s="31" t="s">
        <v>546</v>
      </c>
      <c r="M221" s="75">
        <v>1.0</v>
      </c>
      <c r="N221" s="32"/>
      <c r="O221" s="30"/>
      <c r="P221" s="32"/>
      <c r="Q221" s="32"/>
      <c r="R221" s="32"/>
      <c r="S221" s="32"/>
      <c r="T221" s="74"/>
      <c r="U221" s="34">
        <v>1.0</v>
      </c>
      <c r="V221" s="74"/>
      <c r="W221" s="34" t="s">
        <v>70</v>
      </c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32"/>
      <c r="AQ221" s="32"/>
      <c r="AR221" s="32"/>
      <c r="AS221" s="32"/>
      <c r="AT221" s="32"/>
      <c r="AU221" s="32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32"/>
      <c r="BI221" s="32"/>
      <c r="BJ221" s="32"/>
      <c r="BK221" s="32"/>
      <c r="BL221" s="32"/>
      <c r="BM221" s="74"/>
      <c r="BN221" s="76"/>
      <c r="BO221" s="74"/>
      <c r="BP221" s="32"/>
      <c r="BQ221" s="10"/>
    </row>
    <row r="222">
      <c r="A222" s="36">
        <v>2.0</v>
      </c>
      <c r="B222" s="37" t="s">
        <v>547</v>
      </c>
      <c r="C222" s="38"/>
      <c r="D222" s="38"/>
      <c r="E222" s="38"/>
      <c r="F222" s="38"/>
      <c r="G222" s="38"/>
      <c r="H222" s="38"/>
      <c r="I222" s="39" t="str">
        <f t="shared" si="1"/>
        <v>32410</v>
      </c>
      <c r="J222" s="40"/>
      <c r="K222" s="40"/>
      <c r="L222" s="39" t="s">
        <v>546</v>
      </c>
      <c r="M222" s="41">
        <v>1.0</v>
      </c>
      <c r="N222" s="42"/>
      <c r="O222" s="38"/>
      <c r="P222" s="42"/>
      <c r="Q222" s="42"/>
      <c r="R222" s="42"/>
      <c r="S222" s="42"/>
      <c r="T222" s="40"/>
      <c r="U222" s="43">
        <v>1.0</v>
      </c>
      <c r="V222" s="40"/>
      <c r="W222" s="43" t="s">
        <v>70</v>
      </c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2"/>
      <c r="AQ222" s="42"/>
      <c r="AR222" s="42"/>
      <c r="AS222" s="42"/>
      <c r="AT222" s="42"/>
      <c r="AU222" s="42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2"/>
      <c r="BI222" s="42"/>
      <c r="BJ222" s="42"/>
      <c r="BK222" s="42"/>
      <c r="BL222" s="42"/>
      <c r="BM222" s="40"/>
      <c r="BN222" s="44"/>
      <c r="BO222" s="40"/>
      <c r="BP222" s="42"/>
      <c r="BQ222" s="10"/>
    </row>
    <row r="223">
      <c r="A223" s="45">
        <v>3.0</v>
      </c>
      <c r="B223" s="46" t="s">
        <v>548</v>
      </c>
      <c r="C223" s="47"/>
      <c r="D223" s="47"/>
      <c r="E223" s="47"/>
      <c r="F223" s="47"/>
      <c r="G223" s="47"/>
      <c r="H223" s="47"/>
      <c r="I223" s="48" t="str">
        <f t="shared" si="1"/>
        <v>32411</v>
      </c>
      <c r="J223" s="49"/>
      <c r="K223" s="49"/>
      <c r="L223" s="48" t="s">
        <v>549</v>
      </c>
      <c r="M223" s="50">
        <v>1.0</v>
      </c>
      <c r="N223" s="51"/>
      <c r="O223" s="47"/>
      <c r="P223" s="51"/>
      <c r="Q223" s="51"/>
      <c r="R223" s="51"/>
      <c r="S223" s="51"/>
      <c r="T223" s="49"/>
      <c r="U223" s="52">
        <v>1.0</v>
      </c>
      <c r="V223" s="49"/>
      <c r="W223" s="52" t="s">
        <v>70</v>
      </c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/>
      <c r="AN223" s="49"/>
      <c r="AO223" s="49"/>
      <c r="AP223" s="51"/>
      <c r="AQ223" s="51"/>
      <c r="AR223" s="51"/>
      <c r="AS223" s="51"/>
      <c r="AT223" s="51"/>
      <c r="AU223" s="51"/>
      <c r="AV223" s="49"/>
      <c r="AW223" s="49"/>
      <c r="AX223" s="49"/>
      <c r="AY223" s="49"/>
      <c r="AZ223" s="49"/>
      <c r="BA223" s="49"/>
      <c r="BB223" s="49"/>
      <c r="BC223" s="49"/>
      <c r="BD223" s="49"/>
      <c r="BE223" s="49"/>
      <c r="BF223" s="49"/>
      <c r="BG223" s="49"/>
      <c r="BH223" s="51"/>
      <c r="BI223" s="51"/>
      <c r="BJ223" s="51"/>
      <c r="BK223" s="51"/>
      <c r="BL223" s="51"/>
      <c r="BM223" s="49"/>
      <c r="BN223" s="53"/>
      <c r="BO223" s="49"/>
      <c r="BP223" s="51"/>
      <c r="BQ223" s="10"/>
    </row>
    <row r="224">
      <c r="A224" s="1">
        <v>4.0</v>
      </c>
      <c r="B224" s="2">
        <v>32411.0</v>
      </c>
      <c r="C224" s="2" t="s">
        <v>76</v>
      </c>
      <c r="D224" s="93"/>
      <c r="E224" s="93"/>
      <c r="F224" s="93"/>
      <c r="G224" s="93"/>
      <c r="H224" s="93"/>
      <c r="I224" s="3" t="str">
        <f t="shared" si="1"/>
        <v>3241101</v>
      </c>
      <c r="J224" s="3"/>
      <c r="K224" s="3"/>
      <c r="L224" s="94" t="s">
        <v>550</v>
      </c>
      <c r="M224" s="4">
        <v>1.0</v>
      </c>
      <c r="N224" s="6" t="s">
        <v>551</v>
      </c>
      <c r="O224" s="95" t="s">
        <v>552</v>
      </c>
      <c r="P224" s="3"/>
      <c r="Q224" s="3"/>
      <c r="R224" s="3"/>
      <c r="S224" s="3"/>
      <c r="T224" s="3"/>
      <c r="U224" s="6">
        <v>1.0</v>
      </c>
      <c r="V224" s="3"/>
      <c r="W224" s="6" t="s">
        <v>78</v>
      </c>
      <c r="X224" s="3"/>
      <c r="Y224" s="3"/>
      <c r="Z224" s="3"/>
      <c r="AA224" s="96" t="s">
        <v>79</v>
      </c>
      <c r="AB224" s="96" t="s">
        <v>79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6">
        <v>10981.0</v>
      </c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97"/>
      <c r="BO224" s="3"/>
      <c r="BP224" s="3"/>
      <c r="BQ224" s="10"/>
    </row>
    <row r="225">
      <c r="A225" s="1">
        <v>5.0</v>
      </c>
      <c r="B225" s="2">
        <v>32411.0</v>
      </c>
      <c r="C225" s="2" t="s">
        <v>76</v>
      </c>
      <c r="D225" s="2" t="s">
        <v>76</v>
      </c>
      <c r="E225" s="93"/>
      <c r="F225" s="93"/>
      <c r="G225" s="93"/>
      <c r="H225" s="93"/>
      <c r="I225" s="3" t="str">
        <f t="shared" si="1"/>
        <v>324110101</v>
      </c>
      <c r="J225" s="3"/>
      <c r="K225" s="3"/>
      <c r="L225" s="94" t="s">
        <v>553</v>
      </c>
      <c r="M225" s="4">
        <v>2.0</v>
      </c>
      <c r="N225" s="3"/>
      <c r="O225" s="93"/>
      <c r="P225" s="3"/>
      <c r="Q225" s="3"/>
      <c r="R225" s="3"/>
      <c r="S225" s="3"/>
      <c r="T225" s="3"/>
      <c r="U225" s="6" t="s">
        <v>79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97"/>
      <c r="BO225" s="3"/>
      <c r="BP225" s="3"/>
      <c r="BQ225" s="10"/>
    </row>
    <row r="226">
      <c r="A226" s="1">
        <v>5.0</v>
      </c>
      <c r="B226" s="2">
        <v>32411.0</v>
      </c>
      <c r="C226" s="2" t="s">
        <v>76</v>
      </c>
      <c r="D226" s="2" t="s">
        <v>119</v>
      </c>
      <c r="E226" s="93"/>
      <c r="F226" s="93"/>
      <c r="G226" s="93"/>
      <c r="H226" s="93"/>
      <c r="I226" s="3" t="str">
        <f t="shared" si="1"/>
        <v>324110102</v>
      </c>
      <c r="J226" s="3"/>
      <c r="K226" s="3"/>
      <c r="L226" s="94" t="s">
        <v>554</v>
      </c>
      <c r="M226" s="4">
        <v>2.0</v>
      </c>
      <c r="N226" s="3"/>
      <c r="O226" s="93"/>
      <c r="P226" s="3"/>
      <c r="Q226" s="3"/>
      <c r="R226" s="3"/>
      <c r="S226" s="3"/>
      <c r="T226" s="3"/>
      <c r="U226" s="6" t="s">
        <v>79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97"/>
      <c r="BO226" s="3"/>
      <c r="BP226" s="3"/>
      <c r="BQ226" s="10"/>
    </row>
    <row r="227">
      <c r="A227" s="1">
        <v>5.0</v>
      </c>
      <c r="B227" s="2">
        <v>32411.0</v>
      </c>
      <c r="C227" s="2" t="s">
        <v>76</v>
      </c>
      <c r="D227" s="2" t="s">
        <v>124</v>
      </c>
      <c r="E227" s="93"/>
      <c r="F227" s="93"/>
      <c r="G227" s="93"/>
      <c r="H227" s="93"/>
      <c r="I227" s="3" t="str">
        <f t="shared" si="1"/>
        <v>324110103</v>
      </c>
      <c r="J227" s="3"/>
      <c r="K227" s="3"/>
      <c r="L227" s="94" t="s">
        <v>555</v>
      </c>
      <c r="M227" s="4">
        <v>2.0</v>
      </c>
      <c r="N227" s="3"/>
      <c r="O227" s="93"/>
      <c r="P227" s="3"/>
      <c r="Q227" s="3"/>
      <c r="R227" s="3"/>
      <c r="S227" s="3"/>
      <c r="T227" s="3"/>
      <c r="U227" s="6" t="s">
        <v>79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97"/>
      <c r="BO227" s="3"/>
      <c r="BP227" s="3"/>
      <c r="BQ227" s="10"/>
    </row>
    <row r="228">
      <c r="A228" s="1">
        <v>5.0</v>
      </c>
      <c r="B228" s="2">
        <v>32411.0</v>
      </c>
      <c r="C228" s="2" t="s">
        <v>76</v>
      </c>
      <c r="D228" s="2" t="s">
        <v>127</v>
      </c>
      <c r="E228" s="93"/>
      <c r="F228" s="93"/>
      <c r="G228" s="93"/>
      <c r="H228" s="93"/>
      <c r="I228" s="3" t="str">
        <f t="shared" si="1"/>
        <v>324110104</v>
      </c>
      <c r="J228" s="3"/>
      <c r="K228" s="3"/>
      <c r="L228" s="94" t="s">
        <v>556</v>
      </c>
      <c r="M228" s="4">
        <v>2.0</v>
      </c>
      <c r="N228" s="3"/>
      <c r="O228" s="93"/>
      <c r="P228" s="3"/>
      <c r="Q228" s="3"/>
      <c r="R228" s="3"/>
      <c r="S228" s="3"/>
      <c r="T228" s="3"/>
      <c r="U228" s="6" t="s">
        <v>79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97"/>
      <c r="BO228" s="3"/>
      <c r="BP228" s="3"/>
      <c r="BQ228" s="10"/>
    </row>
    <row r="229">
      <c r="A229" s="1">
        <v>5.0</v>
      </c>
      <c r="B229" s="2">
        <v>32411.0</v>
      </c>
      <c r="C229" s="2" t="s">
        <v>76</v>
      </c>
      <c r="D229" s="2" t="s">
        <v>91</v>
      </c>
      <c r="E229" s="93"/>
      <c r="F229" s="93"/>
      <c r="G229" s="93"/>
      <c r="H229" s="93"/>
      <c r="I229" s="3" t="str">
        <f t="shared" si="1"/>
        <v>324110105</v>
      </c>
      <c r="J229" s="3"/>
      <c r="K229" s="3"/>
      <c r="L229" s="94" t="s">
        <v>557</v>
      </c>
      <c r="M229" s="4">
        <v>2.0</v>
      </c>
      <c r="N229" s="3"/>
      <c r="O229" s="93"/>
      <c r="P229" s="3"/>
      <c r="Q229" s="3"/>
      <c r="R229" s="3"/>
      <c r="S229" s="3"/>
      <c r="T229" s="3"/>
      <c r="U229" s="6" t="s">
        <v>79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97"/>
      <c r="BO229" s="3"/>
      <c r="BP229" s="3"/>
      <c r="BQ229" s="10"/>
    </row>
    <row r="230">
      <c r="A230" s="1">
        <v>5.0</v>
      </c>
      <c r="B230" s="2">
        <v>32411.0</v>
      </c>
      <c r="C230" s="2" t="s">
        <v>76</v>
      </c>
      <c r="D230" s="2" t="s">
        <v>133</v>
      </c>
      <c r="E230" s="93"/>
      <c r="F230" s="93"/>
      <c r="G230" s="93"/>
      <c r="H230" s="93"/>
      <c r="I230" s="3" t="str">
        <f t="shared" si="1"/>
        <v>324110106</v>
      </c>
      <c r="J230" s="3"/>
      <c r="K230" s="3"/>
      <c r="L230" s="94" t="s">
        <v>558</v>
      </c>
      <c r="M230" s="4">
        <v>2.0</v>
      </c>
      <c r="N230" s="3"/>
      <c r="O230" s="93"/>
      <c r="P230" s="3"/>
      <c r="Q230" s="3"/>
      <c r="R230" s="3"/>
      <c r="S230" s="3"/>
      <c r="T230" s="3"/>
      <c r="U230" s="6">
        <v>3.0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97"/>
      <c r="BO230" s="3"/>
      <c r="BP230" s="3"/>
      <c r="BQ230" s="10"/>
    </row>
    <row r="231">
      <c r="A231" s="1">
        <v>5.0</v>
      </c>
      <c r="B231" s="2">
        <v>32411.0</v>
      </c>
      <c r="C231" s="2" t="s">
        <v>76</v>
      </c>
      <c r="D231" s="2" t="s">
        <v>136</v>
      </c>
      <c r="E231" s="93"/>
      <c r="F231" s="93"/>
      <c r="G231" s="93"/>
      <c r="H231" s="93"/>
      <c r="I231" s="3" t="str">
        <f t="shared" si="1"/>
        <v>324110107</v>
      </c>
      <c r="J231" s="3"/>
      <c r="K231" s="3"/>
      <c r="L231" s="94" t="s">
        <v>559</v>
      </c>
      <c r="M231" s="4">
        <v>2.0</v>
      </c>
      <c r="N231" s="3"/>
      <c r="O231" s="93"/>
      <c r="P231" s="3"/>
      <c r="Q231" s="3"/>
      <c r="R231" s="3"/>
      <c r="S231" s="3"/>
      <c r="T231" s="3"/>
      <c r="U231" s="6">
        <v>1.0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97"/>
      <c r="BO231" s="3"/>
      <c r="BP231" s="3"/>
      <c r="BQ231" s="10"/>
    </row>
    <row r="232">
      <c r="A232" s="1">
        <v>5.0</v>
      </c>
      <c r="B232" s="2">
        <v>32411.0</v>
      </c>
      <c r="C232" s="2" t="s">
        <v>76</v>
      </c>
      <c r="D232" s="2" t="s">
        <v>138</v>
      </c>
      <c r="E232" s="93"/>
      <c r="F232" s="93"/>
      <c r="G232" s="93"/>
      <c r="H232" s="93"/>
      <c r="I232" s="3" t="str">
        <f t="shared" si="1"/>
        <v>324110108</v>
      </c>
      <c r="J232" s="3"/>
      <c r="K232" s="3"/>
      <c r="L232" s="94" t="s">
        <v>560</v>
      </c>
      <c r="M232" s="4">
        <v>2.0</v>
      </c>
      <c r="N232" s="3"/>
      <c r="O232" s="93"/>
      <c r="P232" s="3"/>
      <c r="Q232" s="3"/>
      <c r="R232" s="3"/>
      <c r="S232" s="3"/>
      <c r="T232" s="3"/>
      <c r="U232" s="6">
        <v>1.0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97"/>
      <c r="BO232" s="3"/>
      <c r="BP232" s="3"/>
      <c r="BQ232" s="10"/>
    </row>
    <row r="233">
      <c r="A233" s="1">
        <v>5.0</v>
      </c>
      <c r="B233" s="2">
        <v>32411.0</v>
      </c>
      <c r="C233" s="2" t="s">
        <v>76</v>
      </c>
      <c r="D233" s="2" t="s">
        <v>142</v>
      </c>
      <c r="E233" s="93"/>
      <c r="F233" s="93"/>
      <c r="G233" s="93"/>
      <c r="H233" s="93"/>
      <c r="I233" s="3" t="str">
        <f t="shared" si="1"/>
        <v>324110109</v>
      </c>
      <c r="J233" s="3"/>
      <c r="K233" s="3"/>
      <c r="L233" s="94" t="s">
        <v>561</v>
      </c>
      <c r="M233" s="4">
        <v>2.0</v>
      </c>
      <c r="N233" s="3"/>
      <c r="O233" s="93"/>
      <c r="P233" s="3"/>
      <c r="Q233" s="3"/>
      <c r="R233" s="3"/>
      <c r="S233" s="3"/>
      <c r="T233" s="3"/>
      <c r="U233" s="6">
        <v>1.0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97"/>
      <c r="BO233" s="3"/>
      <c r="BP233" s="3"/>
      <c r="BQ233" s="10"/>
    </row>
    <row r="234">
      <c r="A234" s="1">
        <v>5.0</v>
      </c>
      <c r="B234" s="2">
        <v>32411.0</v>
      </c>
      <c r="C234" s="2" t="s">
        <v>76</v>
      </c>
      <c r="D234" s="2" t="s">
        <v>149</v>
      </c>
      <c r="E234" s="93"/>
      <c r="F234" s="93"/>
      <c r="G234" s="93"/>
      <c r="H234" s="93"/>
      <c r="I234" s="3" t="str">
        <f t="shared" si="1"/>
        <v>32411010A</v>
      </c>
      <c r="J234" s="3"/>
      <c r="K234" s="3"/>
      <c r="L234" s="94" t="s">
        <v>562</v>
      </c>
      <c r="M234" s="4">
        <v>2.0</v>
      </c>
      <c r="N234" s="3"/>
      <c r="O234" s="93"/>
      <c r="P234" s="3"/>
      <c r="Q234" s="3"/>
      <c r="R234" s="3"/>
      <c r="S234" s="3"/>
      <c r="T234" s="3"/>
      <c r="U234" s="6">
        <v>1.0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97"/>
      <c r="BO234" s="3"/>
      <c r="BP234" s="3"/>
      <c r="BQ234" s="10"/>
    </row>
    <row r="235">
      <c r="A235" s="1">
        <v>5.0</v>
      </c>
      <c r="B235" s="2">
        <v>32411.0</v>
      </c>
      <c r="C235" s="2" t="s">
        <v>76</v>
      </c>
      <c r="D235" s="2" t="s">
        <v>151</v>
      </c>
      <c r="E235" s="93"/>
      <c r="F235" s="93"/>
      <c r="G235" s="93"/>
      <c r="H235" s="93"/>
      <c r="I235" s="3" t="str">
        <f t="shared" si="1"/>
        <v>32411010B</v>
      </c>
      <c r="J235" s="3"/>
      <c r="K235" s="3"/>
      <c r="L235" s="94" t="s">
        <v>563</v>
      </c>
      <c r="M235" s="4">
        <v>2.0</v>
      </c>
      <c r="N235" s="3"/>
      <c r="O235" s="93"/>
      <c r="P235" s="3"/>
      <c r="Q235" s="3"/>
      <c r="R235" s="3"/>
      <c r="S235" s="3"/>
      <c r="T235" s="3"/>
      <c r="U235" s="6">
        <v>1.0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97"/>
      <c r="BO235" s="3"/>
      <c r="BP235" s="3"/>
      <c r="BQ235" s="10"/>
    </row>
    <row r="236">
      <c r="A236" s="1">
        <v>5.0</v>
      </c>
      <c r="B236" s="2">
        <v>32411.0</v>
      </c>
      <c r="C236" s="2" t="s">
        <v>76</v>
      </c>
      <c r="D236" s="2" t="s">
        <v>155</v>
      </c>
      <c r="E236" s="93"/>
      <c r="F236" s="93"/>
      <c r="G236" s="93"/>
      <c r="H236" s="93"/>
      <c r="I236" s="3" t="str">
        <f t="shared" si="1"/>
        <v>32411010C</v>
      </c>
      <c r="J236" s="3"/>
      <c r="K236" s="3"/>
      <c r="L236" s="94" t="s">
        <v>564</v>
      </c>
      <c r="M236" s="4">
        <v>2.0</v>
      </c>
      <c r="N236" s="3"/>
      <c r="O236" s="93"/>
      <c r="P236" s="3"/>
      <c r="Q236" s="3"/>
      <c r="R236" s="3"/>
      <c r="S236" s="3"/>
      <c r="T236" s="3"/>
      <c r="U236" s="6">
        <v>1.0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97"/>
      <c r="BO236" s="3"/>
      <c r="BP236" s="3"/>
      <c r="BQ236" s="10"/>
    </row>
    <row r="237">
      <c r="A237" s="1">
        <v>5.0</v>
      </c>
      <c r="B237" s="2">
        <v>32411.0</v>
      </c>
      <c r="C237" s="2" t="s">
        <v>76</v>
      </c>
      <c r="D237" s="2" t="s">
        <v>158</v>
      </c>
      <c r="E237" s="93"/>
      <c r="F237" s="93"/>
      <c r="G237" s="93"/>
      <c r="H237" s="93"/>
      <c r="I237" s="3" t="str">
        <f t="shared" si="1"/>
        <v>32411010D</v>
      </c>
      <c r="J237" s="3"/>
      <c r="K237" s="3"/>
      <c r="L237" s="94" t="s">
        <v>565</v>
      </c>
      <c r="M237" s="4">
        <v>2.0</v>
      </c>
      <c r="N237" s="3"/>
      <c r="O237" s="93"/>
      <c r="P237" s="3"/>
      <c r="Q237" s="3"/>
      <c r="R237" s="3"/>
      <c r="S237" s="3"/>
      <c r="T237" s="3"/>
      <c r="U237" s="6">
        <v>1.0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97"/>
      <c r="BO237" s="3"/>
      <c r="BP237" s="3"/>
      <c r="BQ237" s="10"/>
    </row>
    <row r="238">
      <c r="A238" s="1">
        <v>5.0</v>
      </c>
      <c r="B238" s="2">
        <v>32411.0</v>
      </c>
      <c r="C238" s="2" t="s">
        <v>76</v>
      </c>
      <c r="D238" s="2" t="s">
        <v>162</v>
      </c>
      <c r="E238" s="93"/>
      <c r="F238" s="93"/>
      <c r="G238" s="93"/>
      <c r="H238" s="93"/>
      <c r="I238" s="3" t="str">
        <f t="shared" si="1"/>
        <v>32411010E</v>
      </c>
      <c r="J238" s="3"/>
      <c r="K238" s="3"/>
      <c r="L238" s="94" t="s">
        <v>566</v>
      </c>
      <c r="M238" s="4">
        <v>2.0</v>
      </c>
      <c r="N238" s="3"/>
      <c r="O238" s="93"/>
      <c r="P238" s="3"/>
      <c r="Q238" s="3"/>
      <c r="R238" s="3"/>
      <c r="S238" s="3"/>
      <c r="T238" s="3"/>
      <c r="U238" s="6">
        <v>1.0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97"/>
      <c r="BO238" s="3"/>
      <c r="BP238" s="3"/>
      <c r="BQ238" s="10"/>
    </row>
    <row r="239">
      <c r="A239" s="1">
        <v>5.0</v>
      </c>
      <c r="B239" s="2">
        <v>32411.0</v>
      </c>
      <c r="C239" s="2" t="s">
        <v>76</v>
      </c>
      <c r="D239" s="2" t="s">
        <v>166</v>
      </c>
      <c r="E239" s="93"/>
      <c r="F239" s="93"/>
      <c r="G239" s="93"/>
      <c r="H239" s="93"/>
      <c r="I239" s="3" t="str">
        <f t="shared" si="1"/>
        <v>32411010F</v>
      </c>
      <c r="J239" s="3"/>
      <c r="K239" s="3"/>
      <c r="L239" s="94" t="s">
        <v>567</v>
      </c>
      <c r="M239" s="4">
        <v>2.0</v>
      </c>
      <c r="N239" s="3"/>
      <c r="O239" s="93"/>
      <c r="P239" s="3"/>
      <c r="Q239" s="3"/>
      <c r="R239" s="3"/>
      <c r="S239" s="3"/>
      <c r="T239" s="3"/>
      <c r="U239" s="6">
        <v>3.0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97"/>
      <c r="BO239" s="3"/>
      <c r="BP239" s="3"/>
      <c r="BQ239" s="10"/>
    </row>
    <row r="240">
      <c r="A240" s="1">
        <v>5.0</v>
      </c>
      <c r="B240" s="2">
        <v>32411.0</v>
      </c>
      <c r="C240" s="2" t="s">
        <v>76</v>
      </c>
      <c r="D240" s="2" t="s">
        <v>170</v>
      </c>
      <c r="E240" s="93"/>
      <c r="F240" s="93"/>
      <c r="G240" s="93"/>
      <c r="H240" s="93"/>
      <c r="I240" s="3" t="str">
        <f t="shared" si="1"/>
        <v>32411010G</v>
      </c>
      <c r="J240" s="3"/>
      <c r="K240" s="3"/>
      <c r="L240" s="94" t="s">
        <v>568</v>
      </c>
      <c r="M240" s="4">
        <v>2.0</v>
      </c>
      <c r="N240" s="3"/>
      <c r="O240" s="93"/>
      <c r="P240" s="3"/>
      <c r="Q240" s="3"/>
      <c r="R240" s="3"/>
      <c r="S240" s="3"/>
      <c r="T240" s="3"/>
      <c r="U240" s="6">
        <v>3.0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97"/>
      <c r="BO240" s="3"/>
      <c r="BP240" s="3"/>
      <c r="BQ240" s="10"/>
    </row>
    <row r="241">
      <c r="A241" s="1">
        <v>5.0</v>
      </c>
      <c r="B241" s="2">
        <v>32411.0</v>
      </c>
      <c r="C241" s="2" t="s">
        <v>76</v>
      </c>
      <c r="D241" s="2" t="s">
        <v>173</v>
      </c>
      <c r="E241" s="93"/>
      <c r="F241" s="93"/>
      <c r="G241" s="93"/>
      <c r="H241" s="93"/>
      <c r="I241" s="3" t="str">
        <f t="shared" si="1"/>
        <v>32411010H</v>
      </c>
      <c r="J241" s="3"/>
      <c r="K241" s="3"/>
      <c r="L241" s="94" t="s">
        <v>569</v>
      </c>
      <c r="M241" s="4">
        <v>2.0</v>
      </c>
      <c r="N241" s="3"/>
      <c r="O241" s="93"/>
      <c r="P241" s="3"/>
      <c r="Q241" s="3"/>
      <c r="R241" s="3"/>
      <c r="S241" s="3"/>
      <c r="T241" s="3"/>
      <c r="U241" s="6">
        <v>3.0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97"/>
      <c r="BO241" s="3"/>
      <c r="BP241" s="3"/>
      <c r="BQ241" s="10"/>
    </row>
    <row r="242">
      <c r="A242" s="1">
        <v>5.0</v>
      </c>
      <c r="B242" s="2">
        <v>32411.0</v>
      </c>
      <c r="C242" s="2" t="s">
        <v>76</v>
      </c>
      <c r="D242" s="2" t="s">
        <v>179</v>
      </c>
      <c r="E242" s="93"/>
      <c r="F242" s="93"/>
      <c r="G242" s="93"/>
      <c r="H242" s="93"/>
      <c r="I242" s="3" t="str">
        <f t="shared" si="1"/>
        <v>32411010J</v>
      </c>
      <c r="J242" s="3"/>
      <c r="K242" s="3"/>
      <c r="L242" s="94" t="s">
        <v>570</v>
      </c>
      <c r="M242" s="4">
        <v>2.0</v>
      </c>
      <c r="N242" s="3"/>
      <c r="O242" s="93"/>
      <c r="P242" s="3"/>
      <c r="Q242" s="3"/>
      <c r="R242" s="3"/>
      <c r="S242" s="3"/>
      <c r="T242" s="3"/>
      <c r="U242" s="6">
        <v>1.0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97"/>
      <c r="BO242" s="3"/>
      <c r="BP242" s="3"/>
      <c r="BQ242" s="10"/>
    </row>
    <row r="243">
      <c r="A243" s="1">
        <v>5.0</v>
      </c>
      <c r="B243" s="2">
        <v>32411.0</v>
      </c>
      <c r="C243" s="2" t="s">
        <v>76</v>
      </c>
      <c r="D243" s="2" t="s">
        <v>183</v>
      </c>
      <c r="E243" s="93"/>
      <c r="F243" s="93"/>
      <c r="G243" s="93"/>
      <c r="H243" s="93"/>
      <c r="I243" s="3" t="str">
        <f t="shared" si="1"/>
        <v>32411010K</v>
      </c>
      <c r="J243" s="3"/>
      <c r="K243" s="3"/>
      <c r="L243" s="94" t="s">
        <v>571</v>
      </c>
      <c r="M243" s="4">
        <v>2.0</v>
      </c>
      <c r="N243" s="3"/>
      <c r="O243" s="93"/>
      <c r="P243" s="3"/>
      <c r="Q243" s="3"/>
      <c r="R243" s="3"/>
      <c r="S243" s="3"/>
      <c r="T243" s="3"/>
      <c r="U243" s="6">
        <v>1.0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97"/>
      <c r="BO243" s="3"/>
      <c r="BP243" s="3"/>
      <c r="BQ243" s="10"/>
    </row>
    <row r="244">
      <c r="A244" s="1">
        <v>5.0</v>
      </c>
      <c r="B244" s="2">
        <v>32411.0</v>
      </c>
      <c r="C244" s="2" t="s">
        <v>76</v>
      </c>
      <c r="D244" s="2" t="s">
        <v>187</v>
      </c>
      <c r="E244" s="93"/>
      <c r="F244" s="93"/>
      <c r="G244" s="93"/>
      <c r="H244" s="93"/>
      <c r="I244" s="3" t="str">
        <f t="shared" si="1"/>
        <v>32411010L</v>
      </c>
      <c r="J244" s="3"/>
      <c r="K244" s="3"/>
      <c r="L244" s="94" t="s">
        <v>572</v>
      </c>
      <c r="M244" s="4">
        <v>2.0</v>
      </c>
      <c r="N244" s="3"/>
      <c r="O244" s="93"/>
      <c r="P244" s="3"/>
      <c r="Q244" s="3"/>
      <c r="R244" s="3"/>
      <c r="S244" s="3"/>
      <c r="T244" s="3"/>
      <c r="U244" s="6">
        <v>1.0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97"/>
      <c r="BO244" s="3"/>
      <c r="BP244" s="3"/>
      <c r="BQ244" s="10"/>
    </row>
    <row r="245">
      <c r="A245" s="1">
        <v>5.0</v>
      </c>
      <c r="B245" s="2">
        <v>32411.0</v>
      </c>
      <c r="C245" s="2" t="s">
        <v>76</v>
      </c>
      <c r="D245" s="2" t="s">
        <v>191</v>
      </c>
      <c r="E245" s="93"/>
      <c r="F245" s="93"/>
      <c r="G245" s="93"/>
      <c r="H245" s="93"/>
      <c r="I245" s="3" t="str">
        <f t="shared" si="1"/>
        <v>32411010M</v>
      </c>
      <c r="J245" s="3"/>
      <c r="K245" s="3"/>
      <c r="L245" s="94" t="s">
        <v>573</v>
      </c>
      <c r="M245" s="4">
        <v>2.0</v>
      </c>
      <c r="N245" s="3"/>
      <c r="O245" s="93"/>
      <c r="P245" s="3"/>
      <c r="Q245" s="3"/>
      <c r="R245" s="3"/>
      <c r="S245" s="3"/>
      <c r="T245" s="3"/>
      <c r="U245" s="6">
        <v>1.0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97"/>
      <c r="BO245" s="3"/>
      <c r="BP245" s="3"/>
      <c r="BQ245" s="10"/>
    </row>
    <row r="246">
      <c r="A246" s="1">
        <v>5.0</v>
      </c>
      <c r="B246" s="2">
        <v>32411.0</v>
      </c>
      <c r="C246" s="2" t="s">
        <v>76</v>
      </c>
      <c r="D246" s="2" t="s">
        <v>193</v>
      </c>
      <c r="E246" s="93"/>
      <c r="F246" s="93"/>
      <c r="G246" s="93"/>
      <c r="H246" s="93"/>
      <c r="I246" s="3" t="str">
        <f t="shared" si="1"/>
        <v>32411010N</v>
      </c>
      <c r="J246" s="3"/>
      <c r="K246" s="3"/>
      <c r="L246" s="94" t="s">
        <v>574</v>
      </c>
      <c r="M246" s="4">
        <v>2.0</v>
      </c>
      <c r="N246" s="3"/>
      <c r="O246" s="93"/>
      <c r="P246" s="3"/>
      <c r="Q246" s="3"/>
      <c r="R246" s="3"/>
      <c r="S246" s="3"/>
      <c r="T246" s="3"/>
      <c r="U246" s="6">
        <v>1.0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97"/>
      <c r="BO246" s="3"/>
      <c r="BP246" s="3"/>
      <c r="BQ246" s="10"/>
    </row>
    <row r="247">
      <c r="A247" s="1">
        <v>5.0</v>
      </c>
      <c r="B247" s="2">
        <v>32411.0</v>
      </c>
      <c r="C247" s="2" t="s">
        <v>76</v>
      </c>
      <c r="D247" s="2" t="s">
        <v>198</v>
      </c>
      <c r="E247" s="93"/>
      <c r="F247" s="93"/>
      <c r="G247" s="93"/>
      <c r="H247" s="93"/>
      <c r="I247" s="3" t="str">
        <f t="shared" si="1"/>
        <v>32411010P</v>
      </c>
      <c r="J247" s="3"/>
      <c r="K247" s="3"/>
      <c r="L247" s="94" t="s">
        <v>575</v>
      </c>
      <c r="M247" s="4">
        <v>2.0</v>
      </c>
      <c r="N247" s="3"/>
      <c r="O247" s="93"/>
      <c r="P247" s="3"/>
      <c r="Q247" s="3"/>
      <c r="R247" s="3"/>
      <c r="S247" s="3"/>
      <c r="T247" s="3"/>
      <c r="U247" s="6">
        <v>1.0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97"/>
      <c r="BO247" s="3"/>
      <c r="BP247" s="3"/>
      <c r="BQ247" s="10"/>
    </row>
    <row r="248">
      <c r="A248" s="1">
        <v>5.0</v>
      </c>
      <c r="B248" s="2">
        <v>32411.0</v>
      </c>
      <c r="C248" s="2" t="s">
        <v>76</v>
      </c>
      <c r="D248" s="2" t="s">
        <v>200</v>
      </c>
      <c r="E248" s="93"/>
      <c r="F248" s="93"/>
      <c r="G248" s="93"/>
      <c r="H248" s="93"/>
      <c r="I248" s="3" t="str">
        <f t="shared" si="1"/>
        <v>32411010Q</v>
      </c>
      <c r="J248" s="3"/>
      <c r="K248" s="3"/>
      <c r="L248" s="94" t="s">
        <v>576</v>
      </c>
      <c r="M248" s="4">
        <v>2.0</v>
      </c>
      <c r="N248" s="3"/>
      <c r="O248" s="93"/>
      <c r="P248" s="3"/>
      <c r="Q248" s="3"/>
      <c r="R248" s="3"/>
      <c r="S248" s="3"/>
      <c r="T248" s="3"/>
      <c r="U248" s="6">
        <v>1.0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97"/>
      <c r="BO248" s="3"/>
      <c r="BP248" s="3"/>
      <c r="BQ248" s="10"/>
    </row>
    <row r="249">
      <c r="A249" s="1">
        <v>5.0</v>
      </c>
      <c r="B249" s="2">
        <v>32411.0</v>
      </c>
      <c r="C249" s="2" t="s">
        <v>76</v>
      </c>
      <c r="D249" s="2" t="s">
        <v>202</v>
      </c>
      <c r="E249" s="93"/>
      <c r="F249" s="93"/>
      <c r="G249" s="93"/>
      <c r="H249" s="93"/>
      <c r="I249" s="3" t="str">
        <f t="shared" si="1"/>
        <v>32411010R</v>
      </c>
      <c r="J249" s="3"/>
      <c r="K249" s="3"/>
      <c r="L249" s="94" t="s">
        <v>577</v>
      </c>
      <c r="M249" s="4">
        <v>2.0</v>
      </c>
      <c r="N249" s="3"/>
      <c r="O249" s="93"/>
      <c r="P249" s="3"/>
      <c r="Q249" s="3"/>
      <c r="R249" s="3"/>
      <c r="S249" s="3"/>
      <c r="T249" s="3"/>
      <c r="U249" s="6">
        <v>1.0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97"/>
      <c r="BO249" s="3"/>
      <c r="BP249" s="3"/>
      <c r="BQ249" s="10"/>
    </row>
    <row r="250">
      <c r="A250" s="1">
        <v>5.0</v>
      </c>
      <c r="B250" s="2">
        <v>32411.0</v>
      </c>
      <c r="C250" s="2" t="s">
        <v>76</v>
      </c>
      <c r="D250" s="2" t="s">
        <v>206</v>
      </c>
      <c r="E250" s="93"/>
      <c r="F250" s="93"/>
      <c r="G250" s="93"/>
      <c r="H250" s="93"/>
      <c r="I250" s="3" t="str">
        <f t="shared" si="1"/>
        <v>32411010S</v>
      </c>
      <c r="J250" s="3"/>
      <c r="K250" s="3"/>
      <c r="L250" s="94" t="s">
        <v>578</v>
      </c>
      <c r="M250" s="4">
        <v>2.0</v>
      </c>
      <c r="N250" s="3"/>
      <c r="O250" s="93"/>
      <c r="P250" s="3"/>
      <c r="Q250" s="3"/>
      <c r="R250" s="3"/>
      <c r="S250" s="3"/>
      <c r="T250" s="3"/>
      <c r="U250" s="6">
        <v>1.0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97"/>
      <c r="BO250" s="3"/>
      <c r="BP250" s="3"/>
      <c r="BQ250" s="10"/>
    </row>
    <row r="251">
      <c r="A251" s="1">
        <v>5.0</v>
      </c>
      <c r="B251" s="2">
        <v>32411.0</v>
      </c>
      <c r="C251" s="2" t="s">
        <v>76</v>
      </c>
      <c r="D251" s="2" t="s">
        <v>211</v>
      </c>
      <c r="E251" s="93"/>
      <c r="F251" s="93"/>
      <c r="G251" s="93"/>
      <c r="H251" s="93"/>
      <c r="I251" s="3" t="str">
        <f t="shared" si="1"/>
        <v>32411010T</v>
      </c>
      <c r="J251" s="3"/>
      <c r="K251" s="3"/>
      <c r="L251" s="94" t="s">
        <v>579</v>
      </c>
      <c r="M251" s="4">
        <v>2.0</v>
      </c>
      <c r="N251" s="3"/>
      <c r="O251" s="93"/>
      <c r="P251" s="3"/>
      <c r="Q251" s="3"/>
      <c r="R251" s="3"/>
      <c r="S251" s="3"/>
      <c r="T251" s="3"/>
      <c r="U251" s="6">
        <v>1.0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97"/>
      <c r="BO251" s="3"/>
      <c r="BP251" s="3"/>
      <c r="BQ251" s="10"/>
    </row>
    <row r="252">
      <c r="A252" s="1">
        <v>5.0</v>
      </c>
      <c r="B252" s="2">
        <v>32411.0</v>
      </c>
      <c r="C252" s="2" t="s">
        <v>76</v>
      </c>
      <c r="D252" s="2" t="s">
        <v>215</v>
      </c>
      <c r="E252" s="93"/>
      <c r="F252" s="93"/>
      <c r="G252" s="93"/>
      <c r="H252" s="93"/>
      <c r="I252" s="3" t="str">
        <f t="shared" si="1"/>
        <v>32411010U</v>
      </c>
      <c r="J252" s="3"/>
      <c r="K252" s="3"/>
      <c r="L252" s="94" t="s">
        <v>580</v>
      </c>
      <c r="M252" s="4">
        <v>2.0</v>
      </c>
      <c r="N252" s="3"/>
      <c r="O252" s="93"/>
      <c r="P252" s="3"/>
      <c r="Q252" s="3"/>
      <c r="R252" s="3"/>
      <c r="S252" s="3"/>
      <c r="T252" s="3"/>
      <c r="U252" s="6">
        <v>1.0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97"/>
      <c r="BO252" s="3"/>
      <c r="BP252" s="3"/>
      <c r="BQ252" s="10"/>
    </row>
    <row r="253">
      <c r="A253" s="1">
        <v>5.0</v>
      </c>
      <c r="B253" s="2">
        <v>32411.0</v>
      </c>
      <c r="C253" s="2" t="s">
        <v>76</v>
      </c>
      <c r="D253" s="2" t="s">
        <v>581</v>
      </c>
      <c r="E253" s="93"/>
      <c r="F253" s="93"/>
      <c r="G253" s="93"/>
      <c r="H253" s="93"/>
      <c r="I253" s="3" t="str">
        <f t="shared" si="1"/>
        <v>32411010V</v>
      </c>
      <c r="J253" s="3"/>
      <c r="K253" s="3"/>
      <c r="L253" s="94" t="s">
        <v>582</v>
      </c>
      <c r="M253" s="4">
        <v>2.0</v>
      </c>
      <c r="N253" s="3"/>
      <c r="O253" s="93"/>
      <c r="P253" s="3"/>
      <c r="Q253" s="3"/>
      <c r="R253" s="3"/>
      <c r="S253" s="3"/>
      <c r="T253" s="3"/>
      <c r="U253" s="6">
        <v>1.0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97"/>
      <c r="BO253" s="3"/>
      <c r="BP253" s="3"/>
      <c r="BQ253" s="10"/>
    </row>
    <row r="254">
      <c r="A254" s="1">
        <v>5.0</v>
      </c>
      <c r="B254" s="2">
        <v>32411.0</v>
      </c>
      <c r="C254" s="2" t="s">
        <v>76</v>
      </c>
      <c r="D254" s="2" t="s">
        <v>583</v>
      </c>
      <c r="E254" s="93"/>
      <c r="F254" s="93"/>
      <c r="G254" s="93"/>
      <c r="H254" s="93"/>
      <c r="I254" s="3" t="str">
        <f t="shared" si="1"/>
        <v>32411010W</v>
      </c>
      <c r="J254" s="3"/>
      <c r="K254" s="3"/>
      <c r="L254" s="94" t="s">
        <v>584</v>
      </c>
      <c r="M254" s="4">
        <v>2.0</v>
      </c>
      <c r="N254" s="3"/>
      <c r="O254" s="93"/>
      <c r="P254" s="3"/>
      <c r="Q254" s="3"/>
      <c r="R254" s="3"/>
      <c r="S254" s="3"/>
      <c r="T254" s="3"/>
      <c r="U254" s="6">
        <v>1.0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97"/>
      <c r="BO254" s="3"/>
      <c r="BP254" s="3"/>
      <c r="BQ254" s="10"/>
    </row>
    <row r="255">
      <c r="A255" s="1">
        <v>5.0</v>
      </c>
      <c r="B255" s="2">
        <v>32411.0</v>
      </c>
      <c r="C255" s="2" t="s">
        <v>76</v>
      </c>
      <c r="D255" s="2" t="s">
        <v>585</v>
      </c>
      <c r="E255" s="93"/>
      <c r="F255" s="93"/>
      <c r="G255" s="93"/>
      <c r="H255" s="93"/>
      <c r="I255" s="3" t="str">
        <f t="shared" si="1"/>
        <v>32411010X</v>
      </c>
      <c r="J255" s="3"/>
      <c r="K255" s="3"/>
      <c r="L255" s="94" t="s">
        <v>586</v>
      </c>
      <c r="M255" s="4">
        <v>2.0</v>
      </c>
      <c r="N255" s="3"/>
      <c r="O255" s="93"/>
      <c r="P255" s="3"/>
      <c r="Q255" s="3"/>
      <c r="R255" s="3"/>
      <c r="S255" s="3"/>
      <c r="T255" s="3"/>
      <c r="U255" s="6">
        <v>1.0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97"/>
      <c r="BO255" s="3"/>
      <c r="BP255" s="3"/>
      <c r="BQ255" s="10"/>
    </row>
    <row r="256">
      <c r="A256" s="1">
        <v>5.0</v>
      </c>
      <c r="B256" s="2">
        <v>32411.0</v>
      </c>
      <c r="C256" s="2" t="s">
        <v>76</v>
      </c>
      <c r="D256" s="2" t="s">
        <v>587</v>
      </c>
      <c r="E256" s="93"/>
      <c r="F256" s="93"/>
      <c r="G256" s="93"/>
      <c r="H256" s="93"/>
      <c r="I256" s="3" t="str">
        <f t="shared" si="1"/>
        <v>32411010Y</v>
      </c>
      <c r="J256" s="3"/>
      <c r="K256" s="3"/>
      <c r="L256" s="94" t="s">
        <v>588</v>
      </c>
      <c r="M256" s="4">
        <v>2.0</v>
      </c>
      <c r="N256" s="3"/>
      <c r="O256" s="93"/>
      <c r="P256" s="3"/>
      <c r="Q256" s="3"/>
      <c r="R256" s="3"/>
      <c r="S256" s="3"/>
      <c r="T256" s="3"/>
      <c r="U256" s="6">
        <v>1.0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97"/>
      <c r="BO256" s="3"/>
      <c r="BP256" s="3"/>
      <c r="BQ256" s="10"/>
    </row>
    <row r="257">
      <c r="A257" s="1">
        <v>5.0</v>
      </c>
      <c r="B257" s="2">
        <v>32411.0</v>
      </c>
      <c r="C257" s="2" t="s">
        <v>76</v>
      </c>
      <c r="D257" s="2" t="s">
        <v>589</v>
      </c>
      <c r="E257" s="93"/>
      <c r="F257" s="93"/>
      <c r="G257" s="93"/>
      <c r="H257" s="93"/>
      <c r="I257" s="3" t="str">
        <f t="shared" si="1"/>
        <v>32411010Z</v>
      </c>
      <c r="J257" s="3"/>
      <c r="K257" s="3"/>
      <c r="L257" s="94" t="s">
        <v>590</v>
      </c>
      <c r="M257" s="4">
        <v>2.0</v>
      </c>
      <c r="N257" s="3"/>
      <c r="O257" s="93"/>
      <c r="P257" s="3"/>
      <c r="Q257" s="3"/>
      <c r="R257" s="3"/>
      <c r="S257" s="3"/>
      <c r="T257" s="3"/>
      <c r="U257" s="6">
        <v>1.0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97"/>
      <c r="BO257" s="3"/>
      <c r="BP257" s="3"/>
      <c r="BQ257" s="10"/>
    </row>
    <row r="258">
      <c r="A258" s="1">
        <v>5.0</v>
      </c>
      <c r="B258" s="2">
        <v>32411.0</v>
      </c>
      <c r="C258" s="2" t="s">
        <v>76</v>
      </c>
      <c r="D258" s="2" t="s">
        <v>591</v>
      </c>
      <c r="E258" s="93"/>
      <c r="F258" s="93"/>
      <c r="G258" s="93"/>
      <c r="H258" s="93"/>
      <c r="I258" s="3" t="str">
        <f t="shared" si="1"/>
        <v>324110110</v>
      </c>
      <c r="J258" s="3"/>
      <c r="K258" s="3"/>
      <c r="L258" s="94" t="s">
        <v>592</v>
      </c>
      <c r="M258" s="4">
        <v>2.0</v>
      </c>
      <c r="N258" s="3"/>
      <c r="O258" s="93"/>
      <c r="P258" s="3"/>
      <c r="Q258" s="3"/>
      <c r="R258" s="3"/>
      <c r="S258" s="3"/>
      <c r="T258" s="3"/>
      <c r="U258" s="6">
        <v>1.0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97"/>
      <c r="BO258" s="3"/>
      <c r="BP258" s="3"/>
      <c r="BQ258" s="10"/>
    </row>
    <row r="259">
      <c r="A259" s="1">
        <v>5.0</v>
      </c>
      <c r="B259" s="2">
        <v>32411.0</v>
      </c>
      <c r="C259" s="2" t="s">
        <v>76</v>
      </c>
      <c r="D259" s="2" t="s">
        <v>593</v>
      </c>
      <c r="E259" s="93"/>
      <c r="F259" s="93"/>
      <c r="G259" s="93"/>
      <c r="H259" s="93"/>
      <c r="I259" s="3" t="str">
        <f t="shared" si="1"/>
        <v>324110111</v>
      </c>
      <c r="J259" s="3"/>
      <c r="K259" s="3"/>
      <c r="L259" s="94" t="s">
        <v>594</v>
      </c>
      <c r="M259" s="4">
        <v>2.0</v>
      </c>
      <c r="N259" s="3"/>
      <c r="O259" s="93"/>
      <c r="P259" s="3"/>
      <c r="Q259" s="3"/>
      <c r="R259" s="3"/>
      <c r="S259" s="3"/>
      <c r="T259" s="3"/>
      <c r="U259" s="6">
        <v>2.0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97"/>
      <c r="BO259" s="3"/>
      <c r="BP259" s="3"/>
      <c r="BQ259" s="10"/>
    </row>
    <row r="260">
      <c r="A260" s="1">
        <v>5.0</v>
      </c>
      <c r="B260" s="2">
        <v>32411.0</v>
      </c>
      <c r="C260" s="2" t="s">
        <v>76</v>
      </c>
      <c r="D260" s="2" t="s">
        <v>595</v>
      </c>
      <c r="E260" s="93"/>
      <c r="F260" s="93"/>
      <c r="G260" s="93"/>
      <c r="H260" s="93"/>
      <c r="I260" s="3" t="str">
        <f t="shared" si="1"/>
        <v>324110112</v>
      </c>
      <c r="J260" s="3"/>
      <c r="K260" s="3"/>
      <c r="L260" s="94" t="s">
        <v>596</v>
      </c>
      <c r="M260" s="4">
        <v>2.0</v>
      </c>
      <c r="N260" s="3"/>
      <c r="O260" s="93"/>
      <c r="P260" s="3"/>
      <c r="Q260" s="3"/>
      <c r="R260" s="3"/>
      <c r="S260" s="3"/>
      <c r="T260" s="3"/>
      <c r="U260" s="6">
        <v>1.0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97"/>
      <c r="BO260" s="3"/>
      <c r="BP260" s="3"/>
      <c r="BQ260" s="10"/>
    </row>
    <row r="261">
      <c r="A261" s="1">
        <v>5.0</v>
      </c>
      <c r="B261" s="2">
        <v>32411.0</v>
      </c>
      <c r="C261" s="2" t="s">
        <v>76</v>
      </c>
      <c r="D261" s="2" t="s">
        <v>597</v>
      </c>
      <c r="E261" s="93"/>
      <c r="F261" s="93"/>
      <c r="G261" s="93"/>
      <c r="H261" s="93"/>
      <c r="I261" s="3" t="str">
        <f t="shared" si="1"/>
        <v>324110113</v>
      </c>
      <c r="J261" s="3"/>
      <c r="K261" s="3"/>
      <c r="L261" s="94" t="s">
        <v>598</v>
      </c>
      <c r="M261" s="4">
        <v>2.0</v>
      </c>
      <c r="N261" s="3"/>
      <c r="O261" s="93"/>
      <c r="P261" s="3"/>
      <c r="Q261" s="3"/>
      <c r="R261" s="3"/>
      <c r="S261" s="3"/>
      <c r="T261" s="3"/>
      <c r="U261" s="6">
        <v>1.0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97"/>
      <c r="BO261" s="3"/>
      <c r="BP261" s="3"/>
      <c r="BQ261" s="10"/>
    </row>
    <row r="262">
      <c r="A262" s="1">
        <v>5.0</v>
      </c>
      <c r="B262" s="2">
        <v>32411.0</v>
      </c>
      <c r="C262" s="2" t="s">
        <v>76</v>
      </c>
      <c r="D262" s="2" t="s">
        <v>599</v>
      </c>
      <c r="E262" s="93"/>
      <c r="F262" s="93"/>
      <c r="G262" s="93"/>
      <c r="H262" s="93"/>
      <c r="I262" s="3" t="str">
        <f t="shared" si="1"/>
        <v>324110114</v>
      </c>
      <c r="J262" s="3"/>
      <c r="K262" s="3"/>
      <c r="L262" s="94" t="s">
        <v>600</v>
      </c>
      <c r="M262" s="4">
        <v>2.0</v>
      </c>
      <c r="N262" s="3"/>
      <c r="O262" s="93"/>
      <c r="P262" s="3"/>
      <c r="Q262" s="3"/>
      <c r="R262" s="3"/>
      <c r="S262" s="3"/>
      <c r="T262" s="3"/>
      <c r="U262" s="6">
        <v>2.0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97"/>
      <c r="BO262" s="3"/>
      <c r="BP262" s="3"/>
      <c r="BQ262" s="10"/>
    </row>
    <row r="263">
      <c r="A263" s="1">
        <v>5.0</v>
      </c>
      <c r="B263" s="2">
        <v>32411.0</v>
      </c>
      <c r="C263" s="2" t="s">
        <v>76</v>
      </c>
      <c r="D263" s="2" t="s">
        <v>601</v>
      </c>
      <c r="E263" s="93"/>
      <c r="F263" s="93"/>
      <c r="G263" s="93"/>
      <c r="H263" s="93"/>
      <c r="I263" s="3" t="str">
        <f t="shared" si="1"/>
        <v>324110115</v>
      </c>
      <c r="J263" s="3"/>
      <c r="K263" s="3"/>
      <c r="L263" s="94" t="s">
        <v>602</v>
      </c>
      <c r="M263" s="4">
        <v>2.0</v>
      </c>
      <c r="N263" s="3"/>
      <c r="O263" s="93"/>
      <c r="P263" s="3"/>
      <c r="Q263" s="3"/>
      <c r="R263" s="3"/>
      <c r="S263" s="3"/>
      <c r="T263" s="3"/>
      <c r="U263" s="6">
        <v>1.0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97"/>
      <c r="BO263" s="3"/>
      <c r="BP263" s="3"/>
      <c r="BQ263" s="10"/>
    </row>
    <row r="264">
      <c r="A264" s="1">
        <v>5.0</v>
      </c>
      <c r="B264" s="2">
        <v>32411.0</v>
      </c>
      <c r="C264" s="2" t="s">
        <v>76</v>
      </c>
      <c r="D264" s="2" t="s">
        <v>603</v>
      </c>
      <c r="E264" s="93"/>
      <c r="F264" s="93"/>
      <c r="G264" s="93"/>
      <c r="H264" s="93"/>
      <c r="I264" s="3" t="str">
        <f t="shared" si="1"/>
        <v>324110116</v>
      </c>
      <c r="J264" s="3"/>
      <c r="K264" s="3"/>
      <c r="L264" s="94" t="s">
        <v>604</v>
      </c>
      <c r="M264" s="4">
        <v>2.0</v>
      </c>
      <c r="N264" s="3"/>
      <c r="O264" s="93"/>
      <c r="P264" s="3"/>
      <c r="Q264" s="3"/>
      <c r="R264" s="3"/>
      <c r="S264" s="3"/>
      <c r="T264" s="3"/>
      <c r="U264" s="6">
        <v>1.0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97"/>
      <c r="BO264" s="3"/>
      <c r="BP264" s="3"/>
      <c r="BQ264" s="10"/>
    </row>
    <row r="265">
      <c r="A265" s="1">
        <v>5.0</v>
      </c>
      <c r="B265" s="2">
        <v>32411.0</v>
      </c>
      <c r="C265" s="2" t="s">
        <v>76</v>
      </c>
      <c r="D265" s="2" t="s">
        <v>605</v>
      </c>
      <c r="E265" s="93"/>
      <c r="F265" s="93"/>
      <c r="G265" s="93"/>
      <c r="H265" s="93"/>
      <c r="I265" s="3" t="str">
        <f t="shared" si="1"/>
        <v>324110117</v>
      </c>
      <c r="J265" s="3"/>
      <c r="K265" s="3"/>
      <c r="L265" s="94" t="s">
        <v>606</v>
      </c>
      <c r="M265" s="4">
        <v>2.0</v>
      </c>
      <c r="N265" s="3"/>
      <c r="O265" s="93"/>
      <c r="P265" s="3"/>
      <c r="Q265" s="3"/>
      <c r="R265" s="3"/>
      <c r="S265" s="3"/>
      <c r="T265" s="3"/>
      <c r="U265" s="6">
        <v>1.0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97"/>
      <c r="BO265" s="3"/>
      <c r="BP265" s="3"/>
      <c r="BQ265" s="10"/>
    </row>
    <row r="266">
      <c r="A266" s="1">
        <v>5.0</v>
      </c>
      <c r="B266" s="2">
        <v>32411.0</v>
      </c>
      <c r="C266" s="2" t="s">
        <v>76</v>
      </c>
      <c r="D266" s="2" t="s">
        <v>607</v>
      </c>
      <c r="E266" s="93"/>
      <c r="F266" s="93"/>
      <c r="G266" s="93"/>
      <c r="H266" s="93"/>
      <c r="I266" s="3" t="str">
        <f t="shared" si="1"/>
        <v>324110118</v>
      </c>
      <c r="J266" s="3"/>
      <c r="K266" s="3"/>
      <c r="L266" s="94" t="s">
        <v>608</v>
      </c>
      <c r="M266" s="4">
        <v>2.0</v>
      </c>
      <c r="N266" s="3"/>
      <c r="O266" s="93"/>
      <c r="P266" s="3"/>
      <c r="Q266" s="3"/>
      <c r="R266" s="3"/>
      <c r="S266" s="3"/>
      <c r="T266" s="3"/>
      <c r="U266" s="6">
        <v>1.0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97"/>
      <c r="BO266" s="3"/>
      <c r="BP266" s="3"/>
      <c r="BQ266" s="10"/>
    </row>
    <row r="267">
      <c r="A267" s="1">
        <v>5.0</v>
      </c>
      <c r="B267" s="2">
        <v>32411.0</v>
      </c>
      <c r="C267" s="2" t="s">
        <v>76</v>
      </c>
      <c r="D267" s="2" t="s">
        <v>609</v>
      </c>
      <c r="E267" s="93"/>
      <c r="F267" s="93"/>
      <c r="G267" s="93"/>
      <c r="H267" s="93"/>
      <c r="I267" s="3" t="str">
        <f t="shared" si="1"/>
        <v>324110119</v>
      </c>
      <c r="J267" s="3"/>
      <c r="K267" s="3"/>
      <c r="L267" s="94" t="s">
        <v>610</v>
      </c>
      <c r="M267" s="4">
        <v>2.0</v>
      </c>
      <c r="N267" s="3"/>
      <c r="O267" s="93"/>
      <c r="P267" s="3"/>
      <c r="Q267" s="3"/>
      <c r="R267" s="3"/>
      <c r="S267" s="3"/>
      <c r="T267" s="3"/>
      <c r="U267" s="6">
        <v>1.0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97"/>
      <c r="BO267" s="3"/>
      <c r="BP267" s="3"/>
      <c r="BQ267" s="10"/>
    </row>
    <row r="268">
      <c r="A268" s="1">
        <v>5.0</v>
      </c>
      <c r="B268" s="2">
        <v>32411.0</v>
      </c>
      <c r="C268" s="2" t="s">
        <v>76</v>
      </c>
      <c r="D268" s="2" t="s">
        <v>611</v>
      </c>
      <c r="E268" s="93"/>
      <c r="F268" s="93"/>
      <c r="G268" s="93"/>
      <c r="H268" s="93"/>
      <c r="I268" s="3" t="str">
        <f t="shared" si="1"/>
        <v>32411011A</v>
      </c>
      <c r="J268" s="3"/>
      <c r="K268" s="3"/>
      <c r="L268" s="94" t="s">
        <v>612</v>
      </c>
      <c r="M268" s="4">
        <v>2.0</v>
      </c>
      <c r="N268" s="3"/>
      <c r="O268" s="93"/>
      <c r="P268" s="3"/>
      <c r="Q268" s="3"/>
      <c r="R268" s="3"/>
      <c r="S268" s="3"/>
      <c r="T268" s="3"/>
      <c r="U268" s="6">
        <v>1.0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97"/>
      <c r="BO268" s="3"/>
      <c r="BP268" s="3"/>
      <c r="BQ268" s="10"/>
    </row>
    <row r="269">
      <c r="A269" s="1">
        <v>5.0</v>
      </c>
      <c r="B269" s="2">
        <v>32411.0</v>
      </c>
      <c r="C269" s="2" t="s">
        <v>76</v>
      </c>
      <c r="D269" s="2" t="s">
        <v>613</v>
      </c>
      <c r="E269" s="93"/>
      <c r="F269" s="93"/>
      <c r="G269" s="93"/>
      <c r="H269" s="93"/>
      <c r="I269" s="3" t="str">
        <f t="shared" si="1"/>
        <v>32411011B</v>
      </c>
      <c r="J269" s="3"/>
      <c r="K269" s="3"/>
      <c r="L269" s="94" t="s">
        <v>614</v>
      </c>
      <c r="M269" s="4">
        <v>2.0</v>
      </c>
      <c r="N269" s="3"/>
      <c r="O269" s="93"/>
      <c r="P269" s="3"/>
      <c r="Q269" s="3"/>
      <c r="R269" s="3"/>
      <c r="S269" s="3"/>
      <c r="T269" s="3"/>
      <c r="U269" s="6" t="s">
        <v>79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97"/>
      <c r="BO269" s="3"/>
      <c r="BP269" s="3"/>
      <c r="BQ269" s="10"/>
    </row>
    <row r="270">
      <c r="A270" s="1">
        <v>5.0</v>
      </c>
      <c r="B270" s="2">
        <v>32411.0</v>
      </c>
      <c r="C270" s="2" t="s">
        <v>76</v>
      </c>
      <c r="D270" s="2" t="s">
        <v>615</v>
      </c>
      <c r="E270" s="93"/>
      <c r="F270" s="93"/>
      <c r="G270" s="93"/>
      <c r="H270" s="93"/>
      <c r="I270" s="3" t="str">
        <f t="shared" si="1"/>
        <v>32411011C</v>
      </c>
      <c r="J270" s="3"/>
      <c r="K270" s="3"/>
      <c r="L270" s="94" t="s">
        <v>616</v>
      </c>
      <c r="M270" s="4">
        <v>2.0</v>
      </c>
      <c r="N270" s="3"/>
      <c r="O270" s="93"/>
      <c r="P270" s="3"/>
      <c r="Q270" s="3"/>
      <c r="R270" s="3"/>
      <c r="S270" s="3"/>
      <c r="T270" s="3"/>
      <c r="U270" s="6">
        <v>1.0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97"/>
      <c r="BO270" s="3"/>
      <c r="BP270" s="3"/>
      <c r="BQ270" s="10"/>
    </row>
    <row r="271">
      <c r="A271" s="1">
        <v>5.0</v>
      </c>
      <c r="B271" s="2">
        <v>32411.0</v>
      </c>
      <c r="C271" s="2" t="s">
        <v>76</v>
      </c>
      <c r="D271" s="2" t="s">
        <v>617</v>
      </c>
      <c r="E271" s="93"/>
      <c r="F271" s="93"/>
      <c r="G271" s="93"/>
      <c r="H271" s="93"/>
      <c r="I271" s="3" t="str">
        <f t="shared" si="1"/>
        <v>32411011D</v>
      </c>
      <c r="J271" s="3"/>
      <c r="K271" s="3"/>
      <c r="L271" s="94" t="s">
        <v>618</v>
      </c>
      <c r="M271" s="4">
        <v>2.0</v>
      </c>
      <c r="N271" s="3"/>
      <c r="O271" s="93"/>
      <c r="P271" s="3"/>
      <c r="Q271" s="3"/>
      <c r="R271" s="3"/>
      <c r="S271" s="3"/>
      <c r="T271" s="3"/>
      <c r="U271" s="6">
        <v>1.0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97"/>
      <c r="BO271" s="3"/>
      <c r="BP271" s="3"/>
      <c r="BQ271" s="10"/>
    </row>
    <row r="272">
      <c r="A272" s="1">
        <v>5.0</v>
      </c>
      <c r="B272" s="2">
        <v>32411.0</v>
      </c>
      <c r="C272" s="2" t="s">
        <v>76</v>
      </c>
      <c r="D272" s="2" t="s">
        <v>619</v>
      </c>
      <c r="E272" s="93"/>
      <c r="F272" s="93"/>
      <c r="G272" s="93"/>
      <c r="H272" s="93"/>
      <c r="I272" s="3" t="str">
        <f t="shared" si="1"/>
        <v>32411011E</v>
      </c>
      <c r="J272" s="3"/>
      <c r="K272" s="3"/>
      <c r="L272" s="94" t="s">
        <v>620</v>
      </c>
      <c r="M272" s="4">
        <v>2.0</v>
      </c>
      <c r="N272" s="3"/>
      <c r="O272" s="93"/>
      <c r="P272" s="3"/>
      <c r="Q272" s="3"/>
      <c r="R272" s="3"/>
      <c r="S272" s="3"/>
      <c r="T272" s="3"/>
      <c r="U272" s="6">
        <v>1.0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97"/>
      <c r="BO272" s="3"/>
      <c r="BP272" s="3"/>
      <c r="BQ272" s="10"/>
    </row>
    <row r="273">
      <c r="A273" s="1">
        <v>5.0</v>
      </c>
      <c r="B273" s="2">
        <v>32411.0</v>
      </c>
      <c r="C273" s="2" t="s">
        <v>76</v>
      </c>
      <c r="D273" s="2" t="s">
        <v>621</v>
      </c>
      <c r="E273" s="93"/>
      <c r="F273" s="93"/>
      <c r="G273" s="93"/>
      <c r="H273" s="93"/>
      <c r="I273" s="3" t="str">
        <f t="shared" si="1"/>
        <v>32411011F</v>
      </c>
      <c r="J273" s="3"/>
      <c r="K273" s="3"/>
      <c r="L273" s="94" t="s">
        <v>622</v>
      </c>
      <c r="M273" s="4">
        <v>2.0</v>
      </c>
      <c r="N273" s="3"/>
      <c r="O273" s="93"/>
      <c r="P273" s="3"/>
      <c r="Q273" s="3"/>
      <c r="R273" s="3"/>
      <c r="S273" s="3"/>
      <c r="T273" s="3"/>
      <c r="U273" s="6">
        <v>1.0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97"/>
      <c r="BO273" s="3"/>
      <c r="BP273" s="3"/>
      <c r="BQ273" s="10"/>
    </row>
    <row r="274">
      <c r="A274" s="1">
        <v>4.0</v>
      </c>
      <c r="B274" s="2">
        <v>32411.0</v>
      </c>
      <c r="C274" s="2" t="s">
        <v>119</v>
      </c>
      <c r="D274" s="93"/>
      <c r="E274" s="93"/>
      <c r="F274" s="93"/>
      <c r="G274" s="93"/>
      <c r="H274" s="93"/>
      <c r="I274" s="3" t="str">
        <f t="shared" si="1"/>
        <v>3241102</v>
      </c>
      <c r="J274" s="3"/>
      <c r="K274" s="3"/>
      <c r="L274" s="94" t="s">
        <v>623</v>
      </c>
      <c r="M274" s="4">
        <v>1.0</v>
      </c>
      <c r="N274" s="3"/>
      <c r="O274" s="93"/>
      <c r="P274" s="3"/>
      <c r="Q274" s="3"/>
      <c r="R274" s="3"/>
      <c r="S274" s="3"/>
      <c r="T274" s="3"/>
      <c r="U274" s="6">
        <v>1.0</v>
      </c>
      <c r="V274" s="3"/>
      <c r="W274" s="6" t="s">
        <v>78</v>
      </c>
      <c r="X274" s="3"/>
      <c r="Y274" s="3"/>
      <c r="Z274" s="3"/>
      <c r="AA274" s="96" t="s">
        <v>79</v>
      </c>
      <c r="AB274" s="96" t="s">
        <v>79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6" t="s">
        <v>80</v>
      </c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97"/>
      <c r="BO274" s="3"/>
      <c r="BP274" s="3"/>
      <c r="BQ274" s="10"/>
    </row>
    <row r="275">
      <c r="A275" s="1">
        <v>5.0</v>
      </c>
      <c r="B275" s="2">
        <v>32411.0</v>
      </c>
      <c r="C275" s="2" t="s">
        <v>119</v>
      </c>
      <c r="D275" s="2" t="s">
        <v>76</v>
      </c>
      <c r="E275" s="93"/>
      <c r="F275" s="93"/>
      <c r="G275" s="93"/>
      <c r="H275" s="93"/>
      <c r="I275" s="3" t="str">
        <f t="shared" si="1"/>
        <v>324110201</v>
      </c>
      <c r="J275" s="3"/>
      <c r="K275" s="3"/>
      <c r="L275" s="94" t="s">
        <v>624</v>
      </c>
      <c r="M275" s="4">
        <v>2.0</v>
      </c>
      <c r="N275" s="3"/>
      <c r="O275" s="93"/>
      <c r="P275" s="3"/>
      <c r="Q275" s="3"/>
      <c r="R275" s="3"/>
      <c r="S275" s="3"/>
      <c r="T275" s="3"/>
      <c r="U275" s="6">
        <v>1.0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97"/>
      <c r="BO275" s="3"/>
      <c r="BP275" s="3"/>
      <c r="BQ275" s="10"/>
    </row>
    <row r="276">
      <c r="A276" s="1">
        <v>5.0</v>
      </c>
      <c r="B276" s="2">
        <v>32411.0</v>
      </c>
      <c r="C276" s="2" t="s">
        <v>119</v>
      </c>
      <c r="D276" s="2" t="s">
        <v>119</v>
      </c>
      <c r="E276" s="93"/>
      <c r="F276" s="93"/>
      <c r="G276" s="93"/>
      <c r="H276" s="93"/>
      <c r="I276" s="3" t="str">
        <f t="shared" si="1"/>
        <v>324110202</v>
      </c>
      <c r="J276" s="3"/>
      <c r="K276" s="3"/>
      <c r="L276" s="94" t="s">
        <v>625</v>
      </c>
      <c r="M276" s="4">
        <v>2.0</v>
      </c>
      <c r="N276" s="3"/>
      <c r="O276" s="93"/>
      <c r="P276" s="3"/>
      <c r="Q276" s="3"/>
      <c r="R276" s="3"/>
      <c r="S276" s="3"/>
      <c r="T276" s="3"/>
      <c r="U276" s="6">
        <v>1.0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97"/>
      <c r="BO276" s="3"/>
      <c r="BP276" s="3"/>
      <c r="BQ276" s="10"/>
    </row>
    <row r="277">
      <c r="A277" s="1">
        <v>5.0</v>
      </c>
      <c r="B277" s="2">
        <v>32411.0</v>
      </c>
      <c r="C277" s="2" t="s">
        <v>119</v>
      </c>
      <c r="D277" s="2" t="s">
        <v>124</v>
      </c>
      <c r="E277" s="93"/>
      <c r="F277" s="93"/>
      <c r="G277" s="93"/>
      <c r="H277" s="93"/>
      <c r="I277" s="3" t="str">
        <f t="shared" si="1"/>
        <v>324110203</v>
      </c>
      <c r="J277" s="3"/>
      <c r="K277" s="3"/>
      <c r="L277" s="94" t="s">
        <v>626</v>
      </c>
      <c r="M277" s="4">
        <v>2.0</v>
      </c>
      <c r="N277" s="3"/>
      <c r="O277" s="93"/>
      <c r="P277" s="3"/>
      <c r="Q277" s="3"/>
      <c r="R277" s="3"/>
      <c r="S277" s="3"/>
      <c r="T277" s="3"/>
      <c r="U277" s="6">
        <v>1.0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97"/>
      <c r="BO277" s="3"/>
      <c r="BP277" s="3"/>
      <c r="BQ277" s="10"/>
    </row>
    <row r="278">
      <c r="A278" s="1">
        <v>5.0</v>
      </c>
      <c r="B278" s="2">
        <v>32411.0</v>
      </c>
      <c r="C278" s="2" t="s">
        <v>119</v>
      </c>
      <c r="D278" s="2" t="s">
        <v>127</v>
      </c>
      <c r="E278" s="93"/>
      <c r="F278" s="93"/>
      <c r="G278" s="93"/>
      <c r="H278" s="93"/>
      <c r="I278" s="3" t="str">
        <f t="shared" si="1"/>
        <v>324110204</v>
      </c>
      <c r="J278" s="3"/>
      <c r="K278" s="3"/>
      <c r="L278" s="94" t="s">
        <v>627</v>
      </c>
      <c r="M278" s="4">
        <v>2.0</v>
      </c>
      <c r="N278" s="3"/>
      <c r="O278" s="93"/>
      <c r="P278" s="3"/>
      <c r="Q278" s="3"/>
      <c r="R278" s="3"/>
      <c r="S278" s="3"/>
      <c r="T278" s="3"/>
      <c r="U278" s="6">
        <v>1.0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97"/>
      <c r="BO278" s="3"/>
      <c r="BP278" s="3"/>
      <c r="BQ278" s="10"/>
    </row>
    <row r="279">
      <c r="A279" s="1">
        <v>5.0</v>
      </c>
      <c r="B279" s="2">
        <v>32411.0</v>
      </c>
      <c r="C279" s="2" t="s">
        <v>119</v>
      </c>
      <c r="D279" s="2" t="s">
        <v>91</v>
      </c>
      <c r="E279" s="93"/>
      <c r="F279" s="93"/>
      <c r="G279" s="93"/>
      <c r="H279" s="93"/>
      <c r="I279" s="3" t="str">
        <f t="shared" si="1"/>
        <v>324110205</v>
      </c>
      <c r="J279" s="3"/>
      <c r="K279" s="3"/>
      <c r="L279" s="94" t="s">
        <v>582</v>
      </c>
      <c r="M279" s="4">
        <v>2.0</v>
      </c>
      <c r="N279" s="3"/>
      <c r="O279" s="93"/>
      <c r="P279" s="3"/>
      <c r="Q279" s="3"/>
      <c r="R279" s="3"/>
      <c r="S279" s="3"/>
      <c r="T279" s="3"/>
      <c r="U279" s="6">
        <v>1.0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97"/>
      <c r="BO279" s="3"/>
      <c r="BP279" s="3"/>
      <c r="BQ279" s="10"/>
    </row>
    <row r="280">
      <c r="A280" s="1">
        <v>5.0</v>
      </c>
      <c r="B280" s="2">
        <v>32411.0</v>
      </c>
      <c r="C280" s="2" t="s">
        <v>119</v>
      </c>
      <c r="D280" s="2" t="s">
        <v>133</v>
      </c>
      <c r="E280" s="93"/>
      <c r="F280" s="93"/>
      <c r="G280" s="93"/>
      <c r="H280" s="93"/>
      <c r="I280" s="3" t="str">
        <f t="shared" si="1"/>
        <v>324110206</v>
      </c>
      <c r="J280" s="3"/>
      <c r="K280" s="3"/>
      <c r="L280" s="94" t="s">
        <v>628</v>
      </c>
      <c r="M280" s="4">
        <v>2.0</v>
      </c>
      <c r="N280" s="3"/>
      <c r="O280" s="93"/>
      <c r="P280" s="3"/>
      <c r="Q280" s="3"/>
      <c r="R280" s="3"/>
      <c r="S280" s="3"/>
      <c r="T280" s="3"/>
      <c r="U280" s="6">
        <v>2.0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97"/>
      <c r="BO280" s="3"/>
      <c r="BP280" s="3"/>
      <c r="BQ280" s="10"/>
    </row>
    <row r="281">
      <c r="A281" s="1">
        <v>5.0</v>
      </c>
      <c r="B281" s="2">
        <v>32411.0</v>
      </c>
      <c r="C281" s="2" t="s">
        <v>119</v>
      </c>
      <c r="D281" s="2" t="s">
        <v>136</v>
      </c>
      <c r="E281" s="93"/>
      <c r="F281" s="93"/>
      <c r="G281" s="93"/>
      <c r="H281" s="93"/>
      <c r="I281" s="3" t="str">
        <f t="shared" si="1"/>
        <v>324110207</v>
      </c>
      <c r="J281" s="3"/>
      <c r="K281" s="3"/>
      <c r="L281" s="94" t="s">
        <v>629</v>
      </c>
      <c r="M281" s="4">
        <v>2.0</v>
      </c>
      <c r="N281" s="3"/>
      <c r="O281" s="93"/>
      <c r="P281" s="3"/>
      <c r="Q281" s="3"/>
      <c r="R281" s="3"/>
      <c r="S281" s="3"/>
      <c r="T281" s="3"/>
      <c r="U281" s="6">
        <v>1.0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97"/>
      <c r="BO281" s="3"/>
      <c r="BP281" s="3"/>
      <c r="BQ281" s="10"/>
    </row>
    <row r="282">
      <c r="A282" s="1">
        <v>5.0</v>
      </c>
      <c r="B282" s="2">
        <v>32411.0</v>
      </c>
      <c r="C282" s="2" t="s">
        <v>119</v>
      </c>
      <c r="D282" s="2" t="s">
        <v>138</v>
      </c>
      <c r="E282" s="93"/>
      <c r="F282" s="93"/>
      <c r="G282" s="93"/>
      <c r="H282" s="93"/>
      <c r="I282" s="3" t="str">
        <f t="shared" si="1"/>
        <v>324110208</v>
      </c>
      <c r="J282" s="3"/>
      <c r="K282" s="3"/>
      <c r="L282" s="94" t="s">
        <v>630</v>
      </c>
      <c r="M282" s="4">
        <v>2.0</v>
      </c>
      <c r="N282" s="3"/>
      <c r="O282" s="93"/>
      <c r="P282" s="3"/>
      <c r="Q282" s="3"/>
      <c r="R282" s="3"/>
      <c r="S282" s="3"/>
      <c r="T282" s="3"/>
      <c r="U282" s="6">
        <v>1.0</v>
      </c>
      <c r="V282" s="3"/>
      <c r="W282" s="6" t="s">
        <v>304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97"/>
      <c r="BO282" s="3"/>
      <c r="BP282" s="3"/>
      <c r="BQ282" s="10"/>
    </row>
    <row r="283">
      <c r="A283" s="1">
        <v>4.0</v>
      </c>
      <c r="B283" s="2">
        <v>32411.0</v>
      </c>
      <c r="C283" s="2" t="s">
        <v>124</v>
      </c>
      <c r="D283" s="93"/>
      <c r="E283" s="93"/>
      <c r="F283" s="93"/>
      <c r="G283" s="93"/>
      <c r="H283" s="93"/>
      <c r="I283" s="3" t="str">
        <f t="shared" si="1"/>
        <v>3241103</v>
      </c>
      <c r="J283" s="3"/>
      <c r="K283" s="3"/>
      <c r="L283" s="94" t="s">
        <v>631</v>
      </c>
      <c r="M283" s="4">
        <v>1.0</v>
      </c>
      <c r="N283" s="3"/>
      <c r="O283" s="93"/>
      <c r="P283" s="3"/>
      <c r="Q283" s="3"/>
      <c r="R283" s="3"/>
      <c r="S283" s="3"/>
      <c r="T283" s="3"/>
      <c r="U283" s="6">
        <v>1.0</v>
      </c>
      <c r="V283" s="3"/>
      <c r="W283" s="6" t="s">
        <v>78</v>
      </c>
      <c r="X283" s="3"/>
      <c r="Y283" s="3"/>
      <c r="Z283" s="3"/>
      <c r="AA283" s="96" t="s">
        <v>79</v>
      </c>
      <c r="AB283" s="96" t="s">
        <v>79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6" t="s">
        <v>80</v>
      </c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97"/>
      <c r="BO283" s="3"/>
      <c r="BP283" s="3"/>
      <c r="BQ283" s="10"/>
    </row>
    <row r="284">
      <c r="A284" s="1">
        <v>4.0</v>
      </c>
      <c r="B284" s="2">
        <v>32411.0</v>
      </c>
      <c r="C284" s="2" t="s">
        <v>127</v>
      </c>
      <c r="D284" s="93"/>
      <c r="E284" s="93"/>
      <c r="F284" s="93"/>
      <c r="G284" s="93"/>
      <c r="H284" s="93"/>
      <c r="I284" s="3" t="str">
        <f t="shared" si="1"/>
        <v>3241104</v>
      </c>
      <c r="J284" s="3"/>
      <c r="K284" s="3"/>
      <c r="L284" s="94" t="s">
        <v>632</v>
      </c>
      <c r="M284" s="4">
        <v>1.0</v>
      </c>
      <c r="N284" s="3"/>
      <c r="O284" s="93"/>
      <c r="P284" s="3"/>
      <c r="Q284" s="3"/>
      <c r="R284" s="3"/>
      <c r="S284" s="3"/>
      <c r="T284" s="3"/>
      <c r="U284" s="6">
        <v>1.0</v>
      </c>
      <c r="V284" s="3"/>
      <c r="W284" s="6" t="s">
        <v>78</v>
      </c>
      <c r="X284" s="3"/>
      <c r="Y284" s="3"/>
      <c r="Z284" s="3"/>
      <c r="AA284" s="96" t="s">
        <v>79</v>
      </c>
      <c r="AB284" s="96" t="s">
        <v>79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6" t="s">
        <v>80</v>
      </c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97"/>
      <c r="BO284" s="3"/>
      <c r="BP284" s="3"/>
      <c r="BQ284" s="10"/>
    </row>
    <row r="285">
      <c r="A285" s="1">
        <v>5.0</v>
      </c>
      <c r="B285" s="2">
        <v>32411.0</v>
      </c>
      <c r="C285" s="2" t="s">
        <v>127</v>
      </c>
      <c r="D285" s="2" t="s">
        <v>76</v>
      </c>
      <c r="E285" s="93"/>
      <c r="F285" s="93"/>
      <c r="G285" s="93"/>
      <c r="H285" s="93"/>
      <c r="I285" s="3" t="str">
        <f t="shared" si="1"/>
        <v>324110401</v>
      </c>
      <c r="J285" s="3"/>
      <c r="K285" s="3"/>
      <c r="L285" s="94" t="s">
        <v>633</v>
      </c>
      <c r="M285" s="4">
        <v>2.0</v>
      </c>
      <c r="N285" s="3"/>
      <c r="O285" s="93"/>
      <c r="P285" s="3"/>
      <c r="Q285" s="3"/>
      <c r="R285" s="3"/>
      <c r="S285" s="3"/>
      <c r="T285" s="3"/>
      <c r="U285" s="6">
        <v>1.0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97"/>
      <c r="BO285" s="3"/>
      <c r="BP285" s="3"/>
      <c r="BQ285" s="10"/>
    </row>
    <row r="286">
      <c r="A286" s="1">
        <v>5.0</v>
      </c>
      <c r="B286" s="2">
        <v>32411.0</v>
      </c>
      <c r="C286" s="2" t="s">
        <v>127</v>
      </c>
      <c r="D286" s="2" t="s">
        <v>119</v>
      </c>
      <c r="E286" s="93"/>
      <c r="F286" s="93"/>
      <c r="G286" s="93"/>
      <c r="H286" s="93"/>
      <c r="I286" s="3" t="str">
        <f t="shared" si="1"/>
        <v>324110402</v>
      </c>
      <c r="J286" s="3"/>
      <c r="K286" s="3"/>
      <c r="L286" s="94" t="s">
        <v>598</v>
      </c>
      <c r="M286" s="4">
        <v>2.0</v>
      </c>
      <c r="N286" s="3"/>
      <c r="O286" s="93"/>
      <c r="P286" s="3"/>
      <c r="Q286" s="3"/>
      <c r="R286" s="3"/>
      <c r="S286" s="3"/>
      <c r="T286" s="3"/>
      <c r="U286" s="6">
        <v>1.0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97"/>
      <c r="BO286" s="3"/>
      <c r="BP286" s="3"/>
      <c r="BQ286" s="10"/>
    </row>
    <row r="287">
      <c r="A287" s="1">
        <v>5.0</v>
      </c>
      <c r="B287" s="2">
        <v>32411.0</v>
      </c>
      <c r="C287" s="2" t="s">
        <v>127</v>
      </c>
      <c r="D287" s="2" t="s">
        <v>124</v>
      </c>
      <c r="E287" s="93"/>
      <c r="F287" s="93"/>
      <c r="G287" s="93"/>
      <c r="H287" s="93"/>
      <c r="I287" s="3" t="str">
        <f t="shared" si="1"/>
        <v>324110403</v>
      </c>
      <c r="J287" s="3"/>
      <c r="K287" s="3"/>
      <c r="L287" s="94" t="s">
        <v>596</v>
      </c>
      <c r="M287" s="4">
        <v>2.0</v>
      </c>
      <c r="N287" s="3"/>
      <c r="O287" s="93"/>
      <c r="P287" s="3"/>
      <c r="Q287" s="3"/>
      <c r="R287" s="3"/>
      <c r="S287" s="3"/>
      <c r="T287" s="3"/>
      <c r="U287" s="6">
        <v>1.0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97"/>
      <c r="BO287" s="3"/>
      <c r="BP287" s="3"/>
      <c r="BQ287" s="10"/>
    </row>
    <row r="288">
      <c r="A288" s="1">
        <v>5.0</v>
      </c>
      <c r="B288" s="2">
        <v>32411.0</v>
      </c>
      <c r="C288" s="2" t="s">
        <v>127</v>
      </c>
      <c r="D288" s="2" t="s">
        <v>127</v>
      </c>
      <c r="E288" s="93"/>
      <c r="F288" s="93"/>
      <c r="G288" s="93"/>
      <c r="H288" s="93"/>
      <c r="I288" s="3" t="str">
        <f t="shared" si="1"/>
        <v>324110404</v>
      </c>
      <c r="J288" s="3"/>
      <c r="K288" s="3"/>
      <c r="L288" s="94" t="s">
        <v>569</v>
      </c>
      <c r="M288" s="4">
        <v>2.0</v>
      </c>
      <c r="N288" s="3"/>
      <c r="O288" s="93"/>
      <c r="P288" s="3"/>
      <c r="Q288" s="3"/>
      <c r="R288" s="3"/>
      <c r="S288" s="3"/>
      <c r="T288" s="3"/>
      <c r="U288" s="6">
        <v>1.0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97"/>
      <c r="BO288" s="3"/>
      <c r="BP288" s="3"/>
      <c r="BQ288" s="10"/>
    </row>
    <row r="289">
      <c r="A289" s="1">
        <v>5.0</v>
      </c>
      <c r="B289" s="2">
        <v>32411.0</v>
      </c>
      <c r="C289" s="2" t="s">
        <v>127</v>
      </c>
      <c r="D289" s="2" t="s">
        <v>91</v>
      </c>
      <c r="E289" s="93"/>
      <c r="F289" s="93"/>
      <c r="G289" s="93"/>
      <c r="H289" s="93"/>
      <c r="I289" s="3" t="str">
        <f t="shared" si="1"/>
        <v>324110405</v>
      </c>
      <c r="J289" s="3"/>
      <c r="K289" s="3"/>
      <c r="L289" s="94" t="s">
        <v>634</v>
      </c>
      <c r="M289" s="4">
        <v>2.0</v>
      </c>
      <c r="N289" s="3"/>
      <c r="O289" s="93"/>
      <c r="P289" s="3"/>
      <c r="Q289" s="3"/>
      <c r="R289" s="3"/>
      <c r="S289" s="3"/>
      <c r="T289" s="3"/>
      <c r="U289" s="6">
        <v>1.0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97"/>
      <c r="BO289" s="3"/>
      <c r="BP289" s="3"/>
      <c r="BQ289" s="10"/>
    </row>
    <row r="290">
      <c r="A290" s="1">
        <v>5.0</v>
      </c>
      <c r="B290" s="2">
        <v>32411.0</v>
      </c>
      <c r="C290" s="2" t="s">
        <v>127</v>
      </c>
      <c r="D290" s="2" t="s">
        <v>133</v>
      </c>
      <c r="E290" s="93"/>
      <c r="F290" s="93"/>
      <c r="G290" s="93"/>
      <c r="H290" s="93"/>
      <c r="I290" s="3" t="str">
        <f t="shared" si="1"/>
        <v>324110406</v>
      </c>
      <c r="J290" s="3"/>
      <c r="K290" s="3"/>
      <c r="L290" s="94" t="s">
        <v>635</v>
      </c>
      <c r="M290" s="4">
        <v>2.0</v>
      </c>
      <c r="N290" s="3"/>
      <c r="O290" s="93"/>
      <c r="P290" s="3"/>
      <c r="Q290" s="3"/>
      <c r="R290" s="3"/>
      <c r="S290" s="3"/>
      <c r="T290" s="3"/>
      <c r="U290" s="6">
        <v>1.0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97"/>
      <c r="BO290" s="3"/>
      <c r="BP290" s="3"/>
      <c r="BQ290" s="10"/>
    </row>
    <row r="291">
      <c r="A291" s="1">
        <v>5.0</v>
      </c>
      <c r="B291" s="2">
        <v>32411.0</v>
      </c>
      <c r="C291" s="2" t="s">
        <v>127</v>
      </c>
      <c r="D291" s="2" t="s">
        <v>136</v>
      </c>
      <c r="E291" s="93"/>
      <c r="F291" s="93"/>
      <c r="G291" s="93"/>
      <c r="H291" s="93"/>
      <c r="I291" s="3" t="str">
        <f t="shared" si="1"/>
        <v>324110407</v>
      </c>
      <c r="J291" s="3"/>
      <c r="K291" s="3"/>
      <c r="L291" s="94" t="s">
        <v>636</v>
      </c>
      <c r="M291" s="4">
        <v>2.0</v>
      </c>
      <c r="N291" s="3"/>
      <c r="O291" s="93"/>
      <c r="P291" s="3"/>
      <c r="Q291" s="3"/>
      <c r="R291" s="3"/>
      <c r="S291" s="3"/>
      <c r="T291" s="3"/>
      <c r="U291" s="6">
        <v>1.0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97"/>
      <c r="BO291" s="3"/>
      <c r="BP291" s="3"/>
      <c r="BQ291" s="10"/>
    </row>
    <row r="292">
      <c r="A292" s="1">
        <v>5.0</v>
      </c>
      <c r="B292" s="2">
        <v>32411.0</v>
      </c>
      <c r="C292" s="2" t="s">
        <v>127</v>
      </c>
      <c r="D292" s="2" t="s">
        <v>138</v>
      </c>
      <c r="E292" s="93"/>
      <c r="F292" s="93"/>
      <c r="G292" s="93"/>
      <c r="H292" s="93"/>
      <c r="I292" s="3" t="str">
        <f t="shared" si="1"/>
        <v>324110408</v>
      </c>
      <c r="J292" s="3"/>
      <c r="K292" s="3"/>
      <c r="L292" s="94" t="s">
        <v>588</v>
      </c>
      <c r="M292" s="4">
        <v>2.0</v>
      </c>
      <c r="N292" s="3"/>
      <c r="O292" s="93"/>
      <c r="P292" s="3"/>
      <c r="Q292" s="3"/>
      <c r="R292" s="3"/>
      <c r="S292" s="3"/>
      <c r="T292" s="3"/>
      <c r="U292" s="6">
        <v>1.0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97"/>
      <c r="BO292" s="3"/>
      <c r="BP292" s="3"/>
      <c r="BQ292" s="10"/>
    </row>
    <row r="293">
      <c r="A293" s="1">
        <v>5.0</v>
      </c>
      <c r="B293" s="2">
        <v>32411.0</v>
      </c>
      <c r="C293" s="2" t="s">
        <v>127</v>
      </c>
      <c r="D293" s="2" t="s">
        <v>142</v>
      </c>
      <c r="E293" s="93"/>
      <c r="F293" s="93"/>
      <c r="G293" s="93"/>
      <c r="H293" s="93"/>
      <c r="I293" s="3" t="str">
        <f t="shared" si="1"/>
        <v>324110409</v>
      </c>
      <c r="J293" s="3"/>
      <c r="K293" s="3"/>
      <c r="L293" s="94" t="s">
        <v>637</v>
      </c>
      <c r="M293" s="4">
        <v>2.0</v>
      </c>
      <c r="N293" s="3"/>
      <c r="O293" s="93"/>
      <c r="P293" s="3"/>
      <c r="Q293" s="3"/>
      <c r="R293" s="3"/>
      <c r="S293" s="3"/>
      <c r="T293" s="3"/>
      <c r="U293" s="6">
        <v>1.0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97"/>
      <c r="BO293" s="3"/>
      <c r="BP293" s="3"/>
      <c r="BQ293" s="10"/>
    </row>
    <row r="294">
      <c r="A294" s="1">
        <v>5.0</v>
      </c>
      <c r="B294" s="2">
        <v>32411.0</v>
      </c>
      <c r="C294" s="2" t="s">
        <v>127</v>
      </c>
      <c r="D294" s="2" t="s">
        <v>149</v>
      </c>
      <c r="E294" s="93"/>
      <c r="F294" s="93"/>
      <c r="G294" s="93"/>
      <c r="H294" s="93"/>
      <c r="I294" s="3" t="str">
        <f t="shared" si="1"/>
        <v>32411040A</v>
      </c>
      <c r="J294" s="3"/>
      <c r="K294" s="3"/>
      <c r="L294" s="94" t="s">
        <v>638</v>
      </c>
      <c r="M294" s="4">
        <v>2.0</v>
      </c>
      <c r="N294" s="3"/>
      <c r="O294" s="93"/>
      <c r="P294" s="3"/>
      <c r="Q294" s="3"/>
      <c r="R294" s="3"/>
      <c r="S294" s="3"/>
      <c r="T294" s="3"/>
      <c r="U294" s="6">
        <v>1.0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97"/>
      <c r="BO294" s="3"/>
      <c r="BP294" s="3"/>
      <c r="BQ294" s="10"/>
    </row>
    <row r="295">
      <c r="A295" s="1">
        <v>5.0</v>
      </c>
      <c r="B295" s="2">
        <v>32411.0</v>
      </c>
      <c r="C295" s="2" t="s">
        <v>127</v>
      </c>
      <c r="D295" s="2" t="s">
        <v>151</v>
      </c>
      <c r="E295" s="93"/>
      <c r="F295" s="93"/>
      <c r="G295" s="93"/>
      <c r="H295" s="93"/>
      <c r="I295" s="3" t="str">
        <f t="shared" si="1"/>
        <v>32411040B</v>
      </c>
      <c r="J295" s="3"/>
      <c r="K295" s="3"/>
      <c r="L295" s="94" t="s">
        <v>639</v>
      </c>
      <c r="M295" s="4">
        <v>2.0</v>
      </c>
      <c r="N295" s="3"/>
      <c r="O295" s="93"/>
      <c r="P295" s="3"/>
      <c r="Q295" s="3"/>
      <c r="R295" s="3"/>
      <c r="S295" s="3"/>
      <c r="T295" s="3"/>
      <c r="U295" s="6">
        <v>1.0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97"/>
      <c r="BO295" s="3"/>
      <c r="BP295" s="3"/>
      <c r="BQ295" s="10"/>
    </row>
    <row r="296">
      <c r="A296" s="1">
        <v>5.0</v>
      </c>
      <c r="B296" s="2">
        <v>32411.0</v>
      </c>
      <c r="C296" s="2" t="s">
        <v>127</v>
      </c>
      <c r="D296" s="2" t="s">
        <v>155</v>
      </c>
      <c r="E296" s="93"/>
      <c r="F296" s="93"/>
      <c r="G296" s="93"/>
      <c r="H296" s="93"/>
      <c r="I296" s="3" t="str">
        <f t="shared" si="1"/>
        <v>32411040C</v>
      </c>
      <c r="J296" s="3"/>
      <c r="K296" s="3"/>
      <c r="L296" s="94" t="s">
        <v>622</v>
      </c>
      <c r="M296" s="4">
        <v>2.0</v>
      </c>
      <c r="N296" s="3"/>
      <c r="O296" s="93"/>
      <c r="P296" s="3"/>
      <c r="Q296" s="3"/>
      <c r="R296" s="3"/>
      <c r="S296" s="3"/>
      <c r="T296" s="3"/>
      <c r="U296" s="6">
        <v>1.0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97"/>
      <c r="BO296" s="3"/>
      <c r="BP296" s="3"/>
      <c r="BQ296" s="10"/>
    </row>
    <row r="297">
      <c r="A297" s="1">
        <v>5.0</v>
      </c>
      <c r="B297" s="2">
        <v>32411.0</v>
      </c>
      <c r="C297" s="2" t="s">
        <v>127</v>
      </c>
      <c r="D297" s="2" t="s">
        <v>158</v>
      </c>
      <c r="E297" s="93"/>
      <c r="F297" s="93"/>
      <c r="G297" s="93"/>
      <c r="H297" s="93"/>
      <c r="I297" s="3" t="str">
        <f t="shared" si="1"/>
        <v>32411040D</v>
      </c>
      <c r="J297" s="3"/>
      <c r="K297" s="3"/>
      <c r="L297" s="94" t="s">
        <v>640</v>
      </c>
      <c r="M297" s="4">
        <v>2.0</v>
      </c>
      <c r="N297" s="3"/>
      <c r="O297" s="93"/>
      <c r="P297" s="3"/>
      <c r="Q297" s="3"/>
      <c r="R297" s="3"/>
      <c r="S297" s="3"/>
      <c r="T297" s="3"/>
      <c r="U297" s="6">
        <v>1.0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97"/>
      <c r="BO297" s="3"/>
      <c r="BP297" s="3"/>
      <c r="BQ297" s="10"/>
    </row>
    <row r="298">
      <c r="A298" s="1">
        <v>5.0</v>
      </c>
      <c r="B298" s="2">
        <v>32411.0</v>
      </c>
      <c r="C298" s="2" t="s">
        <v>127</v>
      </c>
      <c r="D298" s="2" t="s">
        <v>162</v>
      </c>
      <c r="E298" s="93"/>
      <c r="F298" s="93"/>
      <c r="G298" s="93"/>
      <c r="H298" s="93"/>
      <c r="I298" s="3" t="str">
        <f t="shared" si="1"/>
        <v>32411040E</v>
      </c>
      <c r="J298" s="3"/>
      <c r="K298" s="3"/>
      <c r="L298" s="94" t="s">
        <v>641</v>
      </c>
      <c r="M298" s="4">
        <v>2.0</v>
      </c>
      <c r="N298" s="3"/>
      <c r="O298" s="93"/>
      <c r="P298" s="3"/>
      <c r="Q298" s="3"/>
      <c r="R298" s="3"/>
      <c r="S298" s="3"/>
      <c r="T298" s="3"/>
      <c r="U298" s="6">
        <v>1.0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97"/>
      <c r="BO298" s="3"/>
      <c r="BP298" s="3"/>
      <c r="BQ298" s="10"/>
    </row>
    <row r="299">
      <c r="A299" s="1">
        <v>5.0</v>
      </c>
      <c r="B299" s="2">
        <v>32411.0</v>
      </c>
      <c r="C299" s="2" t="s">
        <v>127</v>
      </c>
      <c r="D299" s="2" t="s">
        <v>166</v>
      </c>
      <c r="E299" s="93"/>
      <c r="F299" s="93"/>
      <c r="G299" s="93"/>
      <c r="H299" s="93"/>
      <c r="I299" s="3" t="str">
        <f t="shared" si="1"/>
        <v>32411040F</v>
      </c>
      <c r="J299" s="3"/>
      <c r="K299" s="3"/>
      <c r="L299" s="94" t="s">
        <v>642</v>
      </c>
      <c r="M299" s="4">
        <v>2.0</v>
      </c>
      <c r="N299" s="3"/>
      <c r="O299" s="93"/>
      <c r="P299" s="3"/>
      <c r="Q299" s="3"/>
      <c r="R299" s="3"/>
      <c r="S299" s="3"/>
      <c r="T299" s="3"/>
      <c r="U299" s="6">
        <v>1.0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97"/>
      <c r="BO299" s="3"/>
      <c r="BP299" s="3"/>
      <c r="BQ299" s="10"/>
    </row>
    <row r="300">
      <c r="A300" s="1">
        <v>5.0</v>
      </c>
      <c r="B300" s="2">
        <v>32411.0</v>
      </c>
      <c r="C300" s="2" t="s">
        <v>127</v>
      </c>
      <c r="D300" s="2" t="s">
        <v>170</v>
      </c>
      <c r="E300" s="93"/>
      <c r="F300" s="93"/>
      <c r="G300" s="93"/>
      <c r="H300" s="93"/>
      <c r="I300" s="3" t="str">
        <f t="shared" si="1"/>
        <v>32411040G</v>
      </c>
      <c r="J300" s="3"/>
      <c r="K300" s="3"/>
      <c r="L300" s="94" t="s">
        <v>643</v>
      </c>
      <c r="M300" s="4">
        <v>2.0</v>
      </c>
      <c r="N300" s="3"/>
      <c r="O300" s="93"/>
      <c r="P300" s="3"/>
      <c r="Q300" s="3"/>
      <c r="R300" s="3"/>
      <c r="S300" s="3"/>
      <c r="T300" s="3"/>
      <c r="U300" s="6">
        <v>1.0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97"/>
      <c r="BO300" s="3"/>
      <c r="BP300" s="3"/>
      <c r="BQ300" s="10"/>
    </row>
    <row r="301">
      <c r="A301" s="1">
        <v>5.0</v>
      </c>
      <c r="B301" s="2">
        <v>32411.0</v>
      </c>
      <c r="C301" s="2" t="s">
        <v>127</v>
      </c>
      <c r="D301" s="2" t="s">
        <v>173</v>
      </c>
      <c r="E301" s="93"/>
      <c r="F301" s="93"/>
      <c r="G301" s="93"/>
      <c r="H301" s="93"/>
      <c r="I301" s="3" t="str">
        <f t="shared" si="1"/>
        <v>32411040H</v>
      </c>
      <c r="J301" s="3"/>
      <c r="K301" s="3"/>
      <c r="L301" s="94" t="s">
        <v>638</v>
      </c>
      <c r="M301" s="4">
        <v>2.0</v>
      </c>
      <c r="N301" s="3"/>
      <c r="O301" s="93"/>
      <c r="P301" s="3"/>
      <c r="Q301" s="3"/>
      <c r="R301" s="3"/>
      <c r="S301" s="3"/>
      <c r="T301" s="3"/>
      <c r="U301" s="6">
        <v>1.0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97"/>
      <c r="BO301" s="3"/>
      <c r="BP301" s="3"/>
      <c r="BQ301" s="10"/>
    </row>
    <row r="302">
      <c r="A302" s="1">
        <v>5.0</v>
      </c>
      <c r="B302" s="2">
        <v>32411.0</v>
      </c>
      <c r="C302" s="2" t="s">
        <v>127</v>
      </c>
      <c r="D302" s="2" t="s">
        <v>179</v>
      </c>
      <c r="E302" s="93"/>
      <c r="F302" s="93"/>
      <c r="G302" s="93"/>
      <c r="H302" s="93"/>
      <c r="I302" s="3" t="str">
        <f t="shared" si="1"/>
        <v>32411040J</v>
      </c>
      <c r="J302" s="3"/>
      <c r="K302" s="3"/>
      <c r="L302" s="94" t="s">
        <v>644</v>
      </c>
      <c r="M302" s="4">
        <v>2.0</v>
      </c>
      <c r="N302" s="3"/>
      <c r="O302" s="93"/>
      <c r="P302" s="3"/>
      <c r="Q302" s="3"/>
      <c r="R302" s="3"/>
      <c r="S302" s="3"/>
      <c r="T302" s="3"/>
      <c r="U302" s="6" t="s">
        <v>79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97"/>
      <c r="BO302" s="3"/>
      <c r="BP302" s="3"/>
      <c r="BQ302" s="10"/>
    </row>
    <row r="303">
      <c r="A303" s="1">
        <v>4.0</v>
      </c>
      <c r="B303" s="2" t="s">
        <v>548</v>
      </c>
      <c r="C303" s="2" t="s">
        <v>91</v>
      </c>
      <c r="D303" s="93"/>
      <c r="E303" s="93"/>
      <c r="F303" s="93"/>
      <c r="G303" s="93"/>
      <c r="H303" s="93"/>
      <c r="I303" s="3" t="str">
        <f t="shared" si="1"/>
        <v>3241105</v>
      </c>
      <c r="J303" s="3"/>
      <c r="K303" s="3"/>
      <c r="L303" s="94" t="s">
        <v>645</v>
      </c>
      <c r="M303" s="4">
        <v>2.0</v>
      </c>
      <c r="N303" s="3"/>
      <c r="O303" s="93"/>
      <c r="P303" s="3"/>
      <c r="Q303" s="3"/>
      <c r="R303" s="3"/>
      <c r="S303" s="3"/>
      <c r="T303" s="3"/>
      <c r="U303" s="6">
        <v>1.0</v>
      </c>
      <c r="V303" s="3"/>
      <c r="W303" s="6" t="s">
        <v>435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97"/>
      <c r="BO303" s="3"/>
      <c r="BP303" s="3"/>
      <c r="BQ303" s="10"/>
    </row>
    <row r="304">
      <c r="A304" s="1">
        <v>5.0</v>
      </c>
      <c r="B304" s="2" t="s">
        <v>548</v>
      </c>
      <c r="C304" s="2" t="s">
        <v>91</v>
      </c>
      <c r="D304" s="2" t="s">
        <v>76</v>
      </c>
      <c r="E304" s="93"/>
      <c r="F304" s="93"/>
      <c r="G304" s="93"/>
      <c r="H304" s="93"/>
      <c r="I304" s="3" t="str">
        <f t="shared" si="1"/>
        <v>324110501</v>
      </c>
      <c r="J304" s="3"/>
      <c r="K304" s="3"/>
      <c r="L304" s="94" t="s">
        <v>646</v>
      </c>
      <c r="M304" s="4">
        <v>1.0</v>
      </c>
      <c r="N304" s="3"/>
      <c r="O304" s="93"/>
      <c r="P304" s="3"/>
      <c r="Q304" s="3"/>
      <c r="R304" s="3"/>
      <c r="S304" s="3"/>
      <c r="T304" s="3"/>
      <c r="U304" s="6">
        <v>1.0</v>
      </c>
      <c r="V304" s="3"/>
      <c r="W304" s="6" t="s">
        <v>78</v>
      </c>
      <c r="X304" s="3"/>
      <c r="Y304" s="3"/>
      <c r="Z304" s="3"/>
      <c r="AA304" s="96" t="s">
        <v>79</v>
      </c>
      <c r="AB304" s="96" t="s">
        <v>79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6" t="s">
        <v>80</v>
      </c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97"/>
      <c r="BO304" s="3"/>
      <c r="BP304" s="3"/>
      <c r="BQ304" s="10"/>
    </row>
    <row r="305">
      <c r="A305" s="1">
        <v>5.0</v>
      </c>
      <c r="B305" s="2" t="s">
        <v>548</v>
      </c>
      <c r="C305" s="2" t="s">
        <v>91</v>
      </c>
      <c r="D305" s="2" t="s">
        <v>119</v>
      </c>
      <c r="E305" s="93"/>
      <c r="F305" s="93"/>
      <c r="G305" s="93"/>
      <c r="H305" s="93"/>
      <c r="I305" s="3" t="str">
        <f t="shared" si="1"/>
        <v>324110502</v>
      </c>
      <c r="J305" s="3"/>
      <c r="K305" s="3"/>
      <c r="L305" s="94" t="s">
        <v>647</v>
      </c>
      <c r="M305" s="4">
        <v>1.0</v>
      </c>
      <c r="N305" s="3"/>
      <c r="O305" s="93"/>
      <c r="P305" s="3"/>
      <c r="Q305" s="3"/>
      <c r="R305" s="3"/>
      <c r="S305" s="3"/>
      <c r="T305" s="3"/>
      <c r="U305" s="6">
        <v>1.0</v>
      </c>
      <c r="V305" s="3"/>
      <c r="W305" s="6" t="s">
        <v>78</v>
      </c>
      <c r="X305" s="3"/>
      <c r="Y305" s="3"/>
      <c r="Z305" s="3"/>
      <c r="AA305" s="96" t="s">
        <v>79</v>
      </c>
      <c r="AB305" s="96" t="s">
        <v>79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6" t="s">
        <v>80</v>
      </c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97"/>
      <c r="BO305" s="3"/>
      <c r="BP305" s="3"/>
      <c r="BQ305" s="10"/>
    </row>
    <row r="306">
      <c r="A306" s="1">
        <v>5.0</v>
      </c>
      <c r="B306" s="2" t="s">
        <v>548</v>
      </c>
      <c r="C306" s="2" t="s">
        <v>91</v>
      </c>
      <c r="D306" s="2" t="s">
        <v>124</v>
      </c>
      <c r="E306" s="93"/>
      <c r="F306" s="93"/>
      <c r="G306" s="93"/>
      <c r="H306" s="93"/>
      <c r="I306" s="3" t="str">
        <f t="shared" si="1"/>
        <v>324110503</v>
      </c>
      <c r="J306" s="3"/>
      <c r="K306" s="3"/>
      <c r="L306" s="94" t="s">
        <v>648</v>
      </c>
      <c r="M306" s="4">
        <v>1.0</v>
      </c>
      <c r="N306" s="3"/>
      <c r="O306" s="93"/>
      <c r="P306" s="3"/>
      <c r="Q306" s="3"/>
      <c r="R306" s="3"/>
      <c r="S306" s="3"/>
      <c r="T306" s="3"/>
      <c r="U306" s="6">
        <v>1.0</v>
      </c>
      <c r="V306" s="3"/>
      <c r="W306" s="6" t="s">
        <v>78</v>
      </c>
      <c r="X306" s="3"/>
      <c r="Y306" s="3"/>
      <c r="Z306" s="3"/>
      <c r="AA306" s="96" t="s">
        <v>79</v>
      </c>
      <c r="AB306" s="96" t="s">
        <v>79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6" t="s">
        <v>80</v>
      </c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97"/>
      <c r="BO306" s="3"/>
      <c r="BP306" s="3"/>
      <c r="BQ306" s="10"/>
    </row>
    <row r="307">
      <c r="A307" s="45">
        <v>3.0</v>
      </c>
      <c r="B307" s="46">
        <v>32417.0</v>
      </c>
      <c r="C307" s="47"/>
      <c r="D307" s="47"/>
      <c r="E307" s="47"/>
      <c r="F307" s="47"/>
      <c r="G307" s="47"/>
      <c r="H307" s="47"/>
      <c r="I307" s="48" t="str">
        <f t="shared" si="1"/>
        <v>32417</v>
      </c>
      <c r="J307" s="49"/>
      <c r="K307" s="49"/>
      <c r="L307" s="48" t="s">
        <v>649</v>
      </c>
      <c r="M307" s="50">
        <v>1.0</v>
      </c>
      <c r="N307" s="51"/>
      <c r="O307" s="47"/>
      <c r="P307" s="51"/>
      <c r="Q307" s="51"/>
      <c r="R307" s="51"/>
      <c r="S307" s="51"/>
      <c r="T307" s="49"/>
      <c r="U307" s="52">
        <v>1.0</v>
      </c>
      <c r="V307" s="49"/>
      <c r="W307" s="52" t="s">
        <v>70</v>
      </c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51"/>
      <c r="AQ307" s="51"/>
      <c r="AR307" s="51"/>
      <c r="AS307" s="51"/>
      <c r="AT307" s="51"/>
      <c r="AU307" s="51"/>
      <c r="AV307" s="49"/>
      <c r="AW307" s="49"/>
      <c r="AX307" s="49"/>
      <c r="AY307" s="49"/>
      <c r="AZ307" s="49"/>
      <c r="BA307" s="49"/>
      <c r="BB307" s="49"/>
      <c r="BC307" s="49"/>
      <c r="BD307" s="49"/>
      <c r="BE307" s="49"/>
      <c r="BF307" s="49"/>
      <c r="BG307" s="49"/>
      <c r="BH307" s="51"/>
      <c r="BI307" s="51"/>
      <c r="BJ307" s="51"/>
      <c r="BK307" s="51"/>
      <c r="BL307" s="51"/>
      <c r="BM307" s="49"/>
      <c r="BN307" s="53"/>
      <c r="BO307" s="49"/>
      <c r="BP307" s="51"/>
      <c r="BQ307" s="10"/>
    </row>
    <row r="308">
      <c r="A308" s="1">
        <v>4.0</v>
      </c>
      <c r="B308" s="2">
        <v>32417.0</v>
      </c>
      <c r="C308" s="2" t="s">
        <v>76</v>
      </c>
      <c r="D308" s="93"/>
      <c r="E308" s="93"/>
      <c r="F308" s="93"/>
      <c r="G308" s="93"/>
      <c r="H308" s="93"/>
      <c r="I308" s="3" t="str">
        <f t="shared" si="1"/>
        <v>3241701</v>
      </c>
      <c r="J308" s="3"/>
      <c r="K308" s="3"/>
      <c r="L308" s="94" t="s">
        <v>650</v>
      </c>
      <c r="M308" s="4">
        <v>1.0</v>
      </c>
      <c r="N308" s="3"/>
      <c r="O308" s="93"/>
      <c r="P308" s="3"/>
      <c r="Q308" s="3"/>
      <c r="R308" s="3"/>
      <c r="S308" s="3"/>
      <c r="T308" s="3"/>
      <c r="U308" s="6">
        <v>1.0</v>
      </c>
      <c r="V308" s="3"/>
      <c r="W308" s="6" t="s">
        <v>78</v>
      </c>
      <c r="X308" s="3"/>
      <c r="Y308" s="3"/>
      <c r="Z308" s="3"/>
      <c r="AA308" s="96" t="s">
        <v>79</v>
      </c>
      <c r="AB308" s="96" t="s">
        <v>79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6" t="s">
        <v>80</v>
      </c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97"/>
      <c r="BO308" s="3"/>
      <c r="BP308" s="3"/>
      <c r="BQ308" s="10"/>
    </row>
    <row r="309">
      <c r="A309" s="1">
        <v>4.0</v>
      </c>
      <c r="B309" s="2">
        <v>32417.0</v>
      </c>
      <c r="C309" s="2" t="s">
        <v>119</v>
      </c>
      <c r="D309" s="93"/>
      <c r="E309" s="93"/>
      <c r="F309" s="93"/>
      <c r="G309" s="93"/>
      <c r="H309" s="93"/>
      <c r="I309" s="3" t="str">
        <f t="shared" si="1"/>
        <v>3241702</v>
      </c>
      <c r="J309" s="3"/>
      <c r="K309" s="3"/>
      <c r="L309" s="94" t="s">
        <v>651</v>
      </c>
      <c r="M309" s="4">
        <v>1.0</v>
      </c>
      <c r="N309" s="3"/>
      <c r="O309" s="93"/>
      <c r="P309" s="3"/>
      <c r="Q309" s="3"/>
      <c r="R309" s="3"/>
      <c r="S309" s="3"/>
      <c r="T309" s="3"/>
      <c r="U309" s="6">
        <v>1.0</v>
      </c>
      <c r="V309" s="3"/>
      <c r="W309" s="6" t="s">
        <v>78</v>
      </c>
      <c r="X309" s="3"/>
      <c r="Y309" s="3"/>
      <c r="Z309" s="3"/>
      <c r="AA309" s="96" t="s">
        <v>79</v>
      </c>
      <c r="AB309" s="96" t="s">
        <v>79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6" t="s">
        <v>80</v>
      </c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97"/>
      <c r="BO309" s="3"/>
      <c r="BP309" s="3"/>
      <c r="BQ309" s="10"/>
    </row>
    <row r="310">
      <c r="A310" s="45">
        <v>3.0</v>
      </c>
      <c r="B310" s="46">
        <v>32419.0</v>
      </c>
      <c r="C310" s="47"/>
      <c r="D310" s="47"/>
      <c r="E310" s="47"/>
      <c r="F310" s="47"/>
      <c r="G310" s="47"/>
      <c r="H310" s="47"/>
      <c r="I310" s="48" t="str">
        <f t="shared" si="1"/>
        <v>32419</v>
      </c>
      <c r="J310" s="49"/>
      <c r="K310" s="49"/>
      <c r="L310" s="48" t="s">
        <v>652</v>
      </c>
      <c r="M310" s="50">
        <v>1.0</v>
      </c>
      <c r="N310" s="51"/>
      <c r="O310" s="47"/>
      <c r="P310" s="51"/>
      <c r="Q310" s="51"/>
      <c r="R310" s="51"/>
      <c r="S310" s="51"/>
      <c r="T310" s="49"/>
      <c r="U310" s="52">
        <v>1.0</v>
      </c>
      <c r="V310" s="49"/>
      <c r="W310" s="52" t="s">
        <v>70</v>
      </c>
      <c r="X310" s="49"/>
      <c r="Y310" s="49"/>
      <c r="Z310" s="49"/>
      <c r="AA310" s="107" t="s">
        <v>79</v>
      </c>
      <c r="AB310" s="107" t="s">
        <v>79</v>
      </c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52" t="s">
        <v>80</v>
      </c>
      <c r="AQ310" s="51"/>
      <c r="AR310" s="51"/>
      <c r="AS310" s="51"/>
      <c r="AT310" s="51"/>
      <c r="AU310" s="51"/>
      <c r="AV310" s="49"/>
      <c r="AW310" s="49"/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51"/>
      <c r="BI310" s="51"/>
      <c r="BJ310" s="51"/>
      <c r="BK310" s="51"/>
      <c r="BL310" s="51"/>
      <c r="BM310" s="49"/>
      <c r="BN310" s="53"/>
      <c r="BO310" s="49"/>
      <c r="BP310" s="51"/>
      <c r="BQ310" s="10"/>
    </row>
    <row r="311">
      <c r="A311" s="20">
        <v>1.0</v>
      </c>
      <c r="B311" s="21" t="s">
        <v>653</v>
      </c>
      <c r="C311" s="22"/>
      <c r="D311" s="22"/>
      <c r="E311" s="22"/>
      <c r="F311" s="22"/>
      <c r="G311" s="22"/>
      <c r="H311" s="22"/>
      <c r="I311" s="23" t="str">
        <f t="shared" si="1"/>
        <v>33000</v>
      </c>
      <c r="J311" s="24"/>
      <c r="K311" s="24"/>
      <c r="L311" s="23" t="s">
        <v>654</v>
      </c>
      <c r="M311" s="25">
        <v>1.0</v>
      </c>
      <c r="N311" s="24"/>
      <c r="O311" s="22"/>
      <c r="P311" s="24"/>
      <c r="Q311" s="24"/>
      <c r="R311" s="24"/>
      <c r="S311" s="24"/>
      <c r="T311" s="24"/>
      <c r="U311" s="26">
        <v>1.0</v>
      </c>
      <c r="V311" s="24"/>
      <c r="W311" s="26" t="s">
        <v>70</v>
      </c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7"/>
      <c r="BO311" s="24"/>
      <c r="BP311" s="24"/>
      <c r="BQ311" s="10"/>
    </row>
    <row r="312">
      <c r="A312" s="28">
        <v>1.0</v>
      </c>
      <c r="B312" s="29" t="s">
        <v>655</v>
      </c>
      <c r="C312" s="30"/>
      <c r="D312" s="30"/>
      <c r="E312" s="30"/>
      <c r="F312" s="30"/>
      <c r="G312" s="30"/>
      <c r="H312" s="30"/>
      <c r="I312" s="31" t="str">
        <f t="shared" si="1"/>
        <v>33100</v>
      </c>
      <c r="J312" s="74"/>
      <c r="K312" s="74"/>
      <c r="L312" s="31" t="s">
        <v>656</v>
      </c>
      <c r="M312" s="75">
        <v>1.0</v>
      </c>
      <c r="N312" s="32"/>
      <c r="O312" s="30"/>
      <c r="P312" s="32"/>
      <c r="Q312" s="32"/>
      <c r="R312" s="32"/>
      <c r="S312" s="32"/>
      <c r="T312" s="74"/>
      <c r="U312" s="34">
        <v>1.0</v>
      </c>
      <c r="V312" s="74"/>
      <c r="W312" s="34" t="s">
        <v>70</v>
      </c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32"/>
      <c r="AQ312" s="32"/>
      <c r="AR312" s="32"/>
      <c r="AS312" s="32"/>
      <c r="AT312" s="32"/>
      <c r="AU312" s="32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32"/>
      <c r="BI312" s="32"/>
      <c r="BJ312" s="32"/>
      <c r="BK312" s="32"/>
      <c r="BL312" s="32"/>
      <c r="BM312" s="74"/>
      <c r="BN312" s="76"/>
      <c r="BO312" s="74"/>
      <c r="BP312" s="32"/>
      <c r="BQ312" s="10"/>
    </row>
    <row r="313">
      <c r="A313" s="36">
        <v>2.0</v>
      </c>
      <c r="B313" s="37" t="s">
        <v>657</v>
      </c>
      <c r="C313" s="38"/>
      <c r="D313" s="38"/>
      <c r="E313" s="38"/>
      <c r="F313" s="38"/>
      <c r="G313" s="38"/>
      <c r="H313" s="38"/>
      <c r="I313" s="39" t="str">
        <f t="shared" si="1"/>
        <v>33110</v>
      </c>
      <c r="J313" s="40"/>
      <c r="K313" s="40"/>
      <c r="L313" s="39" t="s">
        <v>656</v>
      </c>
      <c r="M313" s="41">
        <v>1.0</v>
      </c>
      <c r="N313" s="42"/>
      <c r="O313" s="38"/>
      <c r="P313" s="42"/>
      <c r="Q313" s="42"/>
      <c r="R313" s="42"/>
      <c r="S313" s="42"/>
      <c r="T313" s="40"/>
      <c r="U313" s="43">
        <v>1.0</v>
      </c>
      <c r="V313" s="40"/>
      <c r="W313" s="43" t="s">
        <v>70</v>
      </c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2"/>
      <c r="AQ313" s="42"/>
      <c r="AR313" s="42"/>
      <c r="AS313" s="42"/>
      <c r="AT313" s="42"/>
      <c r="AU313" s="42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2"/>
      <c r="BI313" s="42"/>
      <c r="BJ313" s="42"/>
      <c r="BK313" s="42"/>
      <c r="BL313" s="42"/>
      <c r="BM313" s="40"/>
      <c r="BN313" s="44"/>
      <c r="BO313" s="40"/>
      <c r="BP313" s="42"/>
      <c r="BQ313" s="10"/>
    </row>
    <row r="314">
      <c r="A314" s="45">
        <v>3.0</v>
      </c>
      <c r="B314" s="46" t="s">
        <v>658</v>
      </c>
      <c r="C314" s="47"/>
      <c r="D314" s="47"/>
      <c r="E314" s="47"/>
      <c r="F314" s="47"/>
      <c r="G314" s="47"/>
      <c r="H314" s="47"/>
      <c r="I314" s="48" t="str">
        <f t="shared" si="1"/>
        <v>33111</v>
      </c>
      <c r="J314" s="49"/>
      <c r="K314" s="49"/>
      <c r="L314" s="48" t="s">
        <v>659</v>
      </c>
      <c r="M314" s="50">
        <v>1.0</v>
      </c>
      <c r="N314" s="51"/>
      <c r="O314" s="47"/>
      <c r="P314" s="51"/>
      <c r="Q314" s="51"/>
      <c r="R314" s="51"/>
      <c r="S314" s="51"/>
      <c r="T314" s="49"/>
      <c r="U314" s="52">
        <v>1.0</v>
      </c>
      <c r="V314" s="49"/>
      <c r="W314" s="52" t="s">
        <v>70</v>
      </c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51"/>
      <c r="AQ314" s="51"/>
      <c r="AR314" s="51"/>
      <c r="AS314" s="51"/>
      <c r="AT314" s="51"/>
      <c r="AU314" s="51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51"/>
      <c r="BI314" s="51"/>
      <c r="BJ314" s="51"/>
      <c r="BK314" s="51"/>
      <c r="BL314" s="51"/>
      <c r="BM314" s="49"/>
      <c r="BN314" s="53"/>
      <c r="BO314" s="49"/>
      <c r="BP314" s="51"/>
      <c r="BQ314" s="10"/>
    </row>
    <row r="315">
      <c r="A315" s="1">
        <v>4.0</v>
      </c>
      <c r="B315" s="2" t="s">
        <v>658</v>
      </c>
      <c r="C315" s="2" t="s">
        <v>76</v>
      </c>
      <c r="D315" s="93"/>
      <c r="E315" s="93"/>
      <c r="F315" s="93"/>
      <c r="G315" s="93"/>
      <c r="H315" s="93"/>
      <c r="I315" s="3" t="str">
        <f t="shared" si="1"/>
        <v>3311101</v>
      </c>
      <c r="J315" s="3"/>
      <c r="K315" s="3"/>
      <c r="L315" s="94" t="s">
        <v>660</v>
      </c>
      <c r="M315" s="4">
        <v>2.0</v>
      </c>
      <c r="N315" s="3"/>
      <c r="O315" s="93"/>
      <c r="P315" s="3"/>
      <c r="Q315" s="3"/>
      <c r="R315" s="3"/>
      <c r="S315" s="3"/>
      <c r="T315" s="3"/>
      <c r="U315" s="6">
        <v>1.0</v>
      </c>
      <c r="V315" s="3"/>
      <c r="W315" s="6" t="s">
        <v>304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97"/>
      <c r="BO315" s="3"/>
      <c r="BP315" s="3"/>
      <c r="BQ315" s="10"/>
    </row>
    <row r="316">
      <c r="A316" s="1">
        <v>4.0</v>
      </c>
      <c r="B316" s="2" t="s">
        <v>658</v>
      </c>
      <c r="C316" s="2" t="s">
        <v>119</v>
      </c>
      <c r="D316" s="93"/>
      <c r="E316" s="93"/>
      <c r="F316" s="93"/>
      <c r="G316" s="93"/>
      <c r="H316" s="93"/>
      <c r="I316" s="3" t="str">
        <f t="shared" si="1"/>
        <v>3311102</v>
      </c>
      <c r="J316" s="3"/>
      <c r="K316" s="3"/>
      <c r="L316" s="94" t="s">
        <v>661</v>
      </c>
      <c r="M316" s="4">
        <v>2.0</v>
      </c>
      <c r="N316" s="3"/>
      <c r="O316" s="93"/>
      <c r="P316" s="3"/>
      <c r="Q316" s="3"/>
      <c r="R316" s="3"/>
      <c r="S316" s="3"/>
      <c r="T316" s="3"/>
      <c r="U316" s="6">
        <v>1.0</v>
      </c>
      <c r="V316" s="3"/>
      <c r="W316" s="6" t="s">
        <v>435</v>
      </c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97"/>
      <c r="BO316" s="3"/>
      <c r="BP316" s="3"/>
      <c r="BQ316" s="10"/>
    </row>
    <row r="317">
      <c r="A317" s="28">
        <v>1.0</v>
      </c>
      <c r="B317" s="29" t="s">
        <v>662</v>
      </c>
      <c r="C317" s="30"/>
      <c r="D317" s="30"/>
      <c r="E317" s="30"/>
      <c r="F317" s="30"/>
      <c r="G317" s="30"/>
      <c r="H317" s="30"/>
      <c r="I317" s="31" t="str">
        <f t="shared" si="1"/>
        <v>33200</v>
      </c>
      <c r="J317" s="74"/>
      <c r="K317" s="74"/>
      <c r="L317" s="31" t="s">
        <v>663</v>
      </c>
      <c r="M317" s="75">
        <v>1.0</v>
      </c>
      <c r="N317" s="32"/>
      <c r="O317" s="30"/>
      <c r="P317" s="32"/>
      <c r="Q317" s="32"/>
      <c r="R317" s="32"/>
      <c r="S317" s="32"/>
      <c r="T317" s="74"/>
      <c r="U317" s="34">
        <v>1.0</v>
      </c>
      <c r="V317" s="74"/>
      <c r="W317" s="34" t="s">
        <v>70</v>
      </c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32"/>
      <c r="AQ317" s="32"/>
      <c r="AR317" s="32"/>
      <c r="AS317" s="32"/>
      <c r="AT317" s="32"/>
      <c r="AU317" s="32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32"/>
      <c r="BI317" s="32"/>
      <c r="BJ317" s="32"/>
      <c r="BK317" s="32"/>
      <c r="BL317" s="32"/>
      <c r="BM317" s="74"/>
      <c r="BN317" s="76"/>
      <c r="BO317" s="74"/>
      <c r="BP317" s="32"/>
      <c r="BQ317" s="10"/>
    </row>
    <row r="318">
      <c r="A318" s="36">
        <v>2.0</v>
      </c>
      <c r="B318" s="37" t="s">
        <v>664</v>
      </c>
      <c r="C318" s="38"/>
      <c r="D318" s="38"/>
      <c r="E318" s="38"/>
      <c r="F318" s="38"/>
      <c r="G318" s="38"/>
      <c r="H318" s="38"/>
      <c r="I318" s="39" t="str">
        <f t="shared" si="1"/>
        <v>33210</v>
      </c>
      <c r="J318" s="40"/>
      <c r="K318" s="40"/>
      <c r="L318" s="39" t="s">
        <v>663</v>
      </c>
      <c r="M318" s="41">
        <v>1.0</v>
      </c>
      <c r="N318" s="42"/>
      <c r="O318" s="38"/>
      <c r="P318" s="42"/>
      <c r="Q318" s="42"/>
      <c r="R318" s="42"/>
      <c r="S318" s="42"/>
      <c r="T318" s="40"/>
      <c r="U318" s="43">
        <v>1.0</v>
      </c>
      <c r="V318" s="40"/>
      <c r="W318" s="43" t="s">
        <v>70</v>
      </c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2"/>
      <c r="AQ318" s="42"/>
      <c r="AR318" s="42"/>
      <c r="AS318" s="42"/>
      <c r="AT318" s="42"/>
      <c r="AU318" s="42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2"/>
      <c r="BI318" s="42"/>
      <c r="BJ318" s="42"/>
      <c r="BK318" s="42"/>
      <c r="BL318" s="42"/>
      <c r="BM318" s="40"/>
      <c r="BN318" s="44"/>
      <c r="BO318" s="40"/>
      <c r="BP318" s="42"/>
      <c r="BQ318" s="10"/>
    </row>
    <row r="319">
      <c r="A319" s="45">
        <v>3.0</v>
      </c>
      <c r="B319" s="46" t="s">
        <v>665</v>
      </c>
      <c r="C319" s="47"/>
      <c r="D319" s="47"/>
      <c r="E319" s="47"/>
      <c r="F319" s="47"/>
      <c r="G319" s="47"/>
      <c r="H319" s="47"/>
      <c r="I319" s="48" t="str">
        <f t="shared" si="1"/>
        <v>33211</v>
      </c>
      <c r="J319" s="49"/>
      <c r="K319" s="49"/>
      <c r="L319" s="48" t="s">
        <v>663</v>
      </c>
      <c r="M319" s="50">
        <v>1.0</v>
      </c>
      <c r="N319" s="51"/>
      <c r="O319" s="47"/>
      <c r="P319" s="51"/>
      <c r="Q319" s="51"/>
      <c r="R319" s="51"/>
      <c r="S319" s="51"/>
      <c r="T319" s="49"/>
      <c r="U319" s="52">
        <v>1.0</v>
      </c>
      <c r="V319" s="49"/>
      <c r="W319" s="52" t="s">
        <v>70</v>
      </c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51"/>
      <c r="AQ319" s="51"/>
      <c r="AR319" s="51"/>
      <c r="AS319" s="51"/>
      <c r="AT319" s="51"/>
      <c r="AU319" s="51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51"/>
      <c r="BI319" s="51"/>
      <c r="BJ319" s="51"/>
      <c r="BK319" s="51"/>
      <c r="BL319" s="51"/>
      <c r="BM319" s="49"/>
      <c r="BN319" s="53"/>
      <c r="BO319" s="49"/>
      <c r="BP319" s="51"/>
      <c r="BQ319" s="10"/>
    </row>
    <row r="320">
      <c r="A320" s="1">
        <v>4.0</v>
      </c>
      <c r="B320" s="2" t="s">
        <v>665</v>
      </c>
      <c r="C320" s="2" t="s">
        <v>76</v>
      </c>
      <c r="D320" s="93"/>
      <c r="E320" s="93"/>
      <c r="F320" s="93"/>
      <c r="G320" s="93"/>
      <c r="H320" s="93"/>
      <c r="I320" s="3" t="str">
        <f t="shared" si="1"/>
        <v>3321101</v>
      </c>
      <c r="J320" s="3"/>
      <c r="K320" s="3"/>
      <c r="L320" s="94" t="s">
        <v>666</v>
      </c>
      <c r="M320" s="4">
        <v>2.0</v>
      </c>
      <c r="N320" s="3"/>
      <c r="O320" s="93"/>
      <c r="P320" s="3"/>
      <c r="Q320" s="3"/>
      <c r="R320" s="3"/>
      <c r="S320" s="3"/>
      <c r="T320" s="3"/>
      <c r="U320" s="6" t="s">
        <v>79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97"/>
      <c r="BO320" s="3"/>
      <c r="BP320" s="3"/>
      <c r="BQ320" s="10"/>
    </row>
    <row r="321">
      <c r="A321" s="1">
        <v>4.0</v>
      </c>
      <c r="B321" s="2" t="s">
        <v>665</v>
      </c>
      <c r="C321" s="2" t="s">
        <v>119</v>
      </c>
      <c r="D321" s="93"/>
      <c r="E321" s="93"/>
      <c r="F321" s="93"/>
      <c r="G321" s="93"/>
      <c r="H321" s="93"/>
      <c r="I321" s="3" t="str">
        <f t="shared" si="1"/>
        <v>3321102</v>
      </c>
      <c r="J321" s="3"/>
      <c r="K321" s="3"/>
      <c r="L321" s="94" t="s">
        <v>667</v>
      </c>
      <c r="M321" s="4">
        <v>2.0</v>
      </c>
      <c r="N321" s="3"/>
      <c r="O321" s="93"/>
      <c r="P321" s="3"/>
      <c r="Q321" s="3"/>
      <c r="R321" s="3"/>
      <c r="S321" s="3"/>
      <c r="T321" s="3"/>
      <c r="U321" s="6" t="s">
        <v>79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97"/>
      <c r="BO321" s="3"/>
      <c r="BP321" s="3"/>
      <c r="BQ321" s="10"/>
    </row>
    <row r="322">
      <c r="A322" s="1">
        <v>4.0</v>
      </c>
      <c r="B322" s="2" t="s">
        <v>665</v>
      </c>
      <c r="C322" s="2" t="s">
        <v>124</v>
      </c>
      <c r="D322" s="93"/>
      <c r="E322" s="93"/>
      <c r="F322" s="93"/>
      <c r="G322" s="93"/>
      <c r="H322" s="93"/>
      <c r="I322" s="3" t="str">
        <f t="shared" si="1"/>
        <v>3321103</v>
      </c>
      <c r="J322" s="3"/>
      <c r="K322" s="3"/>
      <c r="L322" s="94" t="s">
        <v>668</v>
      </c>
      <c r="M322" s="4">
        <v>2.0</v>
      </c>
      <c r="N322" s="3"/>
      <c r="O322" s="93"/>
      <c r="P322" s="3"/>
      <c r="Q322" s="3"/>
      <c r="R322" s="3"/>
      <c r="S322" s="3"/>
      <c r="T322" s="3"/>
      <c r="U322" s="6" t="s">
        <v>79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97"/>
      <c r="BO322" s="3"/>
      <c r="BP322" s="3"/>
      <c r="BQ322" s="10"/>
    </row>
    <row r="323">
      <c r="A323" s="1">
        <v>4.0</v>
      </c>
      <c r="B323" s="2" t="s">
        <v>665</v>
      </c>
      <c r="C323" s="2" t="s">
        <v>127</v>
      </c>
      <c r="D323" s="93"/>
      <c r="E323" s="93"/>
      <c r="F323" s="93"/>
      <c r="G323" s="93"/>
      <c r="H323" s="93"/>
      <c r="I323" s="3" t="str">
        <f t="shared" si="1"/>
        <v>3321104</v>
      </c>
      <c r="J323" s="3"/>
      <c r="K323" s="3"/>
      <c r="L323" s="94" t="s">
        <v>669</v>
      </c>
      <c r="M323" s="4">
        <v>2.0</v>
      </c>
      <c r="N323" s="3"/>
      <c r="O323" s="93"/>
      <c r="P323" s="3"/>
      <c r="Q323" s="3"/>
      <c r="R323" s="3"/>
      <c r="S323" s="3"/>
      <c r="T323" s="3"/>
      <c r="U323" s="6" t="s">
        <v>79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97"/>
      <c r="BO323" s="3"/>
      <c r="BP323" s="3"/>
      <c r="BQ323" s="10"/>
    </row>
    <row r="324">
      <c r="A324" s="1">
        <v>4.0</v>
      </c>
      <c r="B324" s="2" t="s">
        <v>665</v>
      </c>
      <c r="C324" s="2" t="s">
        <v>91</v>
      </c>
      <c r="D324" s="93"/>
      <c r="E324" s="93"/>
      <c r="F324" s="93"/>
      <c r="G324" s="93"/>
      <c r="H324" s="93"/>
      <c r="I324" s="3" t="str">
        <f t="shared" si="1"/>
        <v>3321105</v>
      </c>
      <c r="J324" s="3"/>
      <c r="K324" s="3"/>
      <c r="L324" s="94" t="s">
        <v>670</v>
      </c>
      <c r="M324" s="4">
        <v>2.0</v>
      </c>
      <c r="N324" s="3"/>
      <c r="O324" s="93"/>
      <c r="P324" s="3"/>
      <c r="Q324" s="3"/>
      <c r="R324" s="3"/>
      <c r="S324" s="3"/>
      <c r="T324" s="3"/>
      <c r="U324" s="6" t="s">
        <v>79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97"/>
      <c r="BO324" s="3"/>
      <c r="BP324" s="3"/>
      <c r="BQ324" s="10"/>
    </row>
    <row r="325">
      <c r="A325" s="1">
        <v>4.0</v>
      </c>
      <c r="B325" s="2" t="s">
        <v>665</v>
      </c>
      <c r="C325" s="2" t="s">
        <v>133</v>
      </c>
      <c r="D325" s="93"/>
      <c r="E325" s="93"/>
      <c r="F325" s="93"/>
      <c r="G325" s="93"/>
      <c r="H325" s="93"/>
      <c r="I325" s="3" t="str">
        <f t="shared" si="1"/>
        <v>3321106</v>
      </c>
      <c r="J325" s="3"/>
      <c r="K325" s="3"/>
      <c r="L325" s="94" t="s">
        <v>671</v>
      </c>
      <c r="M325" s="4">
        <v>2.0</v>
      </c>
      <c r="N325" s="3"/>
      <c r="O325" s="93"/>
      <c r="P325" s="3"/>
      <c r="Q325" s="3"/>
      <c r="R325" s="3"/>
      <c r="S325" s="3"/>
      <c r="T325" s="3"/>
      <c r="U325" s="6" t="s">
        <v>79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97"/>
      <c r="BO325" s="3"/>
      <c r="BP325" s="3"/>
      <c r="BQ325" s="10"/>
    </row>
    <row r="326">
      <c r="A326" s="1">
        <v>4.0</v>
      </c>
      <c r="B326" s="2" t="s">
        <v>665</v>
      </c>
      <c r="C326" s="2" t="s">
        <v>136</v>
      </c>
      <c r="D326" s="93"/>
      <c r="E326" s="93"/>
      <c r="F326" s="93"/>
      <c r="G326" s="93"/>
      <c r="H326" s="93"/>
      <c r="I326" s="3" t="str">
        <f t="shared" si="1"/>
        <v>3321107</v>
      </c>
      <c r="J326" s="3"/>
      <c r="K326" s="3"/>
      <c r="L326" s="94" t="s">
        <v>672</v>
      </c>
      <c r="M326" s="4">
        <v>2.0</v>
      </c>
      <c r="N326" s="3"/>
      <c r="O326" s="93"/>
      <c r="P326" s="3"/>
      <c r="Q326" s="3"/>
      <c r="R326" s="3"/>
      <c r="S326" s="3"/>
      <c r="T326" s="3"/>
      <c r="U326" s="6" t="s">
        <v>79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97"/>
      <c r="BO326" s="3"/>
      <c r="BP326" s="3"/>
      <c r="BQ326" s="10"/>
    </row>
    <row r="327">
      <c r="A327" s="1">
        <v>4.0</v>
      </c>
      <c r="B327" s="2" t="s">
        <v>665</v>
      </c>
      <c r="C327" s="2" t="s">
        <v>138</v>
      </c>
      <c r="D327" s="93"/>
      <c r="E327" s="93"/>
      <c r="F327" s="93"/>
      <c r="G327" s="93"/>
      <c r="H327" s="93"/>
      <c r="I327" s="3" t="str">
        <f t="shared" si="1"/>
        <v>3321108</v>
      </c>
      <c r="J327" s="3"/>
      <c r="K327" s="3"/>
      <c r="L327" s="94" t="s">
        <v>673</v>
      </c>
      <c r="M327" s="4">
        <v>2.0</v>
      </c>
      <c r="N327" s="3"/>
      <c r="O327" s="93"/>
      <c r="P327" s="3"/>
      <c r="Q327" s="3"/>
      <c r="R327" s="3"/>
      <c r="S327" s="3"/>
      <c r="T327" s="3"/>
      <c r="U327" s="6" t="s">
        <v>79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97"/>
      <c r="BO327" s="3"/>
      <c r="BP327" s="3"/>
      <c r="BQ327" s="10"/>
    </row>
    <row r="328">
      <c r="A328" s="1">
        <v>4.0</v>
      </c>
      <c r="B328" s="2" t="s">
        <v>665</v>
      </c>
      <c r="C328" s="2" t="s">
        <v>142</v>
      </c>
      <c r="D328" s="93"/>
      <c r="E328" s="93"/>
      <c r="F328" s="93"/>
      <c r="G328" s="93"/>
      <c r="H328" s="93"/>
      <c r="I328" s="3" t="str">
        <f t="shared" si="1"/>
        <v>3321109</v>
      </c>
      <c r="J328" s="3"/>
      <c r="K328" s="3"/>
      <c r="L328" s="94" t="s">
        <v>674</v>
      </c>
      <c r="M328" s="4">
        <v>2.0</v>
      </c>
      <c r="N328" s="3"/>
      <c r="O328" s="93"/>
      <c r="P328" s="3"/>
      <c r="Q328" s="3"/>
      <c r="R328" s="3"/>
      <c r="S328" s="3"/>
      <c r="T328" s="3"/>
      <c r="U328" s="6">
        <v>2.0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97"/>
      <c r="BO328" s="3"/>
      <c r="BP328" s="3"/>
      <c r="BQ328" s="10"/>
    </row>
    <row r="329">
      <c r="A329" s="1">
        <v>4.0</v>
      </c>
      <c r="B329" s="2" t="s">
        <v>665</v>
      </c>
      <c r="C329" s="2" t="s">
        <v>149</v>
      </c>
      <c r="D329" s="93"/>
      <c r="E329" s="93"/>
      <c r="F329" s="93"/>
      <c r="G329" s="93"/>
      <c r="H329" s="93"/>
      <c r="I329" s="3" t="str">
        <f t="shared" si="1"/>
        <v>332110A</v>
      </c>
      <c r="J329" s="3"/>
      <c r="K329" s="3"/>
      <c r="L329" s="94" t="s">
        <v>675</v>
      </c>
      <c r="M329" s="4">
        <v>2.0</v>
      </c>
      <c r="N329" s="3"/>
      <c r="O329" s="93"/>
      <c r="P329" s="3"/>
      <c r="Q329" s="3"/>
      <c r="R329" s="3"/>
      <c r="S329" s="3"/>
      <c r="T329" s="3"/>
      <c r="U329" s="6">
        <v>2.0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97"/>
      <c r="BO329" s="3"/>
      <c r="BP329" s="3"/>
      <c r="BQ329" s="10"/>
    </row>
    <row r="330">
      <c r="A330" s="1">
        <v>4.0</v>
      </c>
      <c r="B330" s="2" t="s">
        <v>665</v>
      </c>
      <c r="C330" s="2" t="s">
        <v>151</v>
      </c>
      <c r="D330" s="93"/>
      <c r="E330" s="93"/>
      <c r="F330" s="93"/>
      <c r="G330" s="93"/>
      <c r="H330" s="93"/>
      <c r="I330" s="3" t="str">
        <f t="shared" si="1"/>
        <v>332110B</v>
      </c>
      <c r="J330" s="3"/>
      <c r="K330" s="3"/>
      <c r="L330" s="94" t="s">
        <v>676</v>
      </c>
      <c r="M330" s="4">
        <v>2.0</v>
      </c>
      <c r="N330" s="3"/>
      <c r="O330" s="93"/>
      <c r="P330" s="3"/>
      <c r="Q330" s="3"/>
      <c r="R330" s="3"/>
      <c r="S330" s="3"/>
      <c r="T330" s="3"/>
      <c r="U330" s="6">
        <v>2.0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97"/>
      <c r="BO330" s="3"/>
      <c r="BP330" s="3"/>
      <c r="BQ330" s="10"/>
    </row>
    <row r="331">
      <c r="A331" s="1">
        <v>4.0</v>
      </c>
      <c r="B331" s="2" t="s">
        <v>665</v>
      </c>
      <c r="C331" s="2" t="s">
        <v>155</v>
      </c>
      <c r="D331" s="93"/>
      <c r="E331" s="93"/>
      <c r="F331" s="93"/>
      <c r="G331" s="93"/>
      <c r="H331" s="93"/>
      <c r="I331" s="3" t="str">
        <f t="shared" si="1"/>
        <v>332110C</v>
      </c>
      <c r="J331" s="3"/>
      <c r="K331" s="3"/>
      <c r="L331" s="94" t="s">
        <v>677</v>
      </c>
      <c r="M331" s="4">
        <v>2.0</v>
      </c>
      <c r="N331" s="3"/>
      <c r="O331" s="93"/>
      <c r="P331" s="3"/>
      <c r="Q331" s="3"/>
      <c r="R331" s="3"/>
      <c r="S331" s="3"/>
      <c r="T331" s="3"/>
      <c r="U331" s="6">
        <v>1.0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97"/>
      <c r="BO331" s="3"/>
      <c r="BP331" s="3"/>
      <c r="BQ331" s="10"/>
    </row>
    <row r="332">
      <c r="A332" s="1">
        <v>4.0</v>
      </c>
      <c r="B332" s="2" t="s">
        <v>665</v>
      </c>
      <c r="C332" s="2" t="s">
        <v>158</v>
      </c>
      <c r="D332" s="93"/>
      <c r="E332" s="93"/>
      <c r="F332" s="93"/>
      <c r="G332" s="93"/>
      <c r="H332" s="93"/>
      <c r="I332" s="3" t="str">
        <f t="shared" si="1"/>
        <v>332110D</v>
      </c>
      <c r="J332" s="3"/>
      <c r="K332" s="3"/>
      <c r="L332" s="94" t="s">
        <v>678</v>
      </c>
      <c r="M332" s="4">
        <v>2.0</v>
      </c>
      <c r="N332" s="3"/>
      <c r="O332" s="93"/>
      <c r="P332" s="3"/>
      <c r="Q332" s="3"/>
      <c r="R332" s="3"/>
      <c r="S332" s="3"/>
      <c r="T332" s="3"/>
      <c r="U332" s="6">
        <v>1.0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97"/>
      <c r="BO332" s="3"/>
      <c r="BP332" s="3"/>
      <c r="BQ332" s="10"/>
    </row>
    <row r="333">
      <c r="A333" s="20">
        <v>1.0</v>
      </c>
      <c r="B333" s="21" t="s">
        <v>679</v>
      </c>
      <c r="C333" s="22"/>
      <c r="D333" s="22"/>
      <c r="E333" s="22"/>
      <c r="F333" s="22"/>
      <c r="G333" s="22"/>
      <c r="H333" s="22"/>
      <c r="I333" s="23" t="str">
        <f t="shared" si="1"/>
        <v>39000</v>
      </c>
      <c r="J333" s="24"/>
      <c r="K333" s="24"/>
      <c r="L333" s="23" t="s">
        <v>69</v>
      </c>
      <c r="M333" s="25">
        <v>1.0</v>
      </c>
      <c r="N333" s="24"/>
      <c r="O333" s="22"/>
      <c r="P333" s="24"/>
      <c r="Q333" s="24"/>
      <c r="R333" s="24"/>
      <c r="S333" s="24"/>
      <c r="T333" s="24"/>
      <c r="U333" s="26">
        <v>1.0</v>
      </c>
      <c r="V333" s="24"/>
      <c r="W333" s="26" t="s">
        <v>70</v>
      </c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7"/>
      <c r="BO333" s="24"/>
      <c r="BP333" s="24"/>
      <c r="BQ333" s="10"/>
    </row>
    <row r="334">
      <c r="A334" s="28">
        <v>1.0</v>
      </c>
      <c r="B334" s="29" t="s">
        <v>680</v>
      </c>
      <c r="C334" s="30"/>
      <c r="D334" s="30"/>
      <c r="E334" s="30"/>
      <c r="F334" s="30"/>
      <c r="G334" s="30"/>
      <c r="H334" s="30"/>
      <c r="I334" s="31" t="str">
        <f t="shared" si="1"/>
        <v>39900</v>
      </c>
      <c r="J334" s="74"/>
      <c r="K334" s="74"/>
      <c r="L334" s="31" t="s">
        <v>681</v>
      </c>
      <c r="M334" s="75">
        <v>1.0</v>
      </c>
      <c r="N334" s="32"/>
      <c r="O334" s="30"/>
      <c r="P334" s="32"/>
      <c r="Q334" s="32"/>
      <c r="R334" s="32"/>
      <c r="S334" s="32"/>
      <c r="T334" s="74"/>
      <c r="U334" s="34">
        <v>1.0</v>
      </c>
      <c r="V334" s="74"/>
      <c r="W334" s="34" t="s">
        <v>70</v>
      </c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32"/>
      <c r="AQ334" s="32"/>
      <c r="AR334" s="32"/>
      <c r="AS334" s="32"/>
      <c r="AT334" s="32"/>
      <c r="AU334" s="32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32"/>
      <c r="BI334" s="32"/>
      <c r="BJ334" s="32"/>
      <c r="BK334" s="32"/>
      <c r="BL334" s="32"/>
      <c r="BM334" s="74"/>
      <c r="BN334" s="76"/>
      <c r="BO334" s="74"/>
      <c r="BP334" s="32"/>
      <c r="BQ334" s="10"/>
    </row>
    <row r="335">
      <c r="A335" s="36">
        <v>2.0</v>
      </c>
      <c r="B335" s="37" t="s">
        <v>682</v>
      </c>
      <c r="C335" s="38"/>
      <c r="D335" s="38"/>
      <c r="E335" s="38"/>
      <c r="F335" s="38"/>
      <c r="G335" s="38"/>
      <c r="H335" s="38"/>
      <c r="I335" s="39" t="str">
        <f t="shared" si="1"/>
        <v>39910</v>
      </c>
      <c r="J335" s="40"/>
      <c r="K335" s="40"/>
      <c r="L335" s="39" t="s">
        <v>681</v>
      </c>
      <c r="M335" s="41">
        <v>1.0</v>
      </c>
      <c r="N335" s="42"/>
      <c r="O335" s="38"/>
      <c r="P335" s="42"/>
      <c r="Q335" s="42"/>
      <c r="R335" s="42"/>
      <c r="S335" s="42"/>
      <c r="T335" s="40"/>
      <c r="U335" s="43">
        <v>1.0</v>
      </c>
      <c r="V335" s="40"/>
      <c r="W335" s="43" t="s">
        <v>70</v>
      </c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2"/>
      <c r="AQ335" s="42"/>
      <c r="AR335" s="42"/>
      <c r="AS335" s="42"/>
      <c r="AT335" s="42"/>
      <c r="AU335" s="42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2"/>
      <c r="BI335" s="42"/>
      <c r="BJ335" s="42"/>
      <c r="BK335" s="42"/>
      <c r="BL335" s="42"/>
      <c r="BM335" s="40"/>
      <c r="BN335" s="44"/>
      <c r="BO335" s="40"/>
      <c r="BP335" s="42"/>
      <c r="BQ335" s="10"/>
    </row>
    <row r="336">
      <c r="A336" s="45">
        <v>3.0</v>
      </c>
      <c r="B336" s="46" t="s">
        <v>683</v>
      </c>
      <c r="C336" s="47"/>
      <c r="D336" s="47"/>
      <c r="E336" s="47"/>
      <c r="F336" s="47"/>
      <c r="G336" s="47"/>
      <c r="H336" s="47"/>
      <c r="I336" s="48" t="str">
        <f t="shared" si="1"/>
        <v>39911</v>
      </c>
      <c r="J336" s="49"/>
      <c r="K336" s="49"/>
      <c r="L336" s="48" t="s">
        <v>681</v>
      </c>
      <c r="M336" s="50">
        <v>1.0</v>
      </c>
      <c r="N336" s="51"/>
      <c r="O336" s="47"/>
      <c r="P336" s="51"/>
      <c r="Q336" s="51"/>
      <c r="R336" s="51"/>
      <c r="S336" s="51"/>
      <c r="T336" s="49"/>
      <c r="U336" s="52">
        <v>1.0</v>
      </c>
      <c r="V336" s="49"/>
      <c r="W336" s="52" t="s">
        <v>70</v>
      </c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51"/>
      <c r="AQ336" s="51"/>
      <c r="AR336" s="51"/>
      <c r="AS336" s="51"/>
      <c r="AT336" s="51"/>
      <c r="AU336" s="51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51"/>
      <c r="BI336" s="51"/>
      <c r="BJ336" s="51"/>
      <c r="BK336" s="51"/>
      <c r="BL336" s="51"/>
      <c r="BM336" s="49"/>
      <c r="BN336" s="53"/>
      <c r="BO336" s="49"/>
      <c r="BP336" s="51"/>
      <c r="BQ336" s="10"/>
    </row>
    <row r="337">
      <c r="A337" s="1">
        <v>4.0</v>
      </c>
      <c r="B337" s="2">
        <v>39911.0</v>
      </c>
      <c r="C337" s="2" t="s">
        <v>76</v>
      </c>
      <c r="D337" s="93"/>
      <c r="E337" s="93"/>
      <c r="F337" s="93"/>
      <c r="G337" s="93"/>
      <c r="H337" s="93"/>
      <c r="I337" s="3" t="str">
        <f t="shared" si="1"/>
        <v>3991101</v>
      </c>
      <c r="J337" s="3"/>
      <c r="K337" s="3"/>
      <c r="L337" s="94" t="s">
        <v>684</v>
      </c>
      <c r="M337" s="4">
        <v>2.0</v>
      </c>
      <c r="N337" s="3"/>
      <c r="O337" s="93"/>
      <c r="P337" s="3"/>
      <c r="Q337" s="3"/>
      <c r="R337" s="3"/>
      <c r="S337" s="3"/>
      <c r="T337" s="3"/>
      <c r="U337" s="6" t="s">
        <v>79</v>
      </c>
      <c r="V337" s="3"/>
      <c r="W337" s="6" t="s">
        <v>447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97"/>
      <c r="BO337" s="3"/>
      <c r="BP337" s="3"/>
      <c r="BQ337" s="10"/>
    </row>
    <row r="338">
      <c r="A338" s="1">
        <v>5.0</v>
      </c>
      <c r="B338" s="2">
        <v>39911.0</v>
      </c>
      <c r="C338" s="2" t="s">
        <v>76</v>
      </c>
      <c r="D338" s="2" t="s">
        <v>76</v>
      </c>
      <c r="E338" s="93"/>
      <c r="F338" s="93"/>
      <c r="G338" s="93"/>
      <c r="H338" s="93"/>
      <c r="I338" s="3" t="str">
        <f t="shared" si="1"/>
        <v>399110101</v>
      </c>
      <c r="J338" s="3"/>
      <c r="K338" s="3"/>
      <c r="L338" s="94" t="s">
        <v>685</v>
      </c>
      <c r="M338" s="4">
        <v>2.0</v>
      </c>
      <c r="N338" s="3"/>
      <c r="O338" s="93"/>
      <c r="P338" s="3"/>
      <c r="Q338" s="3"/>
      <c r="R338" s="3"/>
      <c r="S338" s="3"/>
      <c r="T338" s="3"/>
      <c r="U338" s="6">
        <v>1.0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97"/>
      <c r="BO338" s="3"/>
      <c r="BP338" s="3"/>
      <c r="BQ338" s="10"/>
    </row>
    <row r="339">
      <c r="A339" s="1">
        <v>5.0</v>
      </c>
      <c r="B339" s="2">
        <v>39911.0</v>
      </c>
      <c r="C339" s="2" t="s">
        <v>76</v>
      </c>
      <c r="D339" s="2" t="s">
        <v>119</v>
      </c>
      <c r="E339" s="93"/>
      <c r="F339" s="93"/>
      <c r="G339" s="93"/>
      <c r="H339" s="93"/>
      <c r="I339" s="3" t="str">
        <f t="shared" si="1"/>
        <v>399110102</v>
      </c>
      <c r="J339" s="3"/>
      <c r="K339" s="3"/>
      <c r="L339" s="94" t="s">
        <v>686</v>
      </c>
      <c r="M339" s="4">
        <v>2.0</v>
      </c>
      <c r="N339" s="3"/>
      <c r="O339" s="93"/>
      <c r="P339" s="3"/>
      <c r="Q339" s="3"/>
      <c r="R339" s="3"/>
      <c r="S339" s="3"/>
      <c r="T339" s="3"/>
      <c r="U339" s="6">
        <v>1.0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97"/>
      <c r="BO339" s="3"/>
      <c r="BP339" s="3"/>
      <c r="BQ339" s="10"/>
    </row>
    <row r="340">
      <c r="A340" s="1">
        <v>5.0</v>
      </c>
      <c r="B340" s="2">
        <v>39911.0</v>
      </c>
      <c r="C340" s="2" t="s">
        <v>76</v>
      </c>
      <c r="D340" s="2" t="s">
        <v>124</v>
      </c>
      <c r="E340" s="93"/>
      <c r="F340" s="93"/>
      <c r="G340" s="93"/>
      <c r="H340" s="93"/>
      <c r="I340" s="3" t="str">
        <f t="shared" si="1"/>
        <v>399110103</v>
      </c>
      <c r="J340" s="3"/>
      <c r="K340" s="3"/>
      <c r="L340" s="94" t="s">
        <v>687</v>
      </c>
      <c r="M340" s="4">
        <v>2.0</v>
      </c>
      <c r="N340" s="3"/>
      <c r="O340" s="93"/>
      <c r="P340" s="3"/>
      <c r="Q340" s="3"/>
      <c r="R340" s="3"/>
      <c r="S340" s="3"/>
      <c r="T340" s="3"/>
      <c r="U340" s="6">
        <v>1.0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97"/>
      <c r="BO340" s="3"/>
      <c r="BP340" s="3"/>
      <c r="BQ340" s="10"/>
    </row>
    <row r="341">
      <c r="A341" s="1">
        <v>5.0</v>
      </c>
      <c r="B341" s="2">
        <v>39911.0</v>
      </c>
      <c r="C341" s="2" t="s">
        <v>76</v>
      </c>
      <c r="D341" s="2" t="s">
        <v>127</v>
      </c>
      <c r="E341" s="93"/>
      <c r="F341" s="93"/>
      <c r="G341" s="93"/>
      <c r="H341" s="93"/>
      <c r="I341" s="3" t="str">
        <f t="shared" si="1"/>
        <v>399110104</v>
      </c>
      <c r="J341" s="3"/>
      <c r="K341" s="3"/>
      <c r="L341" s="94" t="s">
        <v>688</v>
      </c>
      <c r="M341" s="4">
        <v>2.0</v>
      </c>
      <c r="N341" s="3"/>
      <c r="O341" s="93"/>
      <c r="P341" s="3"/>
      <c r="Q341" s="3"/>
      <c r="R341" s="3"/>
      <c r="S341" s="3"/>
      <c r="T341" s="3"/>
      <c r="U341" s="6">
        <v>1.0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97"/>
      <c r="BO341" s="3"/>
      <c r="BP341" s="3"/>
      <c r="BQ341" s="10"/>
    </row>
    <row r="342">
      <c r="A342" s="1">
        <v>5.0</v>
      </c>
      <c r="B342" s="2">
        <v>39911.0</v>
      </c>
      <c r="C342" s="2" t="s">
        <v>76</v>
      </c>
      <c r="D342" s="2" t="s">
        <v>91</v>
      </c>
      <c r="E342" s="93"/>
      <c r="F342" s="93"/>
      <c r="G342" s="93"/>
      <c r="H342" s="93"/>
      <c r="I342" s="3" t="str">
        <f t="shared" si="1"/>
        <v>399110105</v>
      </c>
      <c r="J342" s="3"/>
      <c r="K342" s="3"/>
      <c r="L342" s="94" t="s">
        <v>689</v>
      </c>
      <c r="M342" s="4">
        <v>2.0</v>
      </c>
      <c r="N342" s="3"/>
      <c r="O342" s="93"/>
      <c r="P342" s="3"/>
      <c r="Q342" s="3"/>
      <c r="R342" s="3"/>
      <c r="S342" s="3"/>
      <c r="T342" s="3"/>
      <c r="U342" s="6">
        <v>1.0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97"/>
      <c r="BO342" s="3"/>
      <c r="BP342" s="3"/>
      <c r="BQ342" s="10"/>
    </row>
    <row r="343">
      <c r="A343" s="1">
        <v>5.0</v>
      </c>
      <c r="B343" s="2">
        <v>39911.0</v>
      </c>
      <c r="C343" s="2" t="s">
        <v>76</v>
      </c>
      <c r="D343" s="2" t="s">
        <v>133</v>
      </c>
      <c r="E343" s="93"/>
      <c r="F343" s="93"/>
      <c r="G343" s="93"/>
      <c r="H343" s="93"/>
      <c r="I343" s="3" t="str">
        <f t="shared" si="1"/>
        <v>399110106</v>
      </c>
      <c r="J343" s="3"/>
      <c r="K343" s="3"/>
      <c r="L343" s="94" t="s">
        <v>690</v>
      </c>
      <c r="M343" s="4">
        <v>2.0</v>
      </c>
      <c r="N343" s="3"/>
      <c r="O343" s="93"/>
      <c r="P343" s="3"/>
      <c r="Q343" s="3"/>
      <c r="R343" s="3"/>
      <c r="S343" s="3"/>
      <c r="T343" s="3"/>
      <c r="U343" s="6">
        <v>1.0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97"/>
      <c r="BO343" s="3"/>
      <c r="BP343" s="3"/>
      <c r="BQ343" s="10"/>
    </row>
    <row r="344">
      <c r="A344" s="1">
        <v>5.0</v>
      </c>
      <c r="B344" s="2">
        <v>39911.0</v>
      </c>
      <c r="C344" s="2" t="s">
        <v>76</v>
      </c>
      <c r="D344" s="2" t="s">
        <v>136</v>
      </c>
      <c r="E344" s="93"/>
      <c r="F344" s="93"/>
      <c r="G344" s="93"/>
      <c r="H344" s="93"/>
      <c r="I344" s="3" t="str">
        <f t="shared" si="1"/>
        <v>399110107</v>
      </c>
      <c r="J344" s="3"/>
      <c r="K344" s="3"/>
      <c r="L344" s="94" t="s">
        <v>691</v>
      </c>
      <c r="M344" s="4">
        <v>2.0</v>
      </c>
      <c r="N344" s="3"/>
      <c r="O344" s="93"/>
      <c r="P344" s="3"/>
      <c r="Q344" s="3"/>
      <c r="R344" s="3"/>
      <c r="S344" s="3"/>
      <c r="T344" s="3"/>
      <c r="U344" s="6">
        <v>1.0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97"/>
      <c r="BO344" s="3"/>
      <c r="BP344" s="3"/>
      <c r="BQ344" s="10"/>
    </row>
    <row r="345">
      <c r="A345" s="1">
        <v>5.0</v>
      </c>
      <c r="B345" s="2">
        <v>39911.0</v>
      </c>
      <c r="C345" s="2" t="s">
        <v>76</v>
      </c>
      <c r="D345" s="2" t="s">
        <v>138</v>
      </c>
      <c r="E345" s="93"/>
      <c r="F345" s="93"/>
      <c r="G345" s="93"/>
      <c r="H345" s="93"/>
      <c r="I345" s="3" t="str">
        <f t="shared" si="1"/>
        <v>399110108</v>
      </c>
      <c r="J345" s="3"/>
      <c r="K345" s="3"/>
      <c r="L345" s="94" t="s">
        <v>692</v>
      </c>
      <c r="M345" s="4">
        <v>2.0</v>
      </c>
      <c r="N345" s="3"/>
      <c r="O345" s="93"/>
      <c r="P345" s="3"/>
      <c r="Q345" s="3"/>
      <c r="R345" s="3"/>
      <c r="S345" s="3"/>
      <c r="T345" s="3"/>
      <c r="U345" s="6">
        <v>2.0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97"/>
      <c r="BO345" s="3"/>
      <c r="BP345" s="3"/>
      <c r="BQ345" s="10"/>
    </row>
    <row r="346">
      <c r="A346" s="1">
        <v>5.0</v>
      </c>
      <c r="B346" s="2">
        <v>39911.0</v>
      </c>
      <c r="C346" s="2" t="s">
        <v>76</v>
      </c>
      <c r="D346" s="2" t="s">
        <v>142</v>
      </c>
      <c r="E346" s="93"/>
      <c r="F346" s="93"/>
      <c r="G346" s="93"/>
      <c r="H346" s="93"/>
      <c r="I346" s="3" t="str">
        <f t="shared" si="1"/>
        <v>399110109</v>
      </c>
      <c r="J346" s="3"/>
      <c r="K346" s="3"/>
      <c r="L346" s="94" t="s">
        <v>693</v>
      </c>
      <c r="M346" s="4">
        <v>2.0</v>
      </c>
      <c r="N346" s="3"/>
      <c r="O346" s="93"/>
      <c r="P346" s="3"/>
      <c r="Q346" s="3"/>
      <c r="R346" s="3"/>
      <c r="S346" s="3"/>
      <c r="T346" s="3"/>
      <c r="U346" s="6">
        <v>2.0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97"/>
      <c r="BO346" s="3"/>
      <c r="BP346" s="3"/>
      <c r="BQ346" s="10"/>
    </row>
    <row r="347">
      <c r="A347" s="1">
        <v>5.0</v>
      </c>
      <c r="B347" s="2">
        <v>39911.0</v>
      </c>
      <c r="C347" s="2" t="s">
        <v>76</v>
      </c>
      <c r="D347" s="2" t="s">
        <v>149</v>
      </c>
      <c r="E347" s="93"/>
      <c r="F347" s="93"/>
      <c r="G347" s="93"/>
      <c r="H347" s="93"/>
      <c r="I347" s="3" t="str">
        <f t="shared" si="1"/>
        <v>39911010A</v>
      </c>
      <c r="J347" s="3"/>
      <c r="K347" s="3"/>
      <c r="L347" s="94" t="s">
        <v>694</v>
      </c>
      <c r="M347" s="4">
        <v>2.0</v>
      </c>
      <c r="N347" s="3"/>
      <c r="O347" s="93"/>
      <c r="P347" s="3"/>
      <c r="Q347" s="3"/>
      <c r="R347" s="3"/>
      <c r="S347" s="3"/>
      <c r="T347" s="3"/>
      <c r="U347" s="6">
        <v>1.0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97"/>
      <c r="BO347" s="3"/>
      <c r="BP347" s="3"/>
      <c r="BQ347" s="10"/>
    </row>
    <row r="348">
      <c r="A348" s="1">
        <v>5.0</v>
      </c>
      <c r="B348" s="2">
        <v>39911.0</v>
      </c>
      <c r="C348" s="2" t="s">
        <v>76</v>
      </c>
      <c r="D348" s="2" t="s">
        <v>151</v>
      </c>
      <c r="E348" s="93"/>
      <c r="F348" s="93"/>
      <c r="G348" s="93"/>
      <c r="H348" s="93"/>
      <c r="I348" s="3" t="str">
        <f t="shared" si="1"/>
        <v>39911010B</v>
      </c>
      <c r="J348" s="3"/>
      <c r="K348" s="3"/>
      <c r="L348" s="94" t="s">
        <v>695</v>
      </c>
      <c r="M348" s="4">
        <v>2.0</v>
      </c>
      <c r="N348" s="3"/>
      <c r="O348" s="93"/>
      <c r="P348" s="3"/>
      <c r="Q348" s="3"/>
      <c r="R348" s="3"/>
      <c r="S348" s="3"/>
      <c r="T348" s="3"/>
      <c r="U348" s="6">
        <v>1.0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97"/>
      <c r="BO348" s="3"/>
      <c r="BP348" s="3"/>
      <c r="BQ348" s="10"/>
    </row>
    <row r="349">
      <c r="A349" s="1">
        <v>5.0</v>
      </c>
      <c r="B349" s="2">
        <v>39911.0</v>
      </c>
      <c r="C349" s="2" t="s">
        <v>76</v>
      </c>
      <c r="D349" s="2" t="s">
        <v>155</v>
      </c>
      <c r="E349" s="93"/>
      <c r="F349" s="93"/>
      <c r="G349" s="93"/>
      <c r="H349" s="93"/>
      <c r="I349" s="3" t="str">
        <f t="shared" si="1"/>
        <v>39911010C</v>
      </c>
      <c r="J349" s="3"/>
      <c r="K349" s="3"/>
      <c r="L349" s="94" t="s">
        <v>696</v>
      </c>
      <c r="M349" s="4">
        <v>2.0</v>
      </c>
      <c r="N349" s="3"/>
      <c r="O349" s="93"/>
      <c r="P349" s="3"/>
      <c r="Q349" s="3"/>
      <c r="R349" s="3"/>
      <c r="S349" s="3"/>
      <c r="T349" s="3"/>
      <c r="U349" s="6">
        <v>1.0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97"/>
      <c r="BO349" s="3"/>
      <c r="BP349" s="3"/>
      <c r="BQ349" s="10"/>
    </row>
    <row r="350">
      <c r="A350" s="36">
        <v>2.0</v>
      </c>
      <c r="B350" s="37" t="s">
        <v>697</v>
      </c>
      <c r="C350" s="38"/>
      <c r="D350" s="38"/>
      <c r="E350" s="38"/>
      <c r="F350" s="38"/>
      <c r="G350" s="38"/>
      <c r="H350" s="38"/>
      <c r="I350" s="39" t="str">
        <f t="shared" si="1"/>
        <v>39920</v>
      </c>
      <c r="J350" s="40"/>
      <c r="K350" s="40"/>
      <c r="L350" s="39" t="s">
        <v>698</v>
      </c>
      <c r="M350" s="41">
        <v>1.0</v>
      </c>
      <c r="N350" s="42"/>
      <c r="O350" s="38"/>
      <c r="P350" s="42"/>
      <c r="Q350" s="42"/>
      <c r="R350" s="42"/>
      <c r="S350" s="42"/>
      <c r="T350" s="40"/>
      <c r="U350" s="43">
        <v>1.0</v>
      </c>
      <c r="V350" s="40"/>
      <c r="W350" s="43" t="s">
        <v>70</v>
      </c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2"/>
      <c r="AQ350" s="42"/>
      <c r="AR350" s="42"/>
      <c r="AS350" s="42"/>
      <c r="AT350" s="42"/>
      <c r="AU350" s="42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2"/>
      <c r="BI350" s="42"/>
      <c r="BJ350" s="42"/>
      <c r="BK350" s="42"/>
      <c r="BL350" s="42"/>
      <c r="BM350" s="40"/>
      <c r="BN350" s="44"/>
      <c r="BO350" s="40"/>
      <c r="BP350" s="42"/>
      <c r="BQ350" s="10"/>
    </row>
    <row r="351">
      <c r="A351" s="45">
        <v>3.0</v>
      </c>
      <c r="B351" s="46" t="s">
        <v>699</v>
      </c>
      <c r="C351" s="47"/>
      <c r="D351" s="47"/>
      <c r="E351" s="47"/>
      <c r="F351" s="47"/>
      <c r="G351" s="47"/>
      <c r="H351" s="47"/>
      <c r="I351" s="48" t="str">
        <f t="shared" si="1"/>
        <v>39921</v>
      </c>
      <c r="J351" s="49"/>
      <c r="K351" s="49"/>
      <c r="L351" s="48" t="s">
        <v>698</v>
      </c>
      <c r="M351" s="50">
        <v>1.0</v>
      </c>
      <c r="N351" s="51"/>
      <c r="O351" s="47"/>
      <c r="P351" s="51"/>
      <c r="Q351" s="51"/>
      <c r="R351" s="51"/>
      <c r="S351" s="51"/>
      <c r="T351" s="49"/>
      <c r="U351" s="52">
        <v>1.0</v>
      </c>
      <c r="V351" s="49"/>
      <c r="W351" s="52" t="s">
        <v>70</v>
      </c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51"/>
      <c r="AQ351" s="51"/>
      <c r="AR351" s="51"/>
      <c r="AS351" s="51"/>
      <c r="AT351" s="51"/>
      <c r="AU351" s="51"/>
      <c r="AV351" s="49"/>
      <c r="AW351" s="49"/>
      <c r="AX351" s="49"/>
      <c r="AY351" s="49"/>
      <c r="AZ351" s="49"/>
      <c r="BA351" s="49"/>
      <c r="BB351" s="49"/>
      <c r="BC351" s="49"/>
      <c r="BD351" s="49"/>
      <c r="BE351" s="49"/>
      <c r="BF351" s="49"/>
      <c r="BG351" s="49"/>
      <c r="BH351" s="51"/>
      <c r="BI351" s="51"/>
      <c r="BJ351" s="51"/>
      <c r="BK351" s="51"/>
      <c r="BL351" s="51"/>
      <c r="BM351" s="49"/>
      <c r="BN351" s="53"/>
      <c r="BO351" s="49"/>
      <c r="BP351" s="51"/>
      <c r="BQ351" s="10"/>
    </row>
    <row r="352">
      <c r="A352" s="70">
        <v>5.0</v>
      </c>
      <c r="B352" s="71" t="s">
        <v>699</v>
      </c>
      <c r="C352" s="71" t="s">
        <v>76</v>
      </c>
      <c r="D352" s="56"/>
      <c r="E352" s="56"/>
      <c r="F352" s="56"/>
      <c r="G352" s="56"/>
      <c r="H352" s="56"/>
      <c r="I352" s="58" t="str">
        <f t="shared" si="1"/>
        <v>3992101</v>
      </c>
      <c r="J352" s="58"/>
      <c r="K352" s="58"/>
      <c r="L352" s="59" t="s">
        <v>700</v>
      </c>
      <c r="M352" s="60">
        <v>1.0</v>
      </c>
      <c r="N352" s="58"/>
      <c r="O352" s="56"/>
      <c r="P352" s="58"/>
      <c r="Q352" s="58"/>
      <c r="R352" s="58"/>
      <c r="S352" s="58"/>
      <c r="T352" s="58"/>
      <c r="U352" s="72">
        <v>1.0</v>
      </c>
      <c r="V352" s="58"/>
      <c r="W352" s="72" t="s">
        <v>447</v>
      </c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63"/>
      <c r="BO352" s="58"/>
      <c r="BP352" s="58"/>
      <c r="BQ352" s="64"/>
    </row>
    <row r="353">
      <c r="A353" s="70">
        <v>5.0</v>
      </c>
      <c r="B353" s="71" t="s">
        <v>699</v>
      </c>
      <c r="C353" s="71" t="s">
        <v>119</v>
      </c>
      <c r="D353" s="56"/>
      <c r="E353" s="56"/>
      <c r="F353" s="56"/>
      <c r="G353" s="56"/>
      <c r="H353" s="56"/>
      <c r="I353" s="58" t="str">
        <f t="shared" si="1"/>
        <v>3992102</v>
      </c>
      <c r="J353" s="58"/>
      <c r="K353" s="58"/>
      <c r="L353" s="59" t="s">
        <v>701</v>
      </c>
      <c r="M353" s="60">
        <v>1.0</v>
      </c>
      <c r="N353" s="58"/>
      <c r="O353" s="56"/>
      <c r="P353" s="58"/>
      <c r="Q353" s="58"/>
      <c r="R353" s="58"/>
      <c r="S353" s="58"/>
      <c r="T353" s="58"/>
      <c r="U353" s="72">
        <v>1.0</v>
      </c>
      <c r="V353" s="58"/>
      <c r="W353" s="72" t="s">
        <v>447</v>
      </c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63"/>
      <c r="BO353" s="58"/>
      <c r="BP353" s="58"/>
      <c r="BQ353" s="64"/>
    </row>
    <row r="354">
      <c r="A354" s="20">
        <v>1.0</v>
      </c>
      <c r="B354" s="21" t="s">
        <v>702</v>
      </c>
      <c r="C354" s="22"/>
      <c r="D354" s="22"/>
      <c r="E354" s="22"/>
      <c r="F354" s="22"/>
      <c r="G354" s="22"/>
      <c r="H354" s="22"/>
      <c r="I354" s="23" t="str">
        <f t="shared" si="1"/>
        <v>41000</v>
      </c>
      <c r="J354" s="24"/>
      <c r="K354" s="24"/>
      <c r="L354" s="23" t="s">
        <v>703</v>
      </c>
      <c r="M354" s="25">
        <v>1.0</v>
      </c>
      <c r="N354" s="24"/>
      <c r="O354" s="22"/>
      <c r="P354" s="24"/>
      <c r="Q354" s="24"/>
      <c r="R354" s="24"/>
      <c r="S354" s="24"/>
      <c r="T354" s="24"/>
      <c r="U354" s="26">
        <v>1.0</v>
      </c>
      <c r="V354" s="24"/>
      <c r="W354" s="26" t="s">
        <v>70</v>
      </c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7"/>
      <c r="BO354" s="24"/>
      <c r="BP354" s="24"/>
      <c r="BQ354" s="10"/>
    </row>
    <row r="355">
      <c r="A355" s="28">
        <v>1.0</v>
      </c>
      <c r="B355" s="29" t="s">
        <v>704</v>
      </c>
      <c r="C355" s="30"/>
      <c r="D355" s="30"/>
      <c r="E355" s="30"/>
      <c r="F355" s="30"/>
      <c r="G355" s="30"/>
      <c r="H355" s="30"/>
      <c r="I355" s="31" t="str">
        <f t="shared" si="1"/>
        <v>41100</v>
      </c>
      <c r="J355" s="74"/>
      <c r="K355" s="74"/>
      <c r="L355" s="31" t="s">
        <v>705</v>
      </c>
      <c r="M355" s="75">
        <v>1.0</v>
      </c>
      <c r="N355" s="32"/>
      <c r="O355" s="30"/>
      <c r="P355" s="32"/>
      <c r="Q355" s="32"/>
      <c r="R355" s="32"/>
      <c r="S355" s="32"/>
      <c r="T355" s="74"/>
      <c r="U355" s="34">
        <v>1.0</v>
      </c>
      <c r="V355" s="74"/>
      <c r="W355" s="34" t="s">
        <v>70</v>
      </c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32"/>
      <c r="AQ355" s="32"/>
      <c r="AR355" s="32"/>
      <c r="AS355" s="32"/>
      <c r="AT355" s="32"/>
      <c r="AU355" s="32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32"/>
      <c r="BI355" s="32"/>
      <c r="BJ355" s="32"/>
      <c r="BK355" s="32"/>
      <c r="BL355" s="32"/>
      <c r="BM355" s="74"/>
      <c r="BN355" s="76"/>
      <c r="BO355" s="74"/>
      <c r="BP355" s="32"/>
      <c r="BQ355" s="10"/>
    </row>
    <row r="356">
      <c r="A356" s="36">
        <v>2.0</v>
      </c>
      <c r="B356" s="37" t="s">
        <v>706</v>
      </c>
      <c r="C356" s="38"/>
      <c r="D356" s="38"/>
      <c r="E356" s="38"/>
      <c r="F356" s="38"/>
      <c r="G356" s="38"/>
      <c r="H356" s="38"/>
      <c r="I356" s="39" t="str">
        <f t="shared" si="1"/>
        <v>41110</v>
      </c>
      <c r="J356" s="40"/>
      <c r="K356" s="40"/>
      <c r="L356" s="39" t="s">
        <v>707</v>
      </c>
      <c r="M356" s="41">
        <v>1.0</v>
      </c>
      <c r="N356" s="42"/>
      <c r="O356" s="38"/>
      <c r="P356" s="42"/>
      <c r="Q356" s="42"/>
      <c r="R356" s="42"/>
      <c r="S356" s="42"/>
      <c r="T356" s="40"/>
      <c r="U356" s="43">
        <v>1.0</v>
      </c>
      <c r="V356" s="40"/>
      <c r="W356" s="43" t="s">
        <v>70</v>
      </c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2"/>
      <c r="AQ356" s="42"/>
      <c r="AR356" s="42"/>
      <c r="AS356" s="42"/>
      <c r="AT356" s="42"/>
      <c r="AU356" s="42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2"/>
      <c r="BI356" s="42"/>
      <c r="BJ356" s="42"/>
      <c r="BK356" s="42"/>
      <c r="BL356" s="42"/>
      <c r="BM356" s="40"/>
      <c r="BN356" s="44"/>
      <c r="BO356" s="40"/>
      <c r="BP356" s="42"/>
      <c r="BQ356" s="10"/>
    </row>
    <row r="357">
      <c r="A357" s="45">
        <v>3.0</v>
      </c>
      <c r="B357" s="46" t="s">
        <v>708</v>
      </c>
      <c r="C357" s="47"/>
      <c r="D357" s="47"/>
      <c r="E357" s="47"/>
      <c r="F357" s="47"/>
      <c r="G357" s="47"/>
      <c r="H357" s="47"/>
      <c r="I357" s="48" t="str">
        <f t="shared" si="1"/>
        <v>41111</v>
      </c>
      <c r="J357" s="49"/>
      <c r="K357" s="49"/>
      <c r="L357" s="48" t="s">
        <v>709</v>
      </c>
      <c r="M357" s="50">
        <v>1.0</v>
      </c>
      <c r="N357" s="51"/>
      <c r="O357" s="47"/>
      <c r="P357" s="51"/>
      <c r="Q357" s="51"/>
      <c r="R357" s="51"/>
      <c r="S357" s="51"/>
      <c r="T357" s="49"/>
      <c r="U357" s="52">
        <v>1.0</v>
      </c>
      <c r="V357" s="49"/>
      <c r="W357" s="52" t="s">
        <v>70</v>
      </c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51"/>
      <c r="AQ357" s="51"/>
      <c r="AR357" s="51"/>
      <c r="AS357" s="51"/>
      <c r="AT357" s="51"/>
      <c r="AU357" s="51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51"/>
      <c r="BI357" s="51"/>
      <c r="BJ357" s="51"/>
      <c r="BK357" s="51"/>
      <c r="BL357" s="51"/>
      <c r="BM357" s="49"/>
      <c r="BN357" s="53"/>
      <c r="BO357" s="49"/>
      <c r="BP357" s="51"/>
      <c r="BQ357" s="10"/>
    </row>
    <row r="358">
      <c r="A358" s="1">
        <v>4.0</v>
      </c>
      <c r="B358" s="2" t="s">
        <v>708</v>
      </c>
      <c r="C358" s="2" t="s">
        <v>76</v>
      </c>
      <c r="D358" s="93"/>
      <c r="E358" s="93"/>
      <c r="F358" s="93"/>
      <c r="G358" s="93"/>
      <c r="H358" s="93"/>
      <c r="I358" s="3" t="str">
        <f t="shared" si="1"/>
        <v>4111101</v>
      </c>
      <c r="J358" s="3"/>
      <c r="K358" s="3"/>
      <c r="L358" s="94" t="s">
        <v>710</v>
      </c>
      <c r="M358" s="4">
        <v>2.0</v>
      </c>
      <c r="N358" s="3"/>
      <c r="O358" s="93"/>
      <c r="P358" s="3"/>
      <c r="Q358" s="3"/>
      <c r="R358" s="3"/>
      <c r="S358" s="3"/>
      <c r="T358" s="3"/>
      <c r="U358" s="6">
        <v>1.0</v>
      </c>
      <c r="V358" s="3"/>
      <c r="W358" s="6" t="s">
        <v>435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97"/>
      <c r="BO358" s="3"/>
      <c r="BP358" s="3"/>
      <c r="BQ358" s="10"/>
    </row>
    <row r="359">
      <c r="A359" s="1">
        <v>5.0</v>
      </c>
      <c r="B359" s="2" t="s">
        <v>708</v>
      </c>
      <c r="C359" s="2" t="s">
        <v>76</v>
      </c>
      <c r="D359" s="2" t="s">
        <v>76</v>
      </c>
      <c r="E359" s="93"/>
      <c r="F359" s="93"/>
      <c r="G359" s="93"/>
      <c r="H359" s="93"/>
      <c r="I359" s="3" t="str">
        <f t="shared" si="1"/>
        <v>411110101</v>
      </c>
      <c r="J359" s="3"/>
      <c r="K359" s="3"/>
      <c r="L359" s="94" t="s">
        <v>711</v>
      </c>
      <c r="M359" s="4">
        <v>2.0</v>
      </c>
      <c r="N359" s="3"/>
      <c r="O359" s="93"/>
      <c r="P359" s="3"/>
      <c r="Q359" s="3"/>
      <c r="R359" s="3"/>
      <c r="S359" s="3"/>
      <c r="T359" s="3"/>
      <c r="U359" s="6">
        <v>1.0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97"/>
      <c r="BO359" s="3"/>
      <c r="BP359" s="3"/>
      <c r="BQ359" s="10"/>
    </row>
    <row r="360">
      <c r="A360" s="1">
        <v>5.0</v>
      </c>
      <c r="B360" s="2" t="s">
        <v>708</v>
      </c>
      <c r="C360" s="2" t="s">
        <v>76</v>
      </c>
      <c r="D360" s="2" t="s">
        <v>119</v>
      </c>
      <c r="E360" s="93"/>
      <c r="F360" s="93"/>
      <c r="G360" s="93"/>
      <c r="H360" s="93"/>
      <c r="I360" s="3" t="str">
        <f t="shared" si="1"/>
        <v>411110102</v>
      </c>
      <c r="J360" s="3"/>
      <c r="K360" s="3"/>
      <c r="L360" s="94" t="s">
        <v>712</v>
      </c>
      <c r="M360" s="4">
        <v>2.0</v>
      </c>
      <c r="N360" s="3"/>
      <c r="O360" s="93"/>
      <c r="P360" s="3"/>
      <c r="Q360" s="3"/>
      <c r="R360" s="3"/>
      <c r="S360" s="3"/>
      <c r="T360" s="3"/>
      <c r="U360" s="6">
        <v>2.0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97"/>
      <c r="BO360" s="3"/>
      <c r="BP360" s="3"/>
      <c r="BQ360" s="10"/>
    </row>
    <row r="361">
      <c r="A361" s="1">
        <v>5.0</v>
      </c>
      <c r="B361" s="2" t="s">
        <v>708</v>
      </c>
      <c r="C361" s="2" t="s">
        <v>76</v>
      </c>
      <c r="D361" s="2" t="s">
        <v>124</v>
      </c>
      <c r="E361" s="93"/>
      <c r="F361" s="93"/>
      <c r="G361" s="93"/>
      <c r="H361" s="93"/>
      <c r="I361" s="3" t="str">
        <f t="shared" si="1"/>
        <v>411110103</v>
      </c>
      <c r="J361" s="3"/>
      <c r="K361" s="3"/>
      <c r="L361" s="94" t="s">
        <v>713</v>
      </c>
      <c r="M361" s="4">
        <v>2.0</v>
      </c>
      <c r="N361" s="3"/>
      <c r="O361" s="93"/>
      <c r="P361" s="3"/>
      <c r="Q361" s="3"/>
      <c r="R361" s="3"/>
      <c r="S361" s="3"/>
      <c r="T361" s="3"/>
      <c r="U361" s="6">
        <v>1.0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97"/>
      <c r="BO361" s="3"/>
      <c r="BP361" s="3"/>
      <c r="BQ361" s="10"/>
    </row>
    <row r="362">
      <c r="A362" s="1">
        <v>4.0</v>
      </c>
      <c r="B362" s="2" t="s">
        <v>708</v>
      </c>
      <c r="C362" s="2" t="s">
        <v>119</v>
      </c>
      <c r="D362" s="93"/>
      <c r="E362" s="93"/>
      <c r="F362" s="93"/>
      <c r="G362" s="93"/>
      <c r="H362" s="93"/>
      <c r="I362" s="3" t="str">
        <f t="shared" si="1"/>
        <v>4111102</v>
      </c>
      <c r="J362" s="3"/>
      <c r="K362" s="3"/>
      <c r="L362" s="94" t="s">
        <v>714</v>
      </c>
      <c r="M362" s="4">
        <v>1.0</v>
      </c>
      <c r="N362" s="3"/>
      <c r="O362" s="93"/>
      <c r="P362" s="3"/>
      <c r="Q362" s="3"/>
      <c r="R362" s="3"/>
      <c r="S362" s="3"/>
      <c r="T362" s="3"/>
      <c r="U362" s="6">
        <v>1.0</v>
      </c>
      <c r="V362" s="3"/>
      <c r="W362" s="6" t="s">
        <v>304</v>
      </c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97"/>
      <c r="BO362" s="3"/>
      <c r="BP362" s="3"/>
      <c r="BQ362" s="10"/>
    </row>
    <row r="363">
      <c r="A363" s="1">
        <v>4.0</v>
      </c>
      <c r="B363" s="2" t="s">
        <v>708</v>
      </c>
      <c r="C363" s="2" t="s">
        <v>124</v>
      </c>
      <c r="D363" s="93"/>
      <c r="E363" s="93"/>
      <c r="F363" s="93"/>
      <c r="G363" s="93"/>
      <c r="H363" s="93"/>
      <c r="I363" s="3" t="str">
        <f t="shared" si="1"/>
        <v>4111103</v>
      </c>
      <c r="J363" s="3"/>
      <c r="K363" s="3"/>
      <c r="L363" s="94" t="s">
        <v>715</v>
      </c>
      <c r="M363" s="4">
        <v>2.0</v>
      </c>
      <c r="N363" s="3"/>
      <c r="O363" s="93"/>
      <c r="P363" s="3"/>
      <c r="Q363" s="3"/>
      <c r="R363" s="3"/>
      <c r="S363" s="3"/>
      <c r="T363" s="3"/>
      <c r="U363" s="6">
        <v>1.0</v>
      </c>
      <c r="V363" s="3"/>
      <c r="W363" s="6" t="s">
        <v>435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97"/>
      <c r="BO363" s="3"/>
      <c r="BP363" s="3"/>
      <c r="BQ363" s="10"/>
    </row>
    <row r="364">
      <c r="A364" s="1">
        <v>5.0</v>
      </c>
      <c r="B364" s="2" t="s">
        <v>708</v>
      </c>
      <c r="C364" s="2" t="s">
        <v>124</v>
      </c>
      <c r="D364" s="2" t="s">
        <v>76</v>
      </c>
      <c r="E364" s="93"/>
      <c r="F364" s="93"/>
      <c r="G364" s="93"/>
      <c r="H364" s="93"/>
      <c r="I364" s="3" t="str">
        <f t="shared" si="1"/>
        <v>411110301</v>
      </c>
      <c r="J364" s="3"/>
      <c r="K364" s="3"/>
      <c r="L364" s="94" t="s">
        <v>716</v>
      </c>
      <c r="M364" s="4">
        <v>2.0</v>
      </c>
      <c r="N364" s="3"/>
      <c r="O364" s="93"/>
      <c r="P364" s="3"/>
      <c r="Q364" s="3"/>
      <c r="R364" s="3"/>
      <c r="S364" s="3"/>
      <c r="T364" s="3"/>
      <c r="U364" s="6">
        <v>1.0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97"/>
      <c r="BO364" s="3"/>
      <c r="BP364" s="3"/>
      <c r="BQ364" s="10"/>
    </row>
    <row r="365">
      <c r="A365" s="1">
        <v>5.0</v>
      </c>
      <c r="B365" s="2" t="s">
        <v>708</v>
      </c>
      <c r="C365" s="2" t="s">
        <v>124</v>
      </c>
      <c r="D365" s="2" t="s">
        <v>119</v>
      </c>
      <c r="E365" s="93"/>
      <c r="F365" s="93"/>
      <c r="G365" s="93"/>
      <c r="H365" s="93"/>
      <c r="I365" s="3" t="str">
        <f t="shared" si="1"/>
        <v>411110302</v>
      </c>
      <c r="J365" s="3"/>
      <c r="K365" s="3"/>
      <c r="L365" s="94" t="s">
        <v>717</v>
      </c>
      <c r="M365" s="4">
        <v>2.0</v>
      </c>
      <c r="N365" s="3"/>
      <c r="O365" s="93"/>
      <c r="P365" s="3"/>
      <c r="Q365" s="3"/>
      <c r="R365" s="3"/>
      <c r="S365" s="3"/>
      <c r="T365" s="3"/>
      <c r="U365" s="6">
        <v>1.0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97"/>
      <c r="BO365" s="3"/>
      <c r="BP365" s="3"/>
      <c r="BQ365" s="10"/>
    </row>
    <row r="366">
      <c r="A366" s="1">
        <v>5.0</v>
      </c>
      <c r="B366" s="2" t="s">
        <v>708</v>
      </c>
      <c r="C366" s="2" t="s">
        <v>124</v>
      </c>
      <c r="D366" s="2" t="s">
        <v>124</v>
      </c>
      <c r="E366" s="93"/>
      <c r="F366" s="93"/>
      <c r="G366" s="93"/>
      <c r="H366" s="93"/>
      <c r="I366" s="3" t="str">
        <f t="shared" si="1"/>
        <v>411110303</v>
      </c>
      <c r="J366" s="3"/>
      <c r="K366" s="3"/>
      <c r="L366" s="94" t="s">
        <v>718</v>
      </c>
      <c r="M366" s="4">
        <v>2.0</v>
      </c>
      <c r="N366" s="3"/>
      <c r="O366" s="93"/>
      <c r="P366" s="3"/>
      <c r="Q366" s="3"/>
      <c r="R366" s="3"/>
      <c r="S366" s="3"/>
      <c r="T366" s="3"/>
      <c r="U366" s="6">
        <v>1.0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97"/>
      <c r="BO366" s="3"/>
      <c r="BP366" s="3"/>
      <c r="BQ366" s="10"/>
    </row>
    <row r="367">
      <c r="A367" s="1">
        <v>5.0</v>
      </c>
      <c r="B367" s="2" t="s">
        <v>708</v>
      </c>
      <c r="C367" s="2" t="s">
        <v>124</v>
      </c>
      <c r="D367" s="2" t="s">
        <v>127</v>
      </c>
      <c r="E367" s="93"/>
      <c r="F367" s="93"/>
      <c r="G367" s="93"/>
      <c r="H367" s="93"/>
      <c r="I367" s="3" t="str">
        <f t="shared" si="1"/>
        <v>411110304</v>
      </c>
      <c r="J367" s="3"/>
      <c r="K367" s="3"/>
      <c r="L367" s="94" t="s">
        <v>719</v>
      </c>
      <c r="M367" s="4">
        <v>2.0</v>
      </c>
      <c r="N367" s="3"/>
      <c r="O367" s="93"/>
      <c r="P367" s="3"/>
      <c r="Q367" s="3"/>
      <c r="R367" s="3"/>
      <c r="S367" s="3"/>
      <c r="T367" s="3"/>
      <c r="U367" s="6">
        <v>1.0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97"/>
      <c r="BO367" s="3"/>
      <c r="BP367" s="3"/>
      <c r="BQ367" s="10"/>
    </row>
    <row r="368">
      <c r="A368" s="1">
        <v>5.0</v>
      </c>
      <c r="B368" s="2" t="s">
        <v>708</v>
      </c>
      <c r="C368" s="2" t="s">
        <v>124</v>
      </c>
      <c r="D368" s="2" t="s">
        <v>91</v>
      </c>
      <c r="E368" s="93"/>
      <c r="F368" s="93"/>
      <c r="G368" s="93"/>
      <c r="H368" s="93"/>
      <c r="I368" s="3" t="str">
        <f t="shared" si="1"/>
        <v>411110305</v>
      </c>
      <c r="J368" s="3"/>
      <c r="K368" s="3"/>
      <c r="L368" s="94" t="s">
        <v>720</v>
      </c>
      <c r="M368" s="4">
        <v>2.0</v>
      </c>
      <c r="N368" s="3"/>
      <c r="O368" s="93"/>
      <c r="P368" s="3"/>
      <c r="Q368" s="3"/>
      <c r="R368" s="3"/>
      <c r="S368" s="3"/>
      <c r="T368" s="3"/>
      <c r="U368" s="6">
        <v>1.0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97"/>
      <c r="BO368" s="3"/>
      <c r="BP368" s="3"/>
      <c r="BQ368" s="10"/>
    </row>
    <row r="369">
      <c r="A369" s="1">
        <v>5.0</v>
      </c>
      <c r="B369" s="2" t="s">
        <v>708</v>
      </c>
      <c r="C369" s="2" t="s">
        <v>124</v>
      </c>
      <c r="D369" s="2" t="s">
        <v>133</v>
      </c>
      <c r="E369" s="93"/>
      <c r="F369" s="93"/>
      <c r="G369" s="93"/>
      <c r="H369" s="93"/>
      <c r="I369" s="3" t="str">
        <f t="shared" si="1"/>
        <v>411110306</v>
      </c>
      <c r="J369" s="3"/>
      <c r="K369" s="3"/>
      <c r="L369" s="94" t="s">
        <v>721</v>
      </c>
      <c r="M369" s="4">
        <v>2.0</v>
      </c>
      <c r="N369" s="3"/>
      <c r="O369" s="93"/>
      <c r="P369" s="3"/>
      <c r="Q369" s="3"/>
      <c r="R369" s="3"/>
      <c r="S369" s="3"/>
      <c r="T369" s="3"/>
      <c r="U369" s="6">
        <v>1.0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97"/>
      <c r="BO369" s="3"/>
      <c r="BP369" s="3"/>
      <c r="BQ369" s="10"/>
    </row>
    <row r="370">
      <c r="A370" s="1">
        <v>5.0</v>
      </c>
      <c r="B370" s="2" t="s">
        <v>708</v>
      </c>
      <c r="C370" s="2" t="s">
        <v>124</v>
      </c>
      <c r="D370" s="2" t="s">
        <v>136</v>
      </c>
      <c r="E370" s="93"/>
      <c r="F370" s="93"/>
      <c r="G370" s="93"/>
      <c r="H370" s="93"/>
      <c r="I370" s="3" t="str">
        <f t="shared" si="1"/>
        <v>411110307</v>
      </c>
      <c r="J370" s="3"/>
      <c r="K370" s="3"/>
      <c r="L370" s="94" t="s">
        <v>722</v>
      </c>
      <c r="M370" s="4">
        <v>2.0</v>
      </c>
      <c r="N370" s="3"/>
      <c r="O370" s="93"/>
      <c r="P370" s="3"/>
      <c r="Q370" s="3"/>
      <c r="R370" s="3"/>
      <c r="S370" s="3"/>
      <c r="T370" s="3"/>
      <c r="U370" s="6">
        <v>1.0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97"/>
      <c r="BO370" s="3"/>
      <c r="BP370" s="3"/>
      <c r="BQ370" s="10"/>
    </row>
    <row r="371">
      <c r="A371" s="1">
        <v>5.0</v>
      </c>
      <c r="B371" s="2" t="s">
        <v>708</v>
      </c>
      <c r="C371" s="2" t="s">
        <v>124</v>
      </c>
      <c r="D371" s="2" t="s">
        <v>138</v>
      </c>
      <c r="E371" s="93"/>
      <c r="F371" s="93"/>
      <c r="G371" s="93"/>
      <c r="H371" s="93"/>
      <c r="I371" s="3" t="str">
        <f t="shared" si="1"/>
        <v>411110308</v>
      </c>
      <c r="J371" s="3"/>
      <c r="K371" s="3"/>
      <c r="L371" s="94" t="s">
        <v>723</v>
      </c>
      <c r="M371" s="4">
        <v>2.0</v>
      </c>
      <c r="N371" s="3"/>
      <c r="O371" s="93"/>
      <c r="P371" s="3"/>
      <c r="Q371" s="3"/>
      <c r="R371" s="3"/>
      <c r="S371" s="3"/>
      <c r="T371" s="3"/>
      <c r="U371" s="6">
        <v>1.0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97"/>
      <c r="BO371" s="3"/>
      <c r="BP371" s="3"/>
      <c r="BQ371" s="10"/>
    </row>
    <row r="372">
      <c r="A372" s="1">
        <v>5.0</v>
      </c>
      <c r="B372" s="2" t="s">
        <v>708</v>
      </c>
      <c r="C372" s="2" t="s">
        <v>124</v>
      </c>
      <c r="D372" s="2" t="s">
        <v>142</v>
      </c>
      <c r="E372" s="93"/>
      <c r="F372" s="93"/>
      <c r="G372" s="93"/>
      <c r="H372" s="93"/>
      <c r="I372" s="3" t="str">
        <f t="shared" si="1"/>
        <v>411110309</v>
      </c>
      <c r="J372" s="3"/>
      <c r="K372" s="3"/>
      <c r="L372" s="94" t="s">
        <v>724</v>
      </c>
      <c r="M372" s="4">
        <v>2.0</v>
      </c>
      <c r="N372" s="3"/>
      <c r="O372" s="93"/>
      <c r="P372" s="3"/>
      <c r="Q372" s="3"/>
      <c r="R372" s="3"/>
      <c r="S372" s="3"/>
      <c r="T372" s="3"/>
      <c r="U372" s="6">
        <v>1.0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97"/>
      <c r="BO372" s="3"/>
      <c r="BP372" s="3"/>
      <c r="BQ372" s="10"/>
    </row>
    <row r="373">
      <c r="A373" s="1">
        <v>5.0</v>
      </c>
      <c r="B373" s="2" t="s">
        <v>708</v>
      </c>
      <c r="C373" s="2" t="s">
        <v>124</v>
      </c>
      <c r="D373" s="2" t="s">
        <v>149</v>
      </c>
      <c r="E373" s="93"/>
      <c r="F373" s="93"/>
      <c r="G373" s="93"/>
      <c r="H373" s="93"/>
      <c r="I373" s="3" t="str">
        <f t="shared" si="1"/>
        <v>41111030A</v>
      </c>
      <c r="J373" s="3"/>
      <c r="K373" s="3"/>
      <c r="L373" s="94" t="s">
        <v>725</v>
      </c>
      <c r="M373" s="4">
        <v>2.0</v>
      </c>
      <c r="N373" s="3"/>
      <c r="O373" s="93"/>
      <c r="P373" s="3"/>
      <c r="Q373" s="3"/>
      <c r="R373" s="3"/>
      <c r="S373" s="3"/>
      <c r="T373" s="3"/>
      <c r="U373" s="6">
        <v>2.0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97"/>
      <c r="BO373" s="3"/>
      <c r="BP373" s="3"/>
      <c r="BQ373" s="10"/>
    </row>
    <row r="374">
      <c r="A374" s="1">
        <v>5.0</v>
      </c>
      <c r="B374" s="2" t="s">
        <v>708</v>
      </c>
      <c r="C374" s="2" t="s">
        <v>124</v>
      </c>
      <c r="D374" s="2" t="s">
        <v>151</v>
      </c>
      <c r="E374" s="93"/>
      <c r="F374" s="93"/>
      <c r="G374" s="93"/>
      <c r="H374" s="93"/>
      <c r="I374" s="3" t="str">
        <f t="shared" si="1"/>
        <v>41111030B</v>
      </c>
      <c r="J374" s="3"/>
      <c r="K374" s="3"/>
      <c r="L374" s="94" t="s">
        <v>726</v>
      </c>
      <c r="M374" s="4">
        <v>2.0</v>
      </c>
      <c r="N374" s="3"/>
      <c r="O374" s="93"/>
      <c r="P374" s="3"/>
      <c r="Q374" s="3"/>
      <c r="R374" s="3"/>
      <c r="S374" s="3"/>
      <c r="T374" s="3"/>
      <c r="U374" s="6">
        <v>1.0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97"/>
      <c r="BO374" s="3"/>
      <c r="BP374" s="3"/>
      <c r="BQ374" s="10"/>
    </row>
    <row r="375">
      <c r="A375" s="1">
        <v>5.0</v>
      </c>
      <c r="B375" s="2" t="s">
        <v>708</v>
      </c>
      <c r="C375" s="2" t="s">
        <v>124</v>
      </c>
      <c r="D375" s="2" t="s">
        <v>155</v>
      </c>
      <c r="E375" s="93"/>
      <c r="F375" s="93"/>
      <c r="G375" s="93"/>
      <c r="H375" s="93"/>
      <c r="I375" s="3" t="str">
        <f t="shared" si="1"/>
        <v>41111030C</v>
      </c>
      <c r="J375" s="3"/>
      <c r="K375" s="3"/>
      <c r="L375" s="94" t="s">
        <v>727</v>
      </c>
      <c r="M375" s="4">
        <v>2.0</v>
      </c>
      <c r="N375" s="3"/>
      <c r="O375" s="93"/>
      <c r="P375" s="3"/>
      <c r="Q375" s="3"/>
      <c r="R375" s="3"/>
      <c r="S375" s="3"/>
      <c r="T375" s="3"/>
      <c r="U375" s="6">
        <v>1.0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97"/>
      <c r="BO375" s="3"/>
      <c r="BP375" s="3"/>
      <c r="BQ375" s="10"/>
    </row>
    <row r="376">
      <c r="A376" s="1">
        <v>5.0</v>
      </c>
      <c r="B376" s="2" t="s">
        <v>708</v>
      </c>
      <c r="C376" s="2" t="s">
        <v>124</v>
      </c>
      <c r="D376" s="2" t="s">
        <v>158</v>
      </c>
      <c r="E376" s="93"/>
      <c r="F376" s="93"/>
      <c r="G376" s="93"/>
      <c r="H376" s="93"/>
      <c r="I376" s="3" t="str">
        <f t="shared" si="1"/>
        <v>41111030D</v>
      </c>
      <c r="J376" s="3"/>
      <c r="K376" s="3"/>
      <c r="L376" s="94" t="s">
        <v>728</v>
      </c>
      <c r="M376" s="4">
        <v>2.0</v>
      </c>
      <c r="N376" s="3"/>
      <c r="O376" s="93"/>
      <c r="P376" s="3"/>
      <c r="Q376" s="3"/>
      <c r="R376" s="3"/>
      <c r="S376" s="3"/>
      <c r="T376" s="3"/>
      <c r="U376" s="6">
        <v>1.0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97"/>
      <c r="BO376" s="3"/>
      <c r="BP376" s="3"/>
      <c r="BQ376" s="10"/>
    </row>
    <row r="377">
      <c r="A377" s="1">
        <v>5.0</v>
      </c>
      <c r="B377" s="2" t="s">
        <v>708</v>
      </c>
      <c r="C377" s="2" t="s">
        <v>124</v>
      </c>
      <c r="D377" s="2" t="s">
        <v>162</v>
      </c>
      <c r="E377" s="93"/>
      <c r="F377" s="93"/>
      <c r="G377" s="93"/>
      <c r="H377" s="93"/>
      <c r="I377" s="3" t="str">
        <f t="shared" si="1"/>
        <v>41111030E</v>
      </c>
      <c r="J377" s="3"/>
      <c r="K377" s="3"/>
      <c r="L377" s="94" t="s">
        <v>729</v>
      </c>
      <c r="M377" s="4">
        <v>2.0</v>
      </c>
      <c r="N377" s="3"/>
      <c r="O377" s="93"/>
      <c r="P377" s="3"/>
      <c r="Q377" s="3"/>
      <c r="R377" s="3"/>
      <c r="S377" s="3"/>
      <c r="T377" s="3"/>
      <c r="U377" s="6">
        <v>1.0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97"/>
      <c r="BO377" s="3"/>
      <c r="BP377" s="3"/>
      <c r="BQ377" s="10"/>
    </row>
    <row r="378">
      <c r="A378" s="1">
        <v>5.0</v>
      </c>
      <c r="B378" s="2" t="s">
        <v>708</v>
      </c>
      <c r="C378" s="2" t="s">
        <v>124</v>
      </c>
      <c r="D378" s="2" t="s">
        <v>166</v>
      </c>
      <c r="E378" s="93"/>
      <c r="F378" s="93"/>
      <c r="G378" s="93"/>
      <c r="H378" s="93"/>
      <c r="I378" s="3" t="str">
        <f t="shared" si="1"/>
        <v>41111030F</v>
      </c>
      <c r="J378" s="3"/>
      <c r="K378" s="3"/>
      <c r="L378" s="94" t="s">
        <v>730</v>
      </c>
      <c r="M378" s="4">
        <v>2.0</v>
      </c>
      <c r="N378" s="3"/>
      <c r="O378" s="93"/>
      <c r="P378" s="3"/>
      <c r="Q378" s="3"/>
      <c r="R378" s="3"/>
      <c r="S378" s="3"/>
      <c r="T378" s="3"/>
      <c r="U378" s="6">
        <v>1.0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97"/>
      <c r="BO378" s="3"/>
      <c r="BP378" s="3"/>
      <c r="BQ378" s="10"/>
    </row>
    <row r="379">
      <c r="A379" s="1">
        <v>5.0</v>
      </c>
      <c r="B379" s="2" t="s">
        <v>708</v>
      </c>
      <c r="C379" s="2" t="s">
        <v>124</v>
      </c>
      <c r="D379" s="2" t="s">
        <v>170</v>
      </c>
      <c r="E379" s="93"/>
      <c r="F379" s="93"/>
      <c r="G379" s="93"/>
      <c r="H379" s="93"/>
      <c r="I379" s="3" t="str">
        <f t="shared" si="1"/>
        <v>41111030G</v>
      </c>
      <c r="J379" s="3"/>
      <c r="K379" s="3"/>
      <c r="L379" s="94" t="s">
        <v>731</v>
      </c>
      <c r="M379" s="4">
        <v>2.0</v>
      </c>
      <c r="N379" s="3"/>
      <c r="O379" s="93"/>
      <c r="P379" s="3"/>
      <c r="Q379" s="3"/>
      <c r="R379" s="3"/>
      <c r="S379" s="3"/>
      <c r="T379" s="3"/>
      <c r="U379" s="6">
        <v>1.0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97"/>
      <c r="BO379" s="3"/>
      <c r="BP379" s="3"/>
      <c r="BQ379" s="10"/>
    </row>
    <row r="380">
      <c r="A380" s="1">
        <v>5.0</v>
      </c>
      <c r="B380" s="2" t="s">
        <v>708</v>
      </c>
      <c r="C380" s="2" t="s">
        <v>124</v>
      </c>
      <c r="D380" s="2" t="s">
        <v>173</v>
      </c>
      <c r="E380" s="93"/>
      <c r="F380" s="93"/>
      <c r="G380" s="93"/>
      <c r="H380" s="93"/>
      <c r="I380" s="3" t="str">
        <f t="shared" si="1"/>
        <v>41111030H</v>
      </c>
      <c r="J380" s="3"/>
      <c r="K380" s="3"/>
      <c r="L380" s="94" t="s">
        <v>732</v>
      </c>
      <c r="M380" s="4">
        <v>2.0</v>
      </c>
      <c r="N380" s="3"/>
      <c r="O380" s="93"/>
      <c r="P380" s="3"/>
      <c r="Q380" s="3"/>
      <c r="R380" s="3"/>
      <c r="S380" s="3"/>
      <c r="T380" s="3"/>
      <c r="U380" s="6">
        <v>1.0</v>
      </c>
      <c r="V380" s="3"/>
      <c r="W380" s="6" t="s">
        <v>304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97"/>
      <c r="BO380" s="3"/>
      <c r="BP380" s="3"/>
      <c r="BQ380" s="10"/>
    </row>
    <row r="381">
      <c r="A381" s="1">
        <v>5.0</v>
      </c>
      <c r="B381" s="2" t="s">
        <v>708</v>
      </c>
      <c r="C381" s="2" t="s">
        <v>124</v>
      </c>
      <c r="D381" s="2" t="s">
        <v>733</v>
      </c>
      <c r="E381" s="93"/>
      <c r="F381" s="93"/>
      <c r="G381" s="93"/>
      <c r="H381" s="93"/>
      <c r="I381" s="3" t="str">
        <f t="shared" si="1"/>
        <v>41111030I</v>
      </c>
      <c r="J381" s="3"/>
      <c r="K381" s="3"/>
      <c r="L381" s="94" t="s">
        <v>734</v>
      </c>
      <c r="M381" s="4">
        <v>2.0</v>
      </c>
      <c r="N381" s="3"/>
      <c r="O381" s="93"/>
      <c r="P381" s="3"/>
      <c r="Q381" s="3"/>
      <c r="R381" s="3"/>
      <c r="S381" s="3"/>
      <c r="T381" s="3"/>
      <c r="U381" s="6">
        <v>1.0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97"/>
      <c r="BO381" s="3"/>
      <c r="BP381" s="3"/>
      <c r="BQ381" s="10"/>
    </row>
    <row r="382">
      <c r="A382" s="1">
        <v>5.0</v>
      </c>
      <c r="B382" s="2" t="s">
        <v>708</v>
      </c>
      <c r="C382" s="2" t="s">
        <v>124</v>
      </c>
      <c r="D382" s="2" t="s">
        <v>187</v>
      </c>
      <c r="E382" s="93"/>
      <c r="F382" s="93"/>
      <c r="G382" s="93"/>
      <c r="H382" s="93"/>
      <c r="I382" s="3" t="str">
        <f t="shared" si="1"/>
        <v>41111030L</v>
      </c>
      <c r="J382" s="3"/>
      <c r="K382" s="3"/>
      <c r="L382" s="94" t="s">
        <v>735</v>
      </c>
      <c r="M382" s="4">
        <v>2.0</v>
      </c>
      <c r="N382" s="3"/>
      <c r="O382" s="93"/>
      <c r="P382" s="3"/>
      <c r="Q382" s="3"/>
      <c r="R382" s="3"/>
      <c r="S382" s="3"/>
      <c r="T382" s="3"/>
      <c r="U382" s="6">
        <v>1.0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97"/>
      <c r="BO382" s="3"/>
      <c r="BP382" s="3"/>
      <c r="BQ382" s="10"/>
    </row>
    <row r="383">
      <c r="A383" s="1">
        <v>5.0</v>
      </c>
      <c r="B383" s="2" t="s">
        <v>708</v>
      </c>
      <c r="C383" s="2" t="s">
        <v>124</v>
      </c>
      <c r="D383" s="2" t="s">
        <v>191</v>
      </c>
      <c r="E383" s="93"/>
      <c r="F383" s="93"/>
      <c r="G383" s="93"/>
      <c r="H383" s="93"/>
      <c r="I383" s="3" t="str">
        <f t="shared" si="1"/>
        <v>41111030M</v>
      </c>
      <c r="J383" s="3"/>
      <c r="K383" s="3"/>
      <c r="L383" s="94" t="s">
        <v>736</v>
      </c>
      <c r="M383" s="4">
        <v>2.0</v>
      </c>
      <c r="N383" s="3"/>
      <c r="O383" s="93"/>
      <c r="P383" s="3"/>
      <c r="Q383" s="3"/>
      <c r="R383" s="3"/>
      <c r="S383" s="3"/>
      <c r="T383" s="3"/>
      <c r="U383" s="6">
        <v>1.0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97"/>
      <c r="BO383" s="3"/>
      <c r="BP383" s="3"/>
      <c r="BQ383" s="10"/>
    </row>
    <row r="384">
      <c r="A384" s="1">
        <v>5.0</v>
      </c>
      <c r="B384" s="2" t="s">
        <v>708</v>
      </c>
      <c r="C384" s="2" t="s">
        <v>124</v>
      </c>
      <c r="D384" s="2" t="s">
        <v>193</v>
      </c>
      <c r="E384" s="93"/>
      <c r="F384" s="93"/>
      <c r="G384" s="93"/>
      <c r="H384" s="93"/>
      <c r="I384" s="3" t="str">
        <f t="shared" si="1"/>
        <v>41111030N</v>
      </c>
      <c r="J384" s="3"/>
      <c r="K384" s="3"/>
      <c r="L384" s="94" t="s">
        <v>737</v>
      </c>
      <c r="M384" s="4">
        <v>2.0</v>
      </c>
      <c r="N384" s="3"/>
      <c r="O384" s="93"/>
      <c r="P384" s="3"/>
      <c r="Q384" s="3"/>
      <c r="R384" s="3"/>
      <c r="S384" s="3"/>
      <c r="T384" s="3"/>
      <c r="U384" s="6">
        <v>2.0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97"/>
      <c r="BO384" s="3"/>
      <c r="BP384" s="3"/>
      <c r="BQ384" s="10"/>
    </row>
    <row r="385">
      <c r="A385" s="1">
        <v>4.0</v>
      </c>
      <c r="B385" s="2" t="s">
        <v>708</v>
      </c>
      <c r="C385" s="2" t="s">
        <v>127</v>
      </c>
      <c r="D385" s="93"/>
      <c r="E385" s="93"/>
      <c r="F385" s="93"/>
      <c r="G385" s="93"/>
      <c r="H385" s="93"/>
      <c r="I385" s="3" t="str">
        <f t="shared" si="1"/>
        <v>4111104</v>
      </c>
      <c r="J385" s="3"/>
      <c r="K385" s="3"/>
      <c r="L385" s="94" t="s">
        <v>738</v>
      </c>
      <c r="M385" s="4">
        <v>2.0</v>
      </c>
      <c r="N385" s="3"/>
      <c r="O385" s="93"/>
      <c r="P385" s="3"/>
      <c r="Q385" s="3"/>
      <c r="R385" s="3"/>
      <c r="S385" s="3"/>
      <c r="T385" s="3"/>
      <c r="U385" s="6">
        <v>1.0</v>
      </c>
      <c r="V385" s="3"/>
      <c r="W385" s="6" t="s">
        <v>435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97"/>
      <c r="BO385" s="3"/>
      <c r="BP385" s="3"/>
      <c r="BQ385" s="10"/>
    </row>
    <row r="386">
      <c r="A386" s="1">
        <v>5.0</v>
      </c>
      <c r="B386" s="2" t="s">
        <v>708</v>
      </c>
      <c r="C386" s="2" t="s">
        <v>127</v>
      </c>
      <c r="D386" s="2" t="s">
        <v>76</v>
      </c>
      <c r="E386" s="93"/>
      <c r="F386" s="93"/>
      <c r="G386" s="93"/>
      <c r="H386" s="93"/>
      <c r="I386" s="3" t="str">
        <f t="shared" si="1"/>
        <v>411110401</v>
      </c>
      <c r="J386" s="3"/>
      <c r="K386" s="3"/>
      <c r="L386" s="94" t="s">
        <v>739</v>
      </c>
      <c r="M386" s="4">
        <v>2.0</v>
      </c>
      <c r="N386" s="3"/>
      <c r="O386" s="93"/>
      <c r="P386" s="3"/>
      <c r="Q386" s="3"/>
      <c r="R386" s="3"/>
      <c r="S386" s="3"/>
      <c r="T386" s="3"/>
      <c r="U386" s="6">
        <v>1.0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97"/>
      <c r="BO386" s="3"/>
      <c r="BP386" s="3"/>
      <c r="BQ386" s="10"/>
    </row>
    <row r="387">
      <c r="A387" s="1">
        <v>5.0</v>
      </c>
      <c r="B387" s="2" t="s">
        <v>708</v>
      </c>
      <c r="C387" s="2" t="s">
        <v>127</v>
      </c>
      <c r="D387" s="2" t="s">
        <v>119</v>
      </c>
      <c r="E387" s="93"/>
      <c r="F387" s="93"/>
      <c r="G387" s="93"/>
      <c r="H387" s="93"/>
      <c r="I387" s="3" t="str">
        <f t="shared" si="1"/>
        <v>411110402</v>
      </c>
      <c r="J387" s="3"/>
      <c r="K387" s="3"/>
      <c r="L387" s="94" t="s">
        <v>740</v>
      </c>
      <c r="M387" s="4">
        <v>2.0</v>
      </c>
      <c r="N387" s="3"/>
      <c r="O387" s="93"/>
      <c r="P387" s="3"/>
      <c r="Q387" s="3"/>
      <c r="R387" s="3"/>
      <c r="S387" s="3"/>
      <c r="T387" s="3"/>
      <c r="U387" s="6">
        <v>1.0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97"/>
      <c r="BO387" s="3"/>
      <c r="BP387" s="3"/>
      <c r="BQ387" s="10"/>
    </row>
    <row r="388">
      <c r="A388" s="1">
        <v>5.0</v>
      </c>
      <c r="B388" s="2" t="s">
        <v>708</v>
      </c>
      <c r="C388" s="2" t="s">
        <v>127</v>
      </c>
      <c r="D388" s="2" t="s">
        <v>124</v>
      </c>
      <c r="E388" s="93"/>
      <c r="F388" s="93"/>
      <c r="G388" s="93"/>
      <c r="H388" s="93"/>
      <c r="I388" s="3" t="str">
        <f t="shared" si="1"/>
        <v>411110403</v>
      </c>
      <c r="J388" s="3"/>
      <c r="K388" s="3"/>
      <c r="L388" s="94" t="s">
        <v>741</v>
      </c>
      <c r="M388" s="4">
        <v>2.0</v>
      </c>
      <c r="N388" s="3"/>
      <c r="O388" s="93"/>
      <c r="P388" s="3"/>
      <c r="Q388" s="3"/>
      <c r="R388" s="3"/>
      <c r="S388" s="3"/>
      <c r="T388" s="3"/>
      <c r="U388" s="6">
        <v>1.0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97"/>
      <c r="BO388" s="3"/>
      <c r="BP388" s="3"/>
      <c r="BQ388" s="10"/>
    </row>
    <row r="389">
      <c r="A389" s="1">
        <v>4.0</v>
      </c>
      <c r="B389" s="2" t="s">
        <v>708</v>
      </c>
      <c r="C389" s="2" t="s">
        <v>91</v>
      </c>
      <c r="D389" s="93"/>
      <c r="E389" s="93"/>
      <c r="F389" s="93"/>
      <c r="G389" s="93"/>
      <c r="H389" s="93"/>
      <c r="I389" s="3" t="str">
        <f t="shared" si="1"/>
        <v>4111105</v>
      </c>
      <c r="J389" s="3"/>
      <c r="K389" s="3"/>
      <c r="L389" s="94" t="s">
        <v>742</v>
      </c>
      <c r="M389" s="4">
        <v>2.0</v>
      </c>
      <c r="N389" s="3"/>
      <c r="O389" s="93"/>
      <c r="P389" s="3"/>
      <c r="Q389" s="3"/>
      <c r="R389" s="3"/>
      <c r="S389" s="3"/>
      <c r="T389" s="3"/>
      <c r="U389" s="6">
        <v>1.0</v>
      </c>
      <c r="V389" s="3"/>
      <c r="W389" s="6" t="s">
        <v>435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97"/>
      <c r="BO389" s="3"/>
      <c r="BP389" s="3"/>
      <c r="BQ389" s="10"/>
    </row>
    <row r="390">
      <c r="A390" s="1">
        <v>5.0</v>
      </c>
      <c r="B390" s="2" t="s">
        <v>708</v>
      </c>
      <c r="C390" s="2" t="s">
        <v>91</v>
      </c>
      <c r="D390" s="2" t="s">
        <v>76</v>
      </c>
      <c r="E390" s="93"/>
      <c r="F390" s="93"/>
      <c r="G390" s="93"/>
      <c r="H390" s="93"/>
      <c r="I390" s="3" t="str">
        <f t="shared" si="1"/>
        <v>411110501</v>
      </c>
      <c r="J390" s="3"/>
      <c r="K390" s="3"/>
      <c r="L390" s="94" t="s">
        <v>739</v>
      </c>
      <c r="M390" s="4">
        <v>2.0</v>
      </c>
      <c r="N390" s="3"/>
      <c r="O390" s="93"/>
      <c r="P390" s="3"/>
      <c r="Q390" s="3"/>
      <c r="R390" s="3"/>
      <c r="S390" s="3"/>
      <c r="T390" s="3"/>
      <c r="U390" s="6">
        <v>1.0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97"/>
      <c r="BO390" s="3"/>
      <c r="BP390" s="3"/>
      <c r="BQ390" s="10"/>
    </row>
    <row r="391">
      <c r="A391" s="1">
        <v>5.0</v>
      </c>
      <c r="B391" s="2" t="s">
        <v>708</v>
      </c>
      <c r="C391" s="2" t="s">
        <v>91</v>
      </c>
      <c r="D391" s="2" t="s">
        <v>119</v>
      </c>
      <c r="E391" s="93"/>
      <c r="F391" s="93"/>
      <c r="G391" s="93"/>
      <c r="H391" s="93"/>
      <c r="I391" s="3" t="str">
        <f t="shared" si="1"/>
        <v>411110502</v>
      </c>
      <c r="J391" s="3"/>
      <c r="K391" s="3"/>
      <c r="L391" s="94" t="s">
        <v>740</v>
      </c>
      <c r="M391" s="4">
        <v>2.0</v>
      </c>
      <c r="N391" s="3"/>
      <c r="O391" s="93"/>
      <c r="P391" s="3"/>
      <c r="Q391" s="3"/>
      <c r="R391" s="3"/>
      <c r="S391" s="3"/>
      <c r="T391" s="3"/>
      <c r="U391" s="6">
        <v>1.0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97"/>
      <c r="BO391" s="3"/>
      <c r="BP391" s="3"/>
      <c r="BQ391" s="10"/>
    </row>
    <row r="392">
      <c r="A392" s="1">
        <v>5.0</v>
      </c>
      <c r="B392" s="2" t="s">
        <v>708</v>
      </c>
      <c r="C392" s="2" t="s">
        <v>91</v>
      </c>
      <c r="D392" s="2" t="s">
        <v>124</v>
      </c>
      <c r="E392" s="93"/>
      <c r="F392" s="93"/>
      <c r="G392" s="93"/>
      <c r="H392" s="93"/>
      <c r="I392" s="3" t="str">
        <f t="shared" si="1"/>
        <v>411110503</v>
      </c>
      <c r="J392" s="3"/>
      <c r="K392" s="3"/>
      <c r="L392" s="94" t="s">
        <v>741</v>
      </c>
      <c r="M392" s="4">
        <v>2.0</v>
      </c>
      <c r="N392" s="3"/>
      <c r="O392" s="93"/>
      <c r="P392" s="3"/>
      <c r="Q392" s="3"/>
      <c r="R392" s="3"/>
      <c r="S392" s="3"/>
      <c r="T392" s="3"/>
      <c r="U392" s="6">
        <v>1.0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97"/>
      <c r="BO392" s="3"/>
      <c r="BP392" s="3"/>
      <c r="BQ392" s="10"/>
    </row>
    <row r="393">
      <c r="A393" s="1">
        <v>4.0</v>
      </c>
      <c r="B393" s="2" t="s">
        <v>708</v>
      </c>
      <c r="C393" s="2" t="s">
        <v>133</v>
      </c>
      <c r="D393" s="93"/>
      <c r="E393" s="93"/>
      <c r="F393" s="93"/>
      <c r="G393" s="93"/>
      <c r="H393" s="93"/>
      <c r="I393" s="3" t="str">
        <f t="shared" si="1"/>
        <v>4111106</v>
      </c>
      <c r="J393" s="3"/>
      <c r="K393" s="3"/>
      <c r="L393" s="94" t="s">
        <v>743</v>
      </c>
      <c r="M393" s="4">
        <v>1.0</v>
      </c>
      <c r="N393" s="3"/>
      <c r="O393" s="95" t="s">
        <v>744</v>
      </c>
      <c r="P393" s="3"/>
      <c r="Q393" s="3"/>
      <c r="R393" s="3"/>
      <c r="S393" s="3"/>
      <c r="T393" s="3"/>
      <c r="U393" s="6">
        <v>1.0</v>
      </c>
      <c r="V393" s="3"/>
      <c r="W393" s="6" t="s">
        <v>78</v>
      </c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6" t="s">
        <v>80</v>
      </c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97"/>
      <c r="BO393" s="3"/>
      <c r="BP393" s="3"/>
      <c r="BQ393" s="10"/>
    </row>
    <row r="394">
      <c r="A394" s="1">
        <v>5.0</v>
      </c>
      <c r="B394" s="2" t="s">
        <v>708</v>
      </c>
      <c r="C394" s="2" t="s">
        <v>133</v>
      </c>
      <c r="D394" s="2" t="s">
        <v>76</v>
      </c>
      <c r="E394" s="93"/>
      <c r="F394" s="93"/>
      <c r="G394" s="93"/>
      <c r="H394" s="93"/>
      <c r="I394" s="3" t="str">
        <f t="shared" si="1"/>
        <v>411110601</v>
      </c>
      <c r="J394" s="3"/>
      <c r="K394" s="3"/>
      <c r="L394" s="94" t="s">
        <v>745</v>
      </c>
      <c r="M394" s="4">
        <v>2.0</v>
      </c>
      <c r="N394" s="3"/>
      <c r="O394" s="93"/>
      <c r="P394" s="3"/>
      <c r="Q394" s="3"/>
      <c r="R394" s="3"/>
      <c r="S394" s="3"/>
      <c r="T394" s="3"/>
      <c r="U394" s="6">
        <v>1.0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97"/>
      <c r="BO394" s="3"/>
      <c r="BP394" s="3"/>
      <c r="BQ394" s="10"/>
    </row>
    <row r="395">
      <c r="A395" s="1">
        <v>5.0</v>
      </c>
      <c r="B395" s="2" t="s">
        <v>708</v>
      </c>
      <c r="C395" s="2" t="s">
        <v>133</v>
      </c>
      <c r="D395" s="2" t="s">
        <v>119</v>
      </c>
      <c r="E395" s="93"/>
      <c r="F395" s="93"/>
      <c r="G395" s="93"/>
      <c r="H395" s="93"/>
      <c r="I395" s="3" t="str">
        <f t="shared" si="1"/>
        <v>411110602</v>
      </c>
      <c r="J395" s="3"/>
      <c r="K395" s="3"/>
      <c r="L395" s="94" t="s">
        <v>746</v>
      </c>
      <c r="M395" s="4">
        <v>2.0</v>
      </c>
      <c r="N395" s="3"/>
      <c r="O395" s="93"/>
      <c r="P395" s="3"/>
      <c r="Q395" s="3"/>
      <c r="R395" s="3"/>
      <c r="S395" s="3"/>
      <c r="T395" s="3"/>
      <c r="U395" s="6">
        <v>1.0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97"/>
      <c r="BO395" s="3"/>
      <c r="BP395" s="3"/>
      <c r="BQ395" s="10"/>
    </row>
    <row r="396">
      <c r="A396" s="1">
        <v>5.0</v>
      </c>
      <c r="B396" s="2" t="s">
        <v>708</v>
      </c>
      <c r="C396" s="2" t="s">
        <v>133</v>
      </c>
      <c r="D396" s="2" t="s">
        <v>124</v>
      </c>
      <c r="E396" s="93"/>
      <c r="F396" s="93"/>
      <c r="G396" s="93"/>
      <c r="H396" s="93"/>
      <c r="I396" s="3" t="str">
        <f t="shared" si="1"/>
        <v>411110603</v>
      </c>
      <c r="J396" s="3"/>
      <c r="K396" s="3"/>
      <c r="L396" s="94" t="s">
        <v>747</v>
      </c>
      <c r="M396" s="4">
        <v>2.0</v>
      </c>
      <c r="N396" s="3"/>
      <c r="O396" s="93"/>
      <c r="P396" s="3"/>
      <c r="Q396" s="3"/>
      <c r="R396" s="3"/>
      <c r="S396" s="3"/>
      <c r="T396" s="3"/>
      <c r="U396" s="6">
        <v>1.0</v>
      </c>
      <c r="V396" s="3"/>
      <c r="W396" s="6" t="s">
        <v>304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97"/>
      <c r="BO396" s="3"/>
      <c r="BP396" s="3"/>
      <c r="BQ396" s="10"/>
    </row>
    <row r="397">
      <c r="A397" s="1">
        <v>5.0</v>
      </c>
      <c r="B397" s="2" t="s">
        <v>708</v>
      </c>
      <c r="C397" s="2" t="s">
        <v>133</v>
      </c>
      <c r="D397" s="2" t="s">
        <v>127</v>
      </c>
      <c r="E397" s="93"/>
      <c r="F397" s="93"/>
      <c r="G397" s="93"/>
      <c r="H397" s="93"/>
      <c r="I397" s="3" t="str">
        <f t="shared" si="1"/>
        <v>411110604</v>
      </c>
      <c r="J397" s="3"/>
      <c r="K397" s="3"/>
      <c r="L397" s="94" t="s">
        <v>748</v>
      </c>
      <c r="M397" s="4">
        <v>2.0</v>
      </c>
      <c r="N397" s="3"/>
      <c r="O397" s="93"/>
      <c r="P397" s="3"/>
      <c r="Q397" s="3"/>
      <c r="R397" s="3"/>
      <c r="S397" s="3"/>
      <c r="T397" s="3"/>
      <c r="U397" s="6">
        <v>1.0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97"/>
      <c r="BO397" s="3"/>
      <c r="BP397" s="3"/>
      <c r="BQ397" s="10"/>
    </row>
    <row r="398">
      <c r="A398" s="1">
        <v>5.0</v>
      </c>
      <c r="B398" s="2" t="s">
        <v>708</v>
      </c>
      <c r="C398" s="2" t="s">
        <v>133</v>
      </c>
      <c r="D398" s="2" t="s">
        <v>91</v>
      </c>
      <c r="E398" s="93"/>
      <c r="F398" s="93"/>
      <c r="G398" s="93"/>
      <c r="H398" s="93"/>
      <c r="I398" s="3" t="str">
        <f t="shared" si="1"/>
        <v>411110605</v>
      </c>
      <c r="J398" s="3"/>
      <c r="K398" s="3"/>
      <c r="L398" s="94" t="s">
        <v>749</v>
      </c>
      <c r="M398" s="4">
        <v>2.0</v>
      </c>
      <c r="N398" s="3"/>
      <c r="O398" s="93"/>
      <c r="P398" s="3"/>
      <c r="Q398" s="3"/>
      <c r="R398" s="3"/>
      <c r="S398" s="3"/>
      <c r="T398" s="3"/>
      <c r="U398" s="6">
        <v>1.0</v>
      </c>
      <c r="V398" s="3"/>
      <c r="W398" s="6" t="s">
        <v>304</v>
      </c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97"/>
      <c r="BO398" s="3"/>
      <c r="BP398" s="3"/>
      <c r="BQ398" s="10"/>
    </row>
    <row r="399">
      <c r="A399" s="1">
        <v>5.0</v>
      </c>
      <c r="B399" s="2" t="s">
        <v>708</v>
      </c>
      <c r="C399" s="2" t="s">
        <v>133</v>
      </c>
      <c r="D399" s="2" t="s">
        <v>133</v>
      </c>
      <c r="E399" s="93"/>
      <c r="F399" s="93"/>
      <c r="G399" s="93"/>
      <c r="H399" s="93"/>
      <c r="I399" s="3" t="str">
        <f t="shared" si="1"/>
        <v>411110606</v>
      </c>
      <c r="J399" s="3"/>
      <c r="K399" s="3"/>
      <c r="L399" s="94" t="s">
        <v>750</v>
      </c>
      <c r="M399" s="4">
        <v>2.0</v>
      </c>
      <c r="N399" s="3"/>
      <c r="O399" s="93"/>
      <c r="P399" s="3"/>
      <c r="Q399" s="3"/>
      <c r="R399" s="3"/>
      <c r="S399" s="3"/>
      <c r="T399" s="3"/>
      <c r="U399" s="6">
        <v>1.0</v>
      </c>
      <c r="V399" s="3"/>
      <c r="W399" s="6" t="s">
        <v>304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97"/>
      <c r="BO399" s="3"/>
      <c r="BP399" s="3"/>
      <c r="BQ399" s="10"/>
    </row>
    <row r="400">
      <c r="A400" s="1">
        <v>5.0</v>
      </c>
      <c r="B400" s="2" t="s">
        <v>708</v>
      </c>
      <c r="C400" s="2" t="s">
        <v>133</v>
      </c>
      <c r="D400" s="2" t="s">
        <v>136</v>
      </c>
      <c r="E400" s="93"/>
      <c r="F400" s="93"/>
      <c r="G400" s="93"/>
      <c r="H400" s="93"/>
      <c r="I400" s="3" t="str">
        <f t="shared" si="1"/>
        <v>411110607</v>
      </c>
      <c r="J400" s="3"/>
      <c r="K400" s="3"/>
      <c r="L400" s="94" t="s">
        <v>751</v>
      </c>
      <c r="M400" s="4">
        <v>2.0</v>
      </c>
      <c r="N400" s="3"/>
      <c r="O400" s="93"/>
      <c r="P400" s="3"/>
      <c r="Q400" s="3"/>
      <c r="R400" s="3"/>
      <c r="S400" s="3"/>
      <c r="T400" s="3"/>
      <c r="U400" s="6">
        <v>1.0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97"/>
      <c r="BO400" s="3"/>
      <c r="BP400" s="3"/>
      <c r="BQ400" s="10"/>
    </row>
    <row r="401">
      <c r="A401" s="1">
        <v>5.0</v>
      </c>
      <c r="B401" s="2" t="s">
        <v>708</v>
      </c>
      <c r="C401" s="2" t="s">
        <v>133</v>
      </c>
      <c r="D401" s="2" t="s">
        <v>138</v>
      </c>
      <c r="E401" s="93"/>
      <c r="F401" s="93"/>
      <c r="G401" s="93"/>
      <c r="H401" s="93"/>
      <c r="I401" s="3" t="str">
        <f t="shared" si="1"/>
        <v>411110608</v>
      </c>
      <c r="J401" s="3"/>
      <c r="K401" s="3"/>
      <c r="L401" s="94" t="s">
        <v>752</v>
      </c>
      <c r="M401" s="4">
        <v>2.0</v>
      </c>
      <c r="N401" s="3"/>
      <c r="O401" s="93"/>
      <c r="P401" s="3"/>
      <c r="Q401" s="3"/>
      <c r="R401" s="3"/>
      <c r="S401" s="3"/>
      <c r="T401" s="3"/>
      <c r="U401" s="6">
        <v>1.0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97"/>
      <c r="BO401" s="3"/>
      <c r="BP401" s="3"/>
      <c r="BQ401" s="10"/>
    </row>
    <row r="402">
      <c r="A402" s="1">
        <v>5.0</v>
      </c>
      <c r="B402" s="2" t="s">
        <v>708</v>
      </c>
      <c r="C402" s="2" t="s">
        <v>133</v>
      </c>
      <c r="D402" s="2" t="s">
        <v>142</v>
      </c>
      <c r="E402" s="93"/>
      <c r="F402" s="93"/>
      <c r="G402" s="93"/>
      <c r="H402" s="93"/>
      <c r="I402" s="3" t="str">
        <f t="shared" si="1"/>
        <v>411110609</v>
      </c>
      <c r="J402" s="3"/>
      <c r="K402" s="3"/>
      <c r="L402" s="94" t="s">
        <v>753</v>
      </c>
      <c r="M402" s="4">
        <v>2.0</v>
      </c>
      <c r="N402" s="3"/>
      <c r="O402" s="93"/>
      <c r="P402" s="3"/>
      <c r="Q402" s="3"/>
      <c r="R402" s="3"/>
      <c r="S402" s="3"/>
      <c r="T402" s="3"/>
      <c r="U402" s="6">
        <v>1.0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97"/>
      <c r="BO402" s="3"/>
      <c r="BP402" s="3"/>
      <c r="BQ402" s="10"/>
    </row>
    <row r="403">
      <c r="A403" s="1">
        <v>5.0</v>
      </c>
      <c r="B403" s="2" t="s">
        <v>708</v>
      </c>
      <c r="C403" s="2" t="s">
        <v>133</v>
      </c>
      <c r="D403" s="2" t="s">
        <v>149</v>
      </c>
      <c r="E403" s="93"/>
      <c r="F403" s="93"/>
      <c r="G403" s="93"/>
      <c r="H403" s="93"/>
      <c r="I403" s="3" t="str">
        <f t="shared" si="1"/>
        <v>41111060A</v>
      </c>
      <c r="J403" s="3"/>
      <c r="K403" s="3"/>
      <c r="L403" s="94" t="s">
        <v>754</v>
      </c>
      <c r="M403" s="4">
        <v>2.0</v>
      </c>
      <c r="N403" s="3"/>
      <c r="O403" s="93"/>
      <c r="P403" s="3"/>
      <c r="Q403" s="3"/>
      <c r="R403" s="3"/>
      <c r="S403" s="3"/>
      <c r="T403" s="3"/>
      <c r="U403" s="6">
        <v>1.0</v>
      </c>
      <c r="V403" s="3"/>
      <c r="W403" s="6" t="s">
        <v>304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97"/>
      <c r="BO403" s="3"/>
      <c r="BP403" s="3"/>
      <c r="BQ403" s="10"/>
    </row>
    <row r="404">
      <c r="A404" s="1">
        <v>5.0</v>
      </c>
      <c r="B404" s="2" t="s">
        <v>708</v>
      </c>
      <c r="C404" s="2" t="s">
        <v>133</v>
      </c>
      <c r="D404" s="2" t="s">
        <v>151</v>
      </c>
      <c r="E404" s="93"/>
      <c r="F404" s="93"/>
      <c r="G404" s="93"/>
      <c r="H404" s="93"/>
      <c r="I404" s="3" t="str">
        <f t="shared" si="1"/>
        <v>41111060B</v>
      </c>
      <c r="J404" s="3"/>
      <c r="K404" s="3"/>
      <c r="L404" s="94" t="s">
        <v>755</v>
      </c>
      <c r="M404" s="4">
        <v>2.0</v>
      </c>
      <c r="N404" s="3"/>
      <c r="O404" s="93"/>
      <c r="P404" s="3"/>
      <c r="Q404" s="3"/>
      <c r="R404" s="3"/>
      <c r="S404" s="3"/>
      <c r="T404" s="3"/>
      <c r="U404" s="6">
        <v>1.0</v>
      </c>
      <c r="V404" s="3"/>
      <c r="W404" s="6" t="s">
        <v>304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97"/>
      <c r="BO404" s="3"/>
      <c r="BP404" s="3"/>
      <c r="BQ404" s="10"/>
    </row>
    <row r="405">
      <c r="A405" s="1">
        <v>5.0</v>
      </c>
      <c r="B405" s="2" t="s">
        <v>708</v>
      </c>
      <c r="C405" s="2" t="s">
        <v>133</v>
      </c>
      <c r="D405" s="2" t="s">
        <v>155</v>
      </c>
      <c r="E405" s="93"/>
      <c r="F405" s="93"/>
      <c r="G405" s="93"/>
      <c r="H405" s="93"/>
      <c r="I405" s="3" t="str">
        <f t="shared" si="1"/>
        <v>41111060C</v>
      </c>
      <c r="J405" s="3"/>
      <c r="K405" s="3"/>
      <c r="L405" s="94" t="s">
        <v>756</v>
      </c>
      <c r="M405" s="4">
        <v>2.0</v>
      </c>
      <c r="N405" s="3"/>
      <c r="O405" s="93"/>
      <c r="P405" s="3"/>
      <c r="Q405" s="3"/>
      <c r="R405" s="3"/>
      <c r="S405" s="3"/>
      <c r="T405" s="3"/>
      <c r="U405" s="6">
        <v>1.0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97"/>
      <c r="BO405" s="3"/>
      <c r="BP405" s="3"/>
      <c r="BQ405" s="10"/>
    </row>
    <row r="406">
      <c r="A406" s="1">
        <v>5.0</v>
      </c>
      <c r="B406" s="2" t="s">
        <v>708</v>
      </c>
      <c r="C406" s="2" t="s">
        <v>133</v>
      </c>
      <c r="D406" s="2" t="s">
        <v>158</v>
      </c>
      <c r="E406" s="93"/>
      <c r="F406" s="93"/>
      <c r="G406" s="93"/>
      <c r="H406" s="93"/>
      <c r="I406" s="3" t="str">
        <f t="shared" si="1"/>
        <v>41111060D</v>
      </c>
      <c r="J406" s="3"/>
      <c r="K406" s="3"/>
      <c r="L406" s="94" t="s">
        <v>757</v>
      </c>
      <c r="M406" s="4">
        <v>2.0</v>
      </c>
      <c r="N406" s="3"/>
      <c r="O406" s="93"/>
      <c r="P406" s="3"/>
      <c r="Q406" s="3"/>
      <c r="R406" s="3"/>
      <c r="S406" s="3"/>
      <c r="T406" s="3"/>
      <c r="U406" s="6">
        <v>1.0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97"/>
      <c r="BO406" s="3"/>
      <c r="BP406" s="3"/>
      <c r="BQ406" s="10"/>
    </row>
    <row r="407">
      <c r="A407" s="1">
        <v>5.0</v>
      </c>
      <c r="B407" s="2" t="s">
        <v>708</v>
      </c>
      <c r="C407" s="2" t="s">
        <v>133</v>
      </c>
      <c r="D407" s="2" t="s">
        <v>162</v>
      </c>
      <c r="E407" s="93"/>
      <c r="F407" s="93"/>
      <c r="G407" s="93"/>
      <c r="H407" s="93"/>
      <c r="I407" s="3" t="str">
        <f t="shared" si="1"/>
        <v>41111060E</v>
      </c>
      <c r="J407" s="3"/>
      <c r="K407" s="3"/>
      <c r="L407" s="94" t="s">
        <v>758</v>
      </c>
      <c r="M407" s="4">
        <v>2.0</v>
      </c>
      <c r="N407" s="3"/>
      <c r="O407" s="93"/>
      <c r="P407" s="3"/>
      <c r="Q407" s="3"/>
      <c r="R407" s="3"/>
      <c r="S407" s="3"/>
      <c r="T407" s="3"/>
      <c r="U407" s="6">
        <v>1.0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97"/>
      <c r="BO407" s="3"/>
      <c r="BP407" s="3"/>
      <c r="BQ407" s="10"/>
    </row>
    <row r="408">
      <c r="A408" s="1">
        <v>5.0</v>
      </c>
      <c r="B408" s="2" t="s">
        <v>708</v>
      </c>
      <c r="C408" s="2" t="s">
        <v>133</v>
      </c>
      <c r="D408" s="2" t="s">
        <v>166</v>
      </c>
      <c r="E408" s="93"/>
      <c r="F408" s="93"/>
      <c r="G408" s="93"/>
      <c r="H408" s="93"/>
      <c r="I408" s="3" t="str">
        <f t="shared" si="1"/>
        <v>41111060F</v>
      </c>
      <c r="J408" s="3"/>
      <c r="K408" s="3"/>
      <c r="L408" s="94" t="s">
        <v>759</v>
      </c>
      <c r="M408" s="4">
        <v>2.0</v>
      </c>
      <c r="N408" s="3"/>
      <c r="O408" s="93"/>
      <c r="P408" s="3"/>
      <c r="Q408" s="3"/>
      <c r="R408" s="3"/>
      <c r="S408" s="3"/>
      <c r="T408" s="3"/>
      <c r="U408" s="6">
        <v>1.0</v>
      </c>
      <c r="V408" s="3"/>
      <c r="W408" s="6" t="s">
        <v>304</v>
      </c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97"/>
      <c r="BO408" s="3"/>
      <c r="BP408" s="3"/>
      <c r="BQ408" s="10"/>
    </row>
    <row r="409">
      <c r="A409" s="1">
        <v>5.0</v>
      </c>
      <c r="B409" s="2" t="s">
        <v>708</v>
      </c>
      <c r="C409" s="2" t="s">
        <v>133</v>
      </c>
      <c r="D409" s="2" t="s">
        <v>170</v>
      </c>
      <c r="E409" s="93"/>
      <c r="F409" s="93"/>
      <c r="G409" s="93"/>
      <c r="H409" s="93"/>
      <c r="I409" s="3" t="str">
        <f t="shared" si="1"/>
        <v>41111060G</v>
      </c>
      <c r="J409" s="3"/>
      <c r="K409" s="3"/>
      <c r="L409" s="94" t="s">
        <v>760</v>
      </c>
      <c r="M409" s="4">
        <v>2.0</v>
      </c>
      <c r="N409" s="3"/>
      <c r="O409" s="93"/>
      <c r="P409" s="3"/>
      <c r="Q409" s="3"/>
      <c r="R409" s="3"/>
      <c r="S409" s="3"/>
      <c r="T409" s="3"/>
      <c r="U409" s="6">
        <v>1.0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97"/>
      <c r="BO409" s="3"/>
      <c r="BP409" s="3"/>
      <c r="BQ409" s="10"/>
    </row>
    <row r="410">
      <c r="A410" s="1">
        <v>5.0</v>
      </c>
      <c r="B410" s="2" t="s">
        <v>708</v>
      </c>
      <c r="C410" s="2" t="s">
        <v>133</v>
      </c>
      <c r="D410" s="2" t="s">
        <v>173</v>
      </c>
      <c r="E410" s="93"/>
      <c r="F410" s="93"/>
      <c r="G410" s="93"/>
      <c r="H410" s="93"/>
      <c r="I410" s="3" t="str">
        <f t="shared" si="1"/>
        <v>41111060H</v>
      </c>
      <c r="J410" s="3"/>
      <c r="K410" s="3"/>
      <c r="L410" s="94" t="s">
        <v>761</v>
      </c>
      <c r="M410" s="4">
        <v>2.0</v>
      </c>
      <c r="N410" s="3"/>
      <c r="O410" s="93"/>
      <c r="P410" s="3"/>
      <c r="Q410" s="3"/>
      <c r="R410" s="3"/>
      <c r="S410" s="3"/>
      <c r="T410" s="3"/>
      <c r="U410" s="6">
        <v>1.0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97"/>
      <c r="BO410" s="3"/>
      <c r="BP410" s="3"/>
      <c r="BQ410" s="10"/>
    </row>
    <row r="411">
      <c r="A411" s="1">
        <v>5.0</v>
      </c>
      <c r="B411" s="2" t="s">
        <v>708</v>
      </c>
      <c r="C411" s="2" t="s">
        <v>133</v>
      </c>
      <c r="D411" s="2" t="s">
        <v>179</v>
      </c>
      <c r="E411" s="93"/>
      <c r="F411" s="93"/>
      <c r="G411" s="93"/>
      <c r="H411" s="93"/>
      <c r="I411" s="3" t="str">
        <f t="shared" si="1"/>
        <v>41111060J</v>
      </c>
      <c r="J411" s="3"/>
      <c r="K411" s="3"/>
      <c r="L411" s="94" t="s">
        <v>727</v>
      </c>
      <c r="M411" s="4">
        <v>2.0</v>
      </c>
      <c r="N411" s="3"/>
      <c r="O411" s="93"/>
      <c r="P411" s="3"/>
      <c r="Q411" s="3"/>
      <c r="R411" s="3"/>
      <c r="S411" s="3"/>
      <c r="T411" s="3"/>
      <c r="U411" s="6">
        <v>1.0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97"/>
      <c r="BO411" s="3"/>
      <c r="BP411" s="3"/>
      <c r="BQ411" s="10"/>
    </row>
    <row r="412">
      <c r="A412" s="1">
        <v>5.0</v>
      </c>
      <c r="B412" s="2" t="s">
        <v>708</v>
      </c>
      <c r="C412" s="2" t="s">
        <v>133</v>
      </c>
      <c r="D412" s="2" t="s">
        <v>183</v>
      </c>
      <c r="E412" s="93"/>
      <c r="F412" s="93"/>
      <c r="G412" s="93"/>
      <c r="H412" s="93"/>
      <c r="I412" s="3" t="str">
        <f t="shared" si="1"/>
        <v>41111060K</v>
      </c>
      <c r="J412" s="3"/>
      <c r="K412" s="3"/>
      <c r="L412" s="94" t="s">
        <v>762</v>
      </c>
      <c r="M412" s="4">
        <v>2.0</v>
      </c>
      <c r="N412" s="3"/>
      <c r="O412" s="93"/>
      <c r="P412" s="3"/>
      <c r="Q412" s="3"/>
      <c r="R412" s="3"/>
      <c r="S412" s="3"/>
      <c r="T412" s="3"/>
      <c r="U412" s="6">
        <v>1.0</v>
      </c>
      <c r="V412" s="3"/>
      <c r="W412" s="6" t="s">
        <v>304</v>
      </c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97"/>
      <c r="BO412" s="3"/>
      <c r="BP412" s="3"/>
      <c r="BQ412" s="10"/>
    </row>
    <row r="413">
      <c r="A413" s="1">
        <v>5.0</v>
      </c>
      <c r="B413" s="2" t="s">
        <v>708</v>
      </c>
      <c r="C413" s="2" t="s">
        <v>133</v>
      </c>
      <c r="D413" s="2" t="s">
        <v>187</v>
      </c>
      <c r="E413" s="93"/>
      <c r="F413" s="93"/>
      <c r="G413" s="93"/>
      <c r="H413" s="93"/>
      <c r="I413" s="3" t="str">
        <f t="shared" si="1"/>
        <v>41111060L</v>
      </c>
      <c r="J413" s="3"/>
      <c r="K413" s="3"/>
      <c r="L413" s="94" t="s">
        <v>763</v>
      </c>
      <c r="M413" s="4">
        <v>2.0</v>
      </c>
      <c r="N413" s="3"/>
      <c r="O413" s="93"/>
      <c r="P413" s="3"/>
      <c r="Q413" s="3"/>
      <c r="R413" s="3"/>
      <c r="S413" s="3"/>
      <c r="T413" s="3"/>
      <c r="U413" s="6">
        <v>1.0</v>
      </c>
      <c r="V413" s="3"/>
      <c r="W413" s="6" t="s">
        <v>304</v>
      </c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97"/>
      <c r="BO413" s="3"/>
      <c r="BP413" s="3"/>
      <c r="BQ413" s="10"/>
    </row>
    <row r="414">
      <c r="A414" s="1">
        <v>5.0</v>
      </c>
      <c r="B414" s="2" t="s">
        <v>708</v>
      </c>
      <c r="C414" s="2" t="s">
        <v>133</v>
      </c>
      <c r="D414" s="2" t="s">
        <v>191</v>
      </c>
      <c r="E414" s="93"/>
      <c r="F414" s="93"/>
      <c r="G414" s="93"/>
      <c r="H414" s="93"/>
      <c r="I414" s="3" t="str">
        <f t="shared" si="1"/>
        <v>41111060M</v>
      </c>
      <c r="J414" s="3"/>
      <c r="K414" s="3"/>
      <c r="L414" s="94" t="s">
        <v>764</v>
      </c>
      <c r="M414" s="4">
        <v>2.0</v>
      </c>
      <c r="N414" s="3"/>
      <c r="O414" s="93"/>
      <c r="P414" s="3"/>
      <c r="Q414" s="3"/>
      <c r="R414" s="3"/>
      <c r="S414" s="3"/>
      <c r="T414" s="3"/>
      <c r="U414" s="6">
        <v>1.0</v>
      </c>
      <c r="V414" s="3"/>
      <c r="W414" s="6" t="s">
        <v>304</v>
      </c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97"/>
      <c r="BO414" s="3"/>
      <c r="BP414" s="3"/>
      <c r="BQ414" s="10"/>
    </row>
    <row r="415">
      <c r="A415" s="1">
        <v>5.0</v>
      </c>
      <c r="B415" s="2" t="s">
        <v>708</v>
      </c>
      <c r="C415" s="2" t="s">
        <v>133</v>
      </c>
      <c r="D415" s="2" t="s">
        <v>193</v>
      </c>
      <c r="E415" s="93"/>
      <c r="F415" s="93"/>
      <c r="G415" s="93"/>
      <c r="H415" s="93"/>
      <c r="I415" s="3" t="str">
        <f t="shared" si="1"/>
        <v>41111060N</v>
      </c>
      <c r="J415" s="3"/>
      <c r="K415" s="3"/>
      <c r="L415" s="94" t="s">
        <v>765</v>
      </c>
      <c r="M415" s="4">
        <v>2.0</v>
      </c>
      <c r="N415" s="3"/>
      <c r="O415" s="93"/>
      <c r="P415" s="3"/>
      <c r="Q415" s="3"/>
      <c r="R415" s="3"/>
      <c r="S415" s="3"/>
      <c r="T415" s="3"/>
      <c r="U415" s="6">
        <v>1.0</v>
      </c>
      <c r="V415" s="3"/>
      <c r="W415" s="6" t="s">
        <v>304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97"/>
      <c r="BO415" s="3"/>
      <c r="BP415" s="3"/>
      <c r="BQ415" s="10"/>
    </row>
    <row r="416">
      <c r="A416" s="1">
        <v>5.0</v>
      </c>
      <c r="B416" s="2" t="s">
        <v>708</v>
      </c>
      <c r="C416" s="2" t="s">
        <v>133</v>
      </c>
      <c r="D416" s="2" t="s">
        <v>198</v>
      </c>
      <c r="E416" s="93"/>
      <c r="F416" s="93"/>
      <c r="G416" s="93"/>
      <c r="H416" s="93"/>
      <c r="I416" s="3" t="str">
        <f t="shared" si="1"/>
        <v>41111060P</v>
      </c>
      <c r="J416" s="3"/>
      <c r="K416" s="3"/>
      <c r="L416" s="94" t="s">
        <v>766</v>
      </c>
      <c r="M416" s="4">
        <v>2.0</v>
      </c>
      <c r="N416" s="3"/>
      <c r="O416" s="93"/>
      <c r="P416" s="3"/>
      <c r="Q416" s="3"/>
      <c r="R416" s="3"/>
      <c r="S416" s="3"/>
      <c r="T416" s="3"/>
      <c r="U416" s="6">
        <v>1.0</v>
      </c>
      <c r="V416" s="3"/>
      <c r="W416" s="6" t="s">
        <v>304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97"/>
      <c r="BO416" s="3"/>
      <c r="BP416" s="3"/>
      <c r="BQ416" s="10"/>
    </row>
    <row r="417">
      <c r="A417" s="1">
        <v>5.0</v>
      </c>
      <c r="B417" s="2" t="s">
        <v>708</v>
      </c>
      <c r="C417" s="2" t="s">
        <v>133</v>
      </c>
      <c r="D417" s="2" t="s">
        <v>200</v>
      </c>
      <c r="E417" s="93"/>
      <c r="F417" s="93"/>
      <c r="G417" s="93"/>
      <c r="H417" s="93"/>
      <c r="I417" s="3" t="str">
        <f t="shared" si="1"/>
        <v>41111060Q</v>
      </c>
      <c r="J417" s="3"/>
      <c r="K417" s="3"/>
      <c r="L417" s="94" t="s">
        <v>767</v>
      </c>
      <c r="M417" s="4">
        <v>2.0</v>
      </c>
      <c r="N417" s="3"/>
      <c r="O417" s="93"/>
      <c r="P417" s="3"/>
      <c r="Q417" s="3"/>
      <c r="R417" s="3"/>
      <c r="S417" s="3"/>
      <c r="T417" s="3"/>
      <c r="U417" s="6">
        <v>1.0</v>
      </c>
      <c r="V417" s="3"/>
      <c r="W417" s="6" t="s">
        <v>304</v>
      </c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97"/>
      <c r="BO417" s="3"/>
      <c r="BP417" s="3"/>
      <c r="BQ417" s="10"/>
    </row>
    <row r="418">
      <c r="A418" s="1">
        <v>5.0</v>
      </c>
      <c r="B418" s="2" t="s">
        <v>708</v>
      </c>
      <c r="C418" s="2" t="s">
        <v>133</v>
      </c>
      <c r="D418" s="2" t="s">
        <v>202</v>
      </c>
      <c r="E418" s="93"/>
      <c r="F418" s="93"/>
      <c r="G418" s="93"/>
      <c r="H418" s="93"/>
      <c r="I418" s="3" t="str">
        <f t="shared" si="1"/>
        <v>41111060R</v>
      </c>
      <c r="J418" s="3"/>
      <c r="K418" s="3"/>
      <c r="L418" s="94" t="s">
        <v>768</v>
      </c>
      <c r="M418" s="4">
        <v>2.0</v>
      </c>
      <c r="N418" s="3"/>
      <c r="O418" s="93"/>
      <c r="P418" s="3"/>
      <c r="Q418" s="3"/>
      <c r="R418" s="3"/>
      <c r="S418" s="3"/>
      <c r="T418" s="3"/>
      <c r="U418" s="6">
        <v>1.0</v>
      </c>
      <c r="V418" s="3"/>
      <c r="W418" s="6" t="s">
        <v>304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97"/>
      <c r="BO418" s="3"/>
      <c r="BP418" s="3"/>
      <c r="BQ418" s="10"/>
    </row>
    <row r="419">
      <c r="A419" s="1">
        <v>5.0</v>
      </c>
      <c r="B419" s="2" t="s">
        <v>708</v>
      </c>
      <c r="C419" s="2" t="s">
        <v>133</v>
      </c>
      <c r="D419" s="2" t="s">
        <v>206</v>
      </c>
      <c r="E419" s="93"/>
      <c r="F419" s="93"/>
      <c r="G419" s="93"/>
      <c r="H419" s="93"/>
      <c r="I419" s="3" t="str">
        <f t="shared" si="1"/>
        <v>41111060S</v>
      </c>
      <c r="J419" s="3"/>
      <c r="K419" s="3"/>
      <c r="L419" s="94" t="s">
        <v>769</v>
      </c>
      <c r="M419" s="4">
        <v>2.0</v>
      </c>
      <c r="N419" s="3"/>
      <c r="O419" s="93"/>
      <c r="P419" s="3"/>
      <c r="Q419" s="3"/>
      <c r="R419" s="3"/>
      <c r="S419" s="3"/>
      <c r="T419" s="3"/>
      <c r="U419" s="6">
        <v>1.0</v>
      </c>
      <c r="V419" s="3"/>
      <c r="W419" s="6" t="s">
        <v>304</v>
      </c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97"/>
      <c r="BO419" s="3"/>
      <c r="BP419" s="3"/>
      <c r="BQ419" s="10"/>
    </row>
    <row r="420">
      <c r="A420" s="1">
        <v>5.0</v>
      </c>
      <c r="B420" s="2" t="s">
        <v>708</v>
      </c>
      <c r="C420" s="2" t="s">
        <v>133</v>
      </c>
      <c r="D420" s="2" t="s">
        <v>211</v>
      </c>
      <c r="E420" s="93"/>
      <c r="F420" s="93"/>
      <c r="G420" s="93"/>
      <c r="H420" s="93"/>
      <c r="I420" s="3" t="str">
        <f t="shared" si="1"/>
        <v>41111060T</v>
      </c>
      <c r="J420" s="3"/>
      <c r="K420" s="3"/>
      <c r="L420" s="94" t="s">
        <v>770</v>
      </c>
      <c r="M420" s="4">
        <v>2.0</v>
      </c>
      <c r="N420" s="3"/>
      <c r="O420" s="93"/>
      <c r="P420" s="3"/>
      <c r="Q420" s="3"/>
      <c r="R420" s="3"/>
      <c r="S420" s="3"/>
      <c r="T420" s="3"/>
      <c r="U420" s="6">
        <v>1.0</v>
      </c>
      <c r="V420" s="3"/>
      <c r="W420" s="6" t="s">
        <v>304</v>
      </c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97"/>
      <c r="BO420" s="3"/>
      <c r="BP420" s="3"/>
      <c r="BQ420" s="10"/>
    </row>
    <row r="421">
      <c r="A421" s="1">
        <v>5.0</v>
      </c>
      <c r="B421" s="2" t="s">
        <v>708</v>
      </c>
      <c r="C421" s="2" t="s">
        <v>133</v>
      </c>
      <c r="D421" s="2" t="s">
        <v>215</v>
      </c>
      <c r="E421" s="93"/>
      <c r="F421" s="93"/>
      <c r="G421" s="93"/>
      <c r="H421" s="93"/>
      <c r="I421" s="3" t="str">
        <f t="shared" si="1"/>
        <v>41111060U</v>
      </c>
      <c r="J421" s="3"/>
      <c r="K421" s="3"/>
      <c r="L421" s="94" t="s">
        <v>771</v>
      </c>
      <c r="M421" s="4">
        <v>2.0</v>
      </c>
      <c r="N421" s="3"/>
      <c r="O421" s="93"/>
      <c r="P421" s="3"/>
      <c r="Q421" s="3"/>
      <c r="R421" s="3"/>
      <c r="S421" s="3"/>
      <c r="T421" s="3"/>
      <c r="U421" s="6">
        <v>1.0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97"/>
      <c r="BO421" s="3"/>
      <c r="BP421" s="3"/>
      <c r="BQ421" s="10"/>
    </row>
    <row r="422">
      <c r="A422" s="1">
        <v>4.0</v>
      </c>
      <c r="B422" s="2" t="s">
        <v>708</v>
      </c>
      <c r="C422" s="2" t="s">
        <v>136</v>
      </c>
      <c r="D422" s="93"/>
      <c r="E422" s="93"/>
      <c r="F422" s="93"/>
      <c r="G422" s="93"/>
      <c r="H422" s="93"/>
      <c r="I422" s="3" t="str">
        <f t="shared" si="1"/>
        <v>4111107</v>
      </c>
      <c r="J422" s="3"/>
      <c r="K422" s="3"/>
      <c r="L422" s="94" t="s">
        <v>772</v>
      </c>
      <c r="M422" s="4">
        <v>2.0</v>
      </c>
      <c r="N422" s="3"/>
      <c r="O422" s="93"/>
      <c r="P422" s="3"/>
      <c r="Q422" s="3"/>
      <c r="R422" s="3"/>
      <c r="S422" s="3"/>
      <c r="T422" s="3"/>
      <c r="U422" s="6">
        <v>1.0</v>
      </c>
      <c r="V422" s="3"/>
      <c r="W422" s="6" t="s">
        <v>435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97"/>
      <c r="BO422" s="3"/>
      <c r="BP422" s="3"/>
      <c r="BQ422" s="10"/>
    </row>
    <row r="423">
      <c r="A423" s="1">
        <v>4.0</v>
      </c>
      <c r="B423" s="2" t="s">
        <v>708</v>
      </c>
      <c r="C423" s="2" t="s">
        <v>138</v>
      </c>
      <c r="D423" s="93"/>
      <c r="E423" s="93"/>
      <c r="F423" s="93"/>
      <c r="G423" s="93"/>
      <c r="H423" s="93"/>
      <c r="I423" s="3" t="str">
        <f t="shared" si="1"/>
        <v>4111108</v>
      </c>
      <c r="J423" s="3"/>
      <c r="K423" s="3"/>
      <c r="L423" s="94" t="s">
        <v>773</v>
      </c>
      <c r="M423" s="4">
        <v>2.0</v>
      </c>
      <c r="N423" s="3"/>
      <c r="O423" s="93"/>
      <c r="P423" s="3"/>
      <c r="Q423" s="3"/>
      <c r="R423" s="3"/>
      <c r="S423" s="3"/>
      <c r="T423" s="3"/>
      <c r="U423" s="6">
        <v>1.0</v>
      </c>
      <c r="V423" s="3"/>
      <c r="W423" s="6" t="s">
        <v>435</v>
      </c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97"/>
      <c r="BO423" s="3"/>
      <c r="BP423" s="3"/>
      <c r="BQ423" s="10"/>
    </row>
    <row r="424">
      <c r="A424" s="1">
        <v>5.0</v>
      </c>
      <c r="B424" s="2" t="s">
        <v>708</v>
      </c>
      <c r="C424" s="2" t="s">
        <v>138</v>
      </c>
      <c r="D424" s="2" t="s">
        <v>76</v>
      </c>
      <c r="E424" s="93"/>
      <c r="F424" s="93"/>
      <c r="G424" s="93"/>
      <c r="H424" s="93"/>
      <c r="I424" s="3" t="str">
        <f t="shared" si="1"/>
        <v>411110801</v>
      </c>
      <c r="J424" s="3"/>
      <c r="K424" s="3"/>
      <c r="L424" s="94" t="s">
        <v>774</v>
      </c>
      <c r="M424" s="4">
        <v>2.0</v>
      </c>
      <c r="N424" s="3"/>
      <c r="O424" s="93"/>
      <c r="P424" s="3"/>
      <c r="Q424" s="3"/>
      <c r="R424" s="3"/>
      <c r="S424" s="3"/>
      <c r="T424" s="3"/>
      <c r="U424" s="6">
        <v>1.0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97"/>
      <c r="BO424" s="3"/>
      <c r="BP424" s="3"/>
      <c r="BQ424" s="10"/>
    </row>
    <row r="425">
      <c r="A425" s="1">
        <v>5.0</v>
      </c>
      <c r="B425" s="2" t="s">
        <v>708</v>
      </c>
      <c r="C425" s="2" t="s">
        <v>138</v>
      </c>
      <c r="D425" s="2" t="s">
        <v>119</v>
      </c>
      <c r="E425" s="93"/>
      <c r="F425" s="93"/>
      <c r="G425" s="93"/>
      <c r="H425" s="93"/>
      <c r="I425" s="3" t="str">
        <f t="shared" si="1"/>
        <v>411110802</v>
      </c>
      <c r="J425" s="3"/>
      <c r="K425" s="3"/>
      <c r="L425" s="94" t="s">
        <v>775</v>
      </c>
      <c r="M425" s="4">
        <v>2.0</v>
      </c>
      <c r="N425" s="3"/>
      <c r="O425" s="93"/>
      <c r="P425" s="3"/>
      <c r="Q425" s="3"/>
      <c r="R425" s="3"/>
      <c r="S425" s="3"/>
      <c r="T425" s="3"/>
      <c r="U425" s="6">
        <v>1.0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97"/>
      <c r="BO425" s="3"/>
      <c r="BP425" s="3"/>
      <c r="BQ425" s="10"/>
    </row>
    <row r="426">
      <c r="A426" s="1">
        <v>5.0</v>
      </c>
      <c r="B426" s="2" t="s">
        <v>708</v>
      </c>
      <c r="C426" s="2" t="s">
        <v>138</v>
      </c>
      <c r="D426" s="2" t="s">
        <v>124</v>
      </c>
      <c r="E426" s="93"/>
      <c r="F426" s="93"/>
      <c r="G426" s="93"/>
      <c r="H426" s="93"/>
      <c r="I426" s="3" t="str">
        <f t="shared" si="1"/>
        <v>411110803</v>
      </c>
      <c r="J426" s="3"/>
      <c r="K426" s="3"/>
      <c r="L426" s="94" t="s">
        <v>776</v>
      </c>
      <c r="M426" s="4">
        <v>2.0</v>
      </c>
      <c r="N426" s="3"/>
      <c r="O426" s="93"/>
      <c r="P426" s="3"/>
      <c r="Q426" s="3"/>
      <c r="R426" s="3"/>
      <c r="S426" s="3"/>
      <c r="T426" s="3"/>
      <c r="U426" s="6">
        <v>1.0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97"/>
      <c r="BO426" s="3"/>
      <c r="BP426" s="3"/>
      <c r="BQ426" s="10"/>
    </row>
    <row r="427">
      <c r="A427" s="1">
        <v>5.0</v>
      </c>
      <c r="B427" s="2" t="s">
        <v>708</v>
      </c>
      <c r="C427" s="2" t="s">
        <v>138</v>
      </c>
      <c r="D427" s="2" t="s">
        <v>127</v>
      </c>
      <c r="E427" s="93"/>
      <c r="F427" s="93"/>
      <c r="G427" s="93"/>
      <c r="H427" s="93"/>
      <c r="I427" s="3" t="str">
        <f t="shared" si="1"/>
        <v>411110804</v>
      </c>
      <c r="J427" s="3"/>
      <c r="K427" s="3"/>
      <c r="L427" s="94" t="s">
        <v>777</v>
      </c>
      <c r="M427" s="4">
        <v>2.0</v>
      </c>
      <c r="N427" s="3"/>
      <c r="O427" s="93"/>
      <c r="P427" s="3"/>
      <c r="Q427" s="3"/>
      <c r="R427" s="3"/>
      <c r="S427" s="3"/>
      <c r="T427" s="3"/>
      <c r="U427" s="6">
        <v>1.0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97"/>
      <c r="BO427" s="3"/>
      <c r="BP427" s="3"/>
      <c r="BQ427" s="10"/>
    </row>
    <row r="428">
      <c r="A428" s="1">
        <v>5.0</v>
      </c>
      <c r="B428" s="2" t="s">
        <v>708</v>
      </c>
      <c r="C428" s="2" t="s">
        <v>138</v>
      </c>
      <c r="D428" s="2" t="s">
        <v>91</v>
      </c>
      <c r="E428" s="93"/>
      <c r="F428" s="93"/>
      <c r="G428" s="93"/>
      <c r="H428" s="93"/>
      <c r="I428" s="3" t="str">
        <f t="shared" si="1"/>
        <v>411110805</v>
      </c>
      <c r="J428" s="3"/>
      <c r="K428" s="3"/>
      <c r="L428" s="94" t="s">
        <v>778</v>
      </c>
      <c r="M428" s="4">
        <v>2.0</v>
      </c>
      <c r="N428" s="3"/>
      <c r="O428" s="93"/>
      <c r="P428" s="3"/>
      <c r="Q428" s="3"/>
      <c r="R428" s="3"/>
      <c r="S428" s="3"/>
      <c r="T428" s="3"/>
      <c r="U428" s="6">
        <v>1.0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97"/>
      <c r="BO428" s="3"/>
      <c r="BP428" s="3"/>
      <c r="BQ428" s="10"/>
    </row>
    <row r="429">
      <c r="A429" s="1">
        <v>5.0</v>
      </c>
      <c r="B429" s="2" t="s">
        <v>708</v>
      </c>
      <c r="C429" s="2" t="s">
        <v>138</v>
      </c>
      <c r="D429" s="2" t="s">
        <v>133</v>
      </c>
      <c r="E429" s="93"/>
      <c r="F429" s="93"/>
      <c r="G429" s="93"/>
      <c r="H429" s="93"/>
      <c r="I429" s="3" t="str">
        <f t="shared" si="1"/>
        <v>411110806</v>
      </c>
      <c r="J429" s="3"/>
      <c r="K429" s="3"/>
      <c r="L429" s="94" t="s">
        <v>779</v>
      </c>
      <c r="M429" s="4">
        <v>2.0</v>
      </c>
      <c r="N429" s="3"/>
      <c r="O429" s="93"/>
      <c r="P429" s="3"/>
      <c r="Q429" s="3"/>
      <c r="R429" s="3"/>
      <c r="S429" s="3"/>
      <c r="T429" s="3"/>
      <c r="U429" s="6">
        <v>1.0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97"/>
      <c r="BO429" s="3"/>
      <c r="BP429" s="3"/>
      <c r="BQ429" s="10"/>
    </row>
    <row r="430">
      <c r="A430" s="1">
        <v>5.0</v>
      </c>
      <c r="B430" s="2" t="s">
        <v>708</v>
      </c>
      <c r="C430" s="2" t="s">
        <v>138</v>
      </c>
      <c r="D430" s="2" t="s">
        <v>136</v>
      </c>
      <c r="E430" s="93"/>
      <c r="F430" s="93"/>
      <c r="G430" s="93"/>
      <c r="H430" s="93"/>
      <c r="I430" s="3" t="str">
        <f t="shared" si="1"/>
        <v>411110807</v>
      </c>
      <c r="J430" s="3"/>
      <c r="K430" s="3"/>
      <c r="L430" s="94" t="s">
        <v>780</v>
      </c>
      <c r="M430" s="4">
        <v>2.0</v>
      </c>
      <c r="N430" s="3"/>
      <c r="O430" s="93"/>
      <c r="P430" s="3"/>
      <c r="Q430" s="3"/>
      <c r="R430" s="3"/>
      <c r="S430" s="3"/>
      <c r="T430" s="3"/>
      <c r="U430" s="6">
        <v>1.0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97"/>
      <c r="BO430" s="3"/>
      <c r="BP430" s="3"/>
      <c r="BQ430" s="10"/>
    </row>
    <row r="431">
      <c r="A431" s="36">
        <v>2.0</v>
      </c>
      <c r="B431" s="37" t="s">
        <v>781</v>
      </c>
      <c r="C431" s="38"/>
      <c r="D431" s="38"/>
      <c r="E431" s="38"/>
      <c r="F431" s="38"/>
      <c r="G431" s="38"/>
      <c r="H431" s="38"/>
      <c r="I431" s="39" t="str">
        <f t="shared" si="1"/>
        <v>41410</v>
      </c>
      <c r="J431" s="40"/>
      <c r="K431" s="40"/>
      <c r="L431" s="39" t="s">
        <v>782</v>
      </c>
      <c r="M431" s="41">
        <v>1.0</v>
      </c>
      <c r="N431" s="42"/>
      <c r="O431" s="38"/>
      <c r="P431" s="42"/>
      <c r="Q431" s="42"/>
      <c r="R431" s="42"/>
      <c r="S431" s="42"/>
      <c r="T431" s="40"/>
      <c r="U431" s="43">
        <v>1.0</v>
      </c>
      <c r="V431" s="40"/>
      <c r="W431" s="43" t="s">
        <v>70</v>
      </c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2"/>
      <c r="AQ431" s="42"/>
      <c r="AR431" s="42"/>
      <c r="AS431" s="42"/>
      <c r="AT431" s="42"/>
      <c r="AU431" s="42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2"/>
      <c r="BI431" s="42"/>
      <c r="BJ431" s="42"/>
      <c r="BK431" s="42"/>
      <c r="BL431" s="42"/>
      <c r="BM431" s="40"/>
      <c r="BN431" s="44"/>
      <c r="BO431" s="40"/>
      <c r="BP431" s="42"/>
      <c r="BQ431" s="10"/>
    </row>
    <row r="432">
      <c r="A432" s="45">
        <v>3.0</v>
      </c>
      <c r="B432" s="46" t="s">
        <v>783</v>
      </c>
      <c r="C432" s="47"/>
      <c r="D432" s="47"/>
      <c r="E432" s="47"/>
      <c r="F432" s="47"/>
      <c r="G432" s="47"/>
      <c r="H432" s="47"/>
      <c r="I432" s="48" t="str">
        <f t="shared" si="1"/>
        <v>41411</v>
      </c>
      <c r="J432" s="49"/>
      <c r="K432" s="49"/>
      <c r="L432" s="48" t="s">
        <v>784</v>
      </c>
      <c r="M432" s="50">
        <v>1.0</v>
      </c>
      <c r="N432" s="51"/>
      <c r="O432" s="47"/>
      <c r="P432" s="51"/>
      <c r="Q432" s="51"/>
      <c r="R432" s="51"/>
      <c r="S432" s="51"/>
      <c r="T432" s="49"/>
      <c r="U432" s="52">
        <v>1.0</v>
      </c>
      <c r="V432" s="49"/>
      <c r="W432" s="52" t="s">
        <v>70</v>
      </c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51"/>
      <c r="AQ432" s="51"/>
      <c r="AR432" s="51"/>
      <c r="AS432" s="51"/>
      <c r="AT432" s="51"/>
      <c r="AU432" s="51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51"/>
      <c r="BI432" s="51"/>
      <c r="BJ432" s="51"/>
      <c r="BK432" s="51"/>
      <c r="BL432" s="51"/>
      <c r="BM432" s="49"/>
      <c r="BN432" s="53"/>
      <c r="BO432" s="49"/>
      <c r="BP432" s="51"/>
      <c r="BQ432" s="10"/>
    </row>
    <row r="433">
      <c r="A433" s="1">
        <v>4.0</v>
      </c>
      <c r="B433" s="2" t="s">
        <v>783</v>
      </c>
      <c r="C433" s="2" t="s">
        <v>76</v>
      </c>
      <c r="D433" s="93"/>
      <c r="E433" s="93"/>
      <c r="F433" s="93"/>
      <c r="G433" s="93"/>
      <c r="H433" s="93"/>
      <c r="I433" s="3" t="str">
        <f t="shared" si="1"/>
        <v>4141101</v>
      </c>
      <c r="J433" s="3"/>
      <c r="K433" s="3"/>
      <c r="L433" s="94" t="s">
        <v>785</v>
      </c>
      <c r="M433" s="4">
        <v>1.0</v>
      </c>
      <c r="N433" s="3"/>
      <c r="O433" s="93"/>
      <c r="P433" s="3"/>
      <c r="Q433" s="3"/>
      <c r="R433" s="3"/>
      <c r="S433" s="3"/>
      <c r="T433" s="3"/>
      <c r="U433" s="6">
        <v>1.0</v>
      </c>
      <c r="V433" s="3"/>
      <c r="W433" s="6" t="s">
        <v>78</v>
      </c>
      <c r="X433" s="3"/>
      <c r="Y433" s="3"/>
      <c r="Z433" s="3"/>
      <c r="AA433" s="96" t="s">
        <v>79</v>
      </c>
      <c r="AB433" s="96" t="s">
        <v>79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6" t="s">
        <v>80</v>
      </c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97"/>
      <c r="BO433" s="3"/>
      <c r="BP433" s="3"/>
      <c r="BQ433" s="10"/>
    </row>
    <row r="434">
      <c r="A434" s="1">
        <v>4.0</v>
      </c>
      <c r="B434" s="2" t="s">
        <v>783</v>
      </c>
      <c r="C434" s="2" t="s">
        <v>119</v>
      </c>
      <c r="D434" s="93"/>
      <c r="E434" s="93"/>
      <c r="F434" s="93"/>
      <c r="G434" s="93"/>
      <c r="H434" s="93"/>
      <c r="I434" s="3" t="str">
        <f t="shared" si="1"/>
        <v>4141102</v>
      </c>
      <c r="J434" s="3"/>
      <c r="K434" s="3"/>
      <c r="L434" s="94" t="s">
        <v>786</v>
      </c>
      <c r="M434" s="4">
        <v>1.0</v>
      </c>
      <c r="N434" s="3"/>
      <c r="O434" s="93"/>
      <c r="P434" s="3"/>
      <c r="Q434" s="3"/>
      <c r="R434" s="3"/>
      <c r="S434" s="3"/>
      <c r="T434" s="3"/>
      <c r="U434" s="6">
        <v>1.0</v>
      </c>
      <c r="V434" s="3"/>
      <c r="W434" s="6" t="s">
        <v>78</v>
      </c>
      <c r="X434" s="3"/>
      <c r="Y434" s="3"/>
      <c r="Z434" s="3"/>
      <c r="AA434" s="96" t="s">
        <v>79</v>
      </c>
      <c r="AB434" s="96" t="s">
        <v>79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6" t="s">
        <v>80</v>
      </c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97"/>
      <c r="BO434" s="3"/>
      <c r="BP434" s="3"/>
      <c r="BQ434" s="10"/>
    </row>
    <row r="435">
      <c r="A435" s="1">
        <v>4.0</v>
      </c>
      <c r="B435" s="2" t="s">
        <v>783</v>
      </c>
      <c r="C435" s="2" t="s">
        <v>124</v>
      </c>
      <c r="D435" s="93"/>
      <c r="E435" s="93"/>
      <c r="F435" s="93"/>
      <c r="G435" s="93"/>
      <c r="H435" s="93"/>
      <c r="I435" s="3" t="str">
        <f t="shared" si="1"/>
        <v>4141103</v>
      </c>
      <c r="J435" s="3"/>
      <c r="K435" s="3"/>
      <c r="L435" s="94" t="s">
        <v>787</v>
      </c>
      <c r="M435" s="4">
        <v>1.0</v>
      </c>
      <c r="N435" s="3"/>
      <c r="O435" s="93"/>
      <c r="P435" s="3"/>
      <c r="Q435" s="3"/>
      <c r="R435" s="3"/>
      <c r="S435" s="3"/>
      <c r="T435" s="3"/>
      <c r="U435" s="6">
        <v>1.0</v>
      </c>
      <c r="V435" s="3"/>
      <c r="W435" s="6" t="s">
        <v>78</v>
      </c>
      <c r="X435" s="3"/>
      <c r="Y435" s="3"/>
      <c r="Z435" s="3"/>
      <c r="AA435" s="96" t="s">
        <v>79</v>
      </c>
      <c r="AB435" s="96" t="s">
        <v>79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6" t="s">
        <v>80</v>
      </c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97"/>
      <c r="BO435" s="3"/>
      <c r="BP435" s="3"/>
      <c r="BQ435" s="10"/>
    </row>
    <row r="436">
      <c r="A436" s="1">
        <v>4.0</v>
      </c>
      <c r="B436" s="2" t="s">
        <v>783</v>
      </c>
      <c r="C436" s="2" t="s">
        <v>127</v>
      </c>
      <c r="D436" s="93"/>
      <c r="E436" s="93"/>
      <c r="F436" s="93"/>
      <c r="G436" s="93"/>
      <c r="H436" s="93"/>
      <c r="I436" s="3" t="str">
        <f t="shared" si="1"/>
        <v>4141104</v>
      </c>
      <c r="J436" s="3"/>
      <c r="K436" s="3"/>
      <c r="L436" s="94" t="s">
        <v>788</v>
      </c>
      <c r="M436" s="4">
        <v>1.0</v>
      </c>
      <c r="N436" s="3"/>
      <c r="O436" s="93"/>
      <c r="P436" s="3"/>
      <c r="Q436" s="3"/>
      <c r="R436" s="3"/>
      <c r="S436" s="3"/>
      <c r="T436" s="3"/>
      <c r="U436" s="6">
        <v>1.0</v>
      </c>
      <c r="V436" s="3"/>
      <c r="W436" s="6" t="s">
        <v>78</v>
      </c>
      <c r="X436" s="3"/>
      <c r="Y436" s="3"/>
      <c r="Z436" s="3"/>
      <c r="AA436" s="96" t="s">
        <v>79</v>
      </c>
      <c r="AB436" s="96" t="s">
        <v>79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6" t="s">
        <v>80</v>
      </c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97"/>
      <c r="BO436" s="3"/>
      <c r="BP436" s="3"/>
      <c r="BQ436" s="10"/>
    </row>
    <row r="437">
      <c r="A437" s="1">
        <v>4.0</v>
      </c>
      <c r="B437" s="2" t="s">
        <v>783</v>
      </c>
      <c r="C437" s="2" t="s">
        <v>91</v>
      </c>
      <c r="D437" s="93"/>
      <c r="E437" s="93"/>
      <c r="F437" s="93"/>
      <c r="G437" s="93"/>
      <c r="H437" s="93"/>
      <c r="I437" s="3" t="str">
        <f t="shared" si="1"/>
        <v>4141105</v>
      </c>
      <c r="J437" s="3"/>
      <c r="K437" s="3"/>
      <c r="L437" s="94" t="s">
        <v>789</v>
      </c>
      <c r="M437" s="4">
        <v>1.0</v>
      </c>
      <c r="N437" s="3"/>
      <c r="O437" s="93"/>
      <c r="P437" s="3"/>
      <c r="Q437" s="3"/>
      <c r="R437" s="3"/>
      <c r="S437" s="3"/>
      <c r="T437" s="3"/>
      <c r="U437" s="6">
        <v>1.0</v>
      </c>
      <c r="V437" s="3"/>
      <c r="W437" s="6" t="s">
        <v>78</v>
      </c>
      <c r="X437" s="3"/>
      <c r="Y437" s="3"/>
      <c r="Z437" s="3"/>
      <c r="AA437" s="96" t="s">
        <v>79</v>
      </c>
      <c r="AB437" s="96" t="s">
        <v>79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6" t="s">
        <v>80</v>
      </c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97"/>
      <c r="BO437" s="3"/>
      <c r="BP437" s="3"/>
      <c r="BQ437" s="10"/>
    </row>
    <row r="438">
      <c r="A438" s="28">
        <v>1.0</v>
      </c>
      <c r="B438" s="29">
        <v>41500.0</v>
      </c>
      <c r="C438" s="30"/>
      <c r="D438" s="30"/>
      <c r="E438" s="30"/>
      <c r="F438" s="30"/>
      <c r="G438" s="30"/>
      <c r="H438" s="30"/>
      <c r="I438" s="31" t="str">
        <f t="shared" si="1"/>
        <v>41500</v>
      </c>
      <c r="J438" s="74"/>
      <c r="K438" s="74"/>
      <c r="L438" s="31" t="s">
        <v>790</v>
      </c>
      <c r="M438" s="75">
        <v>1.0</v>
      </c>
      <c r="N438" s="32"/>
      <c r="O438" s="30"/>
      <c r="P438" s="32"/>
      <c r="Q438" s="32"/>
      <c r="R438" s="32"/>
      <c r="S438" s="32"/>
      <c r="T438" s="74"/>
      <c r="U438" s="34">
        <v>1.0</v>
      </c>
      <c r="V438" s="74"/>
      <c r="W438" s="34" t="s">
        <v>70</v>
      </c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32"/>
      <c r="AQ438" s="32"/>
      <c r="AR438" s="32"/>
      <c r="AS438" s="32"/>
      <c r="AT438" s="32"/>
      <c r="AU438" s="32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32"/>
      <c r="BI438" s="32"/>
      <c r="BJ438" s="32"/>
      <c r="BK438" s="32"/>
      <c r="BL438" s="32"/>
      <c r="BM438" s="74"/>
      <c r="BN438" s="76"/>
      <c r="BO438" s="74"/>
      <c r="BP438" s="32"/>
      <c r="BQ438" s="10"/>
    </row>
    <row r="439">
      <c r="A439" s="36">
        <v>2.0</v>
      </c>
      <c r="B439" s="37">
        <v>41510.0</v>
      </c>
      <c r="C439" s="38"/>
      <c r="D439" s="38"/>
      <c r="E439" s="38"/>
      <c r="F439" s="38"/>
      <c r="G439" s="38"/>
      <c r="H439" s="38"/>
      <c r="I439" s="39" t="str">
        <f t="shared" si="1"/>
        <v>41510</v>
      </c>
      <c r="J439" s="40"/>
      <c r="K439" s="40"/>
      <c r="L439" s="39" t="s">
        <v>791</v>
      </c>
      <c r="M439" s="41">
        <v>1.0</v>
      </c>
      <c r="N439" s="42"/>
      <c r="O439" s="38"/>
      <c r="P439" s="42"/>
      <c r="Q439" s="42"/>
      <c r="R439" s="42"/>
      <c r="S439" s="42"/>
      <c r="T439" s="40"/>
      <c r="U439" s="43">
        <v>1.0</v>
      </c>
      <c r="V439" s="40"/>
      <c r="W439" s="43" t="s">
        <v>70</v>
      </c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2"/>
      <c r="AQ439" s="42"/>
      <c r="AR439" s="42"/>
      <c r="AS439" s="42"/>
      <c r="AT439" s="42"/>
      <c r="AU439" s="42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2"/>
      <c r="BI439" s="42"/>
      <c r="BJ439" s="42"/>
      <c r="BK439" s="42"/>
      <c r="BL439" s="42"/>
      <c r="BM439" s="40"/>
      <c r="BN439" s="44"/>
      <c r="BO439" s="40"/>
      <c r="BP439" s="42"/>
      <c r="BQ439" s="10"/>
    </row>
    <row r="440">
      <c r="A440" s="45">
        <v>3.0</v>
      </c>
      <c r="B440" s="46">
        <v>41511.0</v>
      </c>
      <c r="C440" s="47"/>
      <c r="D440" s="47"/>
      <c r="E440" s="47"/>
      <c r="F440" s="47"/>
      <c r="G440" s="47"/>
      <c r="H440" s="47"/>
      <c r="I440" s="48" t="str">
        <f t="shared" si="1"/>
        <v>41511</v>
      </c>
      <c r="J440" s="49"/>
      <c r="K440" s="49"/>
      <c r="L440" s="48" t="s">
        <v>792</v>
      </c>
      <c r="M440" s="50">
        <v>1.0</v>
      </c>
      <c r="N440" s="51"/>
      <c r="O440" s="47"/>
      <c r="P440" s="51"/>
      <c r="Q440" s="51"/>
      <c r="R440" s="51"/>
      <c r="S440" s="51"/>
      <c r="T440" s="49"/>
      <c r="U440" s="52">
        <v>1.0</v>
      </c>
      <c r="V440" s="49"/>
      <c r="W440" s="52" t="s">
        <v>70</v>
      </c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51"/>
      <c r="AQ440" s="51"/>
      <c r="AR440" s="51"/>
      <c r="AS440" s="51"/>
      <c r="AT440" s="51"/>
      <c r="AU440" s="51"/>
      <c r="AV440" s="49"/>
      <c r="AW440" s="49"/>
      <c r="AX440" s="49"/>
      <c r="AY440" s="49"/>
      <c r="AZ440" s="49"/>
      <c r="BA440" s="49"/>
      <c r="BB440" s="49"/>
      <c r="BC440" s="49"/>
      <c r="BD440" s="49"/>
      <c r="BE440" s="49"/>
      <c r="BF440" s="49"/>
      <c r="BG440" s="49"/>
      <c r="BH440" s="51"/>
      <c r="BI440" s="51"/>
      <c r="BJ440" s="51"/>
      <c r="BK440" s="51"/>
      <c r="BL440" s="51"/>
      <c r="BM440" s="49"/>
      <c r="BN440" s="53"/>
      <c r="BO440" s="49"/>
      <c r="BP440" s="51"/>
      <c r="BQ440" s="10"/>
    </row>
    <row r="441">
      <c r="A441" s="1">
        <v>4.0</v>
      </c>
      <c r="B441" s="2">
        <v>41511.0</v>
      </c>
      <c r="C441" s="2" t="s">
        <v>76</v>
      </c>
      <c r="D441" s="93"/>
      <c r="E441" s="93"/>
      <c r="F441" s="93"/>
      <c r="G441" s="93"/>
      <c r="H441" s="93"/>
      <c r="I441" s="3" t="str">
        <f t="shared" si="1"/>
        <v>4151101</v>
      </c>
      <c r="J441" s="3"/>
      <c r="K441" s="3"/>
      <c r="L441" s="94" t="s">
        <v>793</v>
      </c>
      <c r="M441" s="4">
        <v>2.0</v>
      </c>
      <c r="N441" s="3"/>
      <c r="O441" s="93"/>
      <c r="P441" s="3"/>
      <c r="Q441" s="3"/>
      <c r="R441" s="3"/>
      <c r="S441" s="3"/>
      <c r="T441" s="3"/>
      <c r="U441" s="6">
        <v>1.0</v>
      </c>
      <c r="V441" s="3"/>
      <c r="W441" s="6" t="s">
        <v>435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97"/>
      <c r="BO441" s="3"/>
      <c r="BP441" s="3"/>
      <c r="BQ441" s="10"/>
    </row>
    <row r="442">
      <c r="A442" s="1">
        <v>5.0</v>
      </c>
      <c r="B442" s="2">
        <v>41511.0</v>
      </c>
      <c r="C442" s="2" t="s">
        <v>76</v>
      </c>
      <c r="D442" s="2" t="s">
        <v>76</v>
      </c>
      <c r="E442" s="93"/>
      <c r="F442" s="93"/>
      <c r="G442" s="93"/>
      <c r="H442" s="93"/>
      <c r="I442" s="3" t="str">
        <f t="shared" si="1"/>
        <v>415110101</v>
      </c>
      <c r="J442" s="3"/>
      <c r="K442" s="3"/>
      <c r="L442" s="94" t="s">
        <v>794</v>
      </c>
      <c r="M442" s="4">
        <v>2.0</v>
      </c>
      <c r="N442" s="3"/>
      <c r="O442" s="93"/>
      <c r="P442" s="3"/>
      <c r="Q442" s="3"/>
      <c r="R442" s="3"/>
      <c r="S442" s="3"/>
      <c r="T442" s="3"/>
      <c r="U442" s="6">
        <v>8.0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97"/>
      <c r="BO442" s="3"/>
      <c r="BP442" s="3"/>
      <c r="BQ442" s="10"/>
    </row>
    <row r="443">
      <c r="A443" s="1">
        <v>5.0</v>
      </c>
      <c r="B443" s="2">
        <v>41511.0</v>
      </c>
      <c r="C443" s="2" t="s">
        <v>76</v>
      </c>
      <c r="D443" s="2" t="s">
        <v>119</v>
      </c>
      <c r="E443" s="93"/>
      <c r="F443" s="93"/>
      <c r="G443" s="93"/>
      <c r="H443" s="93"/>
      <c r="I443" s="3" t="str">
        <f t="shared" si="1"/>
        <v>415110102</v>
      </c>
      <c r="J443" s="3"/>
      <c r="K443" s="3"/>
      <c r="L443" s="94" t="s">
        <v>795</v>
      </c>
      <c r="M443" s="4">
        <v>2.0</v>
      </c>
      <c r="N443" s="3"/>
      <c r="O443" s="93"/>
      <c r="P443" s="3"/>
      <c r="Q443" s="3"/>
      <c r="R443" s="3"/>
      <c r="S443" s="3"/>
      <c r="T443" s="3"/>
      <c r="U443" s="6">
        <v>20.0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97"/>
      <c r="BO443" s="3"/>
      <c r="BP443" s="3"/>
      <c r="BQ443" s="10"/>
    </row>
    <row r="444">
      <c r="A444" s="1">
        <v>5.0</v>
      </c>
      <c r="B444" s="2">
        <v>41511.0</v>
      </c>
      <c r="C444" s="2" t="s">
        <v>76</v>
      </c>
      <c r="D444" s="2" t="s">
        <v>124</v>
      </c>
      <c r="E444" s="93"/>
      <c r="F444" s="93"/>
      <c r="G444" s="93"/>
      <c r="H444" s="93"/>
      <c r="I444" s="3" t="str">
        <f t="shared" si="1"/>
        <v>415110103</v>
      </c>
      <c r="J444" s="3"/>
      <c r="K444" s="3"/>
      <c r="L444" s="94" t="s">
        <v>796</v>
      </c>
      <c r="M444" s="4">
        <v>2.0</v>
      </c>
      <c r="N444" s="3"/>
      <c r="O444" s="93"/>
      <c r="P444" s="3"/>
      <c r="Q444" s="3"/>
      <c r="R444" s="3"/>
      <c r="S444" s="3"/>
      <c r="T444" s="3"/>
      <c r="U444" s="6">
        <v>1.0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97"/>
      <c r="BO444" s="3"/>
      <c r="BP444" s="3"/>
      <c r="BQ444" s="10"/>
    </row>
    <row r="445">
      <c r="A445" s="1">
        <v>5.0</v>
      </c>
      <c r="B445" s="2">
        <v>41511.0</v>
      </c>
      <c r="C445" s="2" t="s">
        <v>76</v>
      </c>
      <c r="D445" s="2" t="s">
        <v>127</v>
      </c>
      <c r="E445" s="93"/>
      <c r="F445" s="93"/>
      <c r="G445" s="93"/>
      <c r="H445" s="93"/>
      <c r="I445" s="3" t="str">
        <f t="shared" si="1"/>
        <v>415110104</v>
      </c>
      <c r="J445" s="3"/>
      <c r="K445" s="3"/>
      <c r="L445" s="94" t="s">
        <v>797</v>
      </c>
      <c r="M445" s="4">
        <v>2.0</v>
      </c>
      <c r="N445" s="3"/>
      <c r="O445" s="93"/>
      <c r="P445" s="3"/>
      <c r="Q445" s="3"/>
      <c r="R445" s="3"/>
      <c r="S445" s="3"/>
      <c r="T445" s="3"/>
      <c r="U445" s="6">
        <v>1.0</v>
      </c>
      <c r="V445" s="3"/>
      <c r="W445" s="6" t="s">
        <v>304</v>
      </c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97"/>
      <c r="BO445" s="3"/>
      <c r="BP445" s="3"/>
      <c r="BQ445" s="10"/>
    </row>
    <row r="446">
      <c r="A446" s="1">
        <v>5.0</v>
      </c>
      <c r="B446" s="2">
        <v>41511.0</v>
      </c>
      <c r="C446" s="2" t="s">
        <v>76</v>
      </c>
      <c r="D446" s="2" t="s">
        <v>91</v>
      </c>
      <c r="E446" s="93"/>
      <c r="F446" s="93"/>
      <c r="G446" s="93"/>
      <c r="H446" s="93"/>
      <c r="I446" s="3" t="str">
        <f t="shared" si="1"/>
        <v>415110105</v>
      </c>
      <c r="J446" s="3"/>
      <c r="K446" s="3"/>
      <c r="L446" s="94" t="s">
        <v>798</v>
      </c>
      <c r="M446" s="4">
        <v>2.0</v>
      </c>
      <c r="N446" s="3"/>
      <c r="O446" s="93"/>
      <c r="P446" s="3"/>
      <c r="Q446" s="3"/>
      <c r="R446" s="3"/>
      <c r="S446" s="3"/>
      <c r="T446" s="3"/>
      <c r="U446" s="6">
        <v>1.0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97"/>
      <c r="BO446" s="3"/>
      <c r="BP446" s="3"/>
      <c r="BQ446" s="10"/>
    </row>
    <row r="447">
      <c r="A447" s="20">
        <v>1.0</v>
      </c>
      <c r="B447" s="21" t="s">
        <v>799</v>
      </c>
      <c r="C447" s="22"/>
      <c r="D447" s="22"/>
      <c r="E447" s="22"/>
      <c r="F447" s="22"/>
      <c r="G447" s="22"/>
      <c r="H447" s="22"/>
      <c r="I447" s="23" t="str">
        <f t="shared" si="1"/>
        <v>42000</v>
      </c>
      <c r="J447" s="24"/>
      <c r="K447" s="24"/>
      <c r="L447" s="23" t="s">
        <v>800</v>
      </c>
      <c r="M447" s="25">
        <v>1.0</v>
      </c>
      <c r="N447" s="24"/>
      <c r="O447" s="22"/>
      <c r="P447" s="24"/>
      <c r="Q447" s="24"/>
      <c r="R447" s="24"/>
      <c r="S447" s="24"/>
      <c r="T447" s="24"/>
      <c r="U447" s="26">
        <v>1.0</v>
      </c>
      <c r="V447" s="24"/>
      <c r="W447" s="26" t="s">
        <v>70</v>
      </c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  <c r="BD447" s="24"/>
      <c r="BE447" s="24"/>
      <c r="BF447" s="24"/>
      <c r="BG447" s="24"/>
      <c r="BH447" s="24"/>
      <c r="BI447" s="24"/>
      <c r="BJ447" s="24"/>
      <c r="BK447" s="24"/>
      <c r="BL447" s="24"/>
      <c r="BM447" s="24"/>
      <c r="BN447" s="27"/>
      <c r="BO447" s="24"/>
      <c r="BP447" s="24"/>
      <c r="BQ447" s="10"/>
    </row>
    <row r="448">
      <c r="A448" s="28">
        <v>1.0</v>
      </c>
      <c r="B448" s="29" t="s">
        <v>801</v>
      </c>
      <c r="C448" s="30"/>
      <c r="D448" s="30"/>
      <c r="E448" s="30"/>
      <c r="F448" s="30"/>
      <c r="G448" s="30"/>
      <c r="H448" s="30"/>
      <c r="I448" s="31" t="str">
        <f t="shared" si="1"/>
        <v>42100</v>
      </c>
      <c r="J448" s="74"/>
      <c r="K448" s="74"/>
      <c r="L448" s="31" t="s">
        <v>802</v>
      </c>
      <c r="M448" s="75">
        <v>1.0</v>
      </c>
      <c r="N448" s="32"/>
      <c r="O448" s="30"/>
      <c r="P448" s="32"/>
      <c r="Q448" s="32"/>
      <c r="R448" s="32"/>
      <c r="S448" s="32"/>
      <c r="T448" s="74"/>
      <c r="U448" s="34">
        <v>1.0</v>
      </c>
      <c r="V448" s="74"/>
      <c r="W448" s="34" t="s">
        <v>70</v>
      </c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32"/>
      <c r="AQ448" s="32"/>
      <c r="AR448" s="32"/>
      <c r="AS448" s="32"/>
      <c r="AT448" s="32"/>
      <c r="AU448" s="32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32"/>
      <c r="BI448" s="32"/>
      <c r="BJ448" s="32"/>
      <c r="BK448" s="32"/>
      <c r="BL448" s="32"/>
      <c r="BM448" s="74"/>
      <c r="BN448" s="76"/>
      <c r="BO448" s="74"/>
      <c r="BP448" s="32"/>
      <c r="BQ448" s="10"/>
    </row>
    <row r="449">
      <c r="A449" s="36">
        <v>2.0</v>
      </c>
      <c r="B449" s="37" t="s">
        <v>803</v>
      </c>
      <c r="C449" s="38"/>
      <c r="D449" s="38"/>
      <c r="E449" s="38"/>
      <c r="F449" s="38"/>
      <c r="G449" s="38"/>
      <c r="H449" s="38"/>
      <c r="I449" s="39" t="str">
        <f t="shared" si="1"/>
        <v>42110</v>
      </c>
      <c r="J449" s="40"/>
      <c r="K449" s="40"/>
      <c r="L449" s="39" t="s">
        <v>802</v>
      </c>
      <c r="M449" s="41">
        <v>1.0</v>
      </c>
      <c r="N449" s="42"/>
      <c r="O449" s="38"/>
      <c r="P449" s="42"/>
      <c r="Q449" s="42"/>
      <c r="R449" s="42"/>
      <c r="S449" s="42"/>
      <c r="T449" s="40"/>
      <c r="U449" s="43">
        <v>1.0</v>
      </c>
      <c r="V449" s="40"/>
      <c r="W449" s="43" t="s">
        <v>70</v>
      </c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2"/>
      <c r="AQ449" s="42"/>
      <c r="AR449" s="42"/>
      <c r="AS449" s="42"/>
      <c r="AT449" s="42"/>
      <c r="AU449" s="42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2"/>
      <c r="BI449" s="42"/>
      <c r="BJ449" s="42"/>
      <c r="BK449" s="42"/>
      <c r="BL449" s="42"/>
      <c r="BM449" s="40"/>
      <c r="BN449" s="44"/>
      <c r="BO449" s="40"/>
      <c r="BP449" s="42"/>
      <c r="BQ449" s="10"/>
    </row>
    <row r="450">
      <c r="A450" s="45">
        <v>3.0</v>
      </c>
      <c r="B450" s="46" t="s">
        <v>804</v>
      </c>
      <c r="C450" s="47"/>
      <c r="D450" s="47"/>
      <c r="E450" s="47"/>
      <c r="F450" s="47"/>
      <c r="G450" s="47"/>
      <c r="H450" s="47"/>
      <c r="I450" s="48" t="str">
        <f t="shared" si="1"/>
        <v>42111</v>
      </c>
      <c r="J450" s="49"/>
      <c r="K450" s="49"/>
      <c r="L450" s="48" t="s">
        <v>805</v>
      </c>
      <c r="M450" s="50">
        <v>1.0</v>
      </c>
      <c r="N450" s="51"/>
      <c r="O450" s="47"/>
      <c r="P450" s="51"/>
      <c r="Q450" s="51"/>
      <c r="R450" s="51"/>
      <c r="S450" s="51"/>
      <c r="T450" s="49"/>
      <c r="U450" s="52">
        <v>1.0</v>
      </c>
      <c r="V450" s="49"/>
      <c r="W450" s="52" t="s">
        <v>70</v>
      </c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51"/>
      <c r="AQ450" s="51"/>
      <c r="AR450" s="51"/>
      <c r="AS450" s="51"/>
      <c r="AT450" s="51"/>
      <c r="AU450" s="51"/>
      <c r="AV450" s="49"/>
      <c r="AW450" s="49"/>
      <c r="AX450" s="49"/>
      <c r="AY450" s="49"/>
      <c r="AZ450" s="49"/>
      <c r="BA450" s="49"/>
      <c r="BB450" s="49"/>
      <c r="BC450" s="49"/>
      <c r="BD450" s="49"/>
      <c r="BE450" s="49"/>
      <c r="BF450" s="49"/>
      <c r="BG450" s="49"/>
      <c r="BH450" s="51"/>
      <c r="BI450" s="51"/>
      <c r="BJ450" s="51"/>
      <c r="BK450" s="51"/>
      <c r="BL450" s="51"/>
      <c r="BM450" s="49"/>
      <c r="BN450" s="53"/>
      <c r="BO450" s="49"/>
      <c r="BP450" s="51"/>
      <c r="BQ450" s="10"/>
    </row>
    <row r="451">
      <c r="A451" s="1">
        <v>4.0</v>
      </c>
      <c r="B451" s="2" t="s">
        <v>804</v>
      </c>
      <c r="C451" s="2" t="s">
        <v>76</v>
      </c>
      <c r="D451" s="93"/>
      <c r="E451" s="93"/>
      <c r="F451" s="93"/>
      <c r="G451" s="93"/>
      <c r="H451" s="93"/>
      <c r="I451" s="3" t="str">
        <f t="shared" si="1"/>
        <v>4211101</v>
      </c>
      <c r="J451" s="3"/>
      <c r="K451" s="3"/>
      <c r="L451" s="94" t="s">
        <v>806</v>
      </c>
      <c r="M451" s="4">
        <v>1.0</v>
      </c>
      <c r="N451" s="3"/>
      <c r="O451" s="93"/>
      <c r="P451" s="3"/>
      <c r="Q451" s="3"/>
      <c r="R451" s="3"/>
      <c r="S451" s="3"/>
      <c r="T451" s="3"/>
      <c r="U451" s="6">
        <v>1.0</v>
      </c>
      <c r="V451" s="3"/>
      <c r="W451" s="6" t="s">
        <v>78</v>
      </c>
      <c r="X451" s="3"/>
      <c r="Y451" s="3"/>
      <c r="Z451" s="3"/>
      <c r="AA451" s="96" t="s">
        <v>79</v>
      </c>
      <c r="AB451" s="96" t="s">
        <v>79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6" t="s">
        <v>80</v>
      </c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97"/>
      <c r="BO451" s="3"/>
      <c r="BP451" s="3"/>
      <c r="BQ451" s="10"/>
    </row>
    <row r="452">
      <c r="A452" s="28">
        <v>1.0</v>
      </c>
      <c r="B452" s="29" t="s">
        <v>807</v>
      </c>
      <c r="C452" s="30"/>
      <c r="D452" s="30"/>
      <c r="E452" s="30"/>
      <c r="F452" s="30"/>
      <c r="G452" s="30"/>
      <c r="H452" s="30"/>
      <c r="I452" s="31" t="str">
        <f t="shared" si="1"/>
        <v>42200</v>
      </c>
      <c r="J452" s="74"/>
      <c r="K452" s="74"/>
      <c r="L452" s="31" t="s">
        <v>808</v>
      </c>
      <c r="M452" s="75">
        <v>1.0</v>
      </c>
      <c r="N452" s="32"/>
      <c r="O452" s="30"/>
      <c r="P452" s="32"/>
      <c r="Q452" s="32"/>
      <c r="R452" s="32"/>
      <c r="S452" s="32"/>
      <c r="T452" s="74"/>
      <c r="U452" s="34">
        <v>1.0</v>
      </c>
      <c r="V452" s="74"/>
      <c r="W452" s="34" t="s">
        <v>70</v>
      </c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32"/>
      <c r="AQ452" s="32"/>
      <c r="AR452" s="32"/>
      <c r="AS452" s="32"/>
      <c r="AT452" s="32"/>
      <c r="AU452" s="32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32"/>
      <c r="BI452" s="32"/>
      <c r="BJ452" s="32"/>
      <c r="BK452" s="32"/>
      <c r="BL452" s="32"/>
      <c r="BM452" s="74"/>
      <c r="BN452" s="76"/>
      <c r="BO452" s="74"/>
      <c r="BP452" s="32"/>
      <c r="BQ452" s="10"/>
    </row>
    <row r="453">
      <c r="A453" s="36">
        <v>2.0</v>
      </c>
      <c r="B453" s="37" t="s">
        <v>809</v>
      </c>
      <c r="C453" s="38"/>
      <c r="D453" s="38"/>
      <c r="E453" s="38"/>
      <c r="F453" s="38"/>
      <c r="G453" s="38"/>
      <c r="H453" s="38"/>
      <c r="I453" s="39" t="str">
        <f t="shared" si="1"/>
        <v>42210</v>
      </c>
      <c r="J453" s="40"/>
      <c r="K453" s="40"/>
      <c r="L453" s="39" t="s">
        <v>810</v>
      </c>
      <c r="M453" s="41">
        <v>1.0</v>
      </c>
      <c r="N453" s="42"/>
      <c r="O453" s="38"/>
      <c r="P453" s="42"/>
      <c r="Q453" s="42"/>
      <c r="R453" s="42"/>
      <c r="S453" s="42"/>
      <c r="T453" s="40"/>
      <c r="U453" s="43">
        <v>1.0</v>
      </c>
      <c r="V453" s="40"/>
      <c r="W453" s="43" t="s">
        <v>70</v>
      </c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2"/>
      <c r="AQ453" s="42"/>
      <c r="AR453" s="42"/>
      <c r="AS453" s="42"/>
      <c r="AT453" s="42"/>
      <c r="AU453" s="42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2"/>
      <c r="BI453" s="42"/>
      <c r="BJ453" s="42"/>
      <c r="BK453" s="42"/>
      <c r="BL453" s="42"/>
      <c r="BM453" s="40"/>
      <c r="BN453" s="44"/>
      <c r="BO453" s="40"/>
      <c r="BP453" s="42"/>
      <c r="BQ453" s="10"/>
    </row>
    <row r="454">
      <c r="A454" s="45">
        <v>3.0</v>
      </c>
      <c r="B454" s="46" t="s">
        <v>811</v>
      </c>
      <c r="C454" s="47"/>
      <c r="D454" s="47"/>
      <c r="E454" s="47"/>
      <c r="F454" s="47"/>
      <c r="G454" s="47"/>
      <c r="H454" s="47"/>
      <c r="I454" s="48" t="str">
        <f t="shared" si="1"/>
        <v>42211</v>
      </c>
      <c r="J454" s="49"/>
      <c r="K454" s="49"/>
      <c r="L454" s="48" t="s">
        <v>812</v>
      </c>
      <c r="M454" s="50">
        <v>1.0</v>
      </c>
      <c r="N454" s="51"/>
      <c r="O454" s="47"/>
      <c r="P454" s="51"/>
      <c r="Q454" s="51"/>
      <c r="R454" s="51"/>
      <c r="S454" s="51"/>
      <c r="T454" s="49"/>
      <c r="U454" s="52">
        <v>1.0</v>
      </c>
      <c r="V454" s="49"/>
      <c r="W454" s="52" t="s">
        <v>70</v>
      </c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51"/>
      <c r="AQ454" s="51"/>
      <c r="AR454" s="51"/>
      <c r="AS454" s="51"/>
      <c r="AT454" s="51"/>
      <c r="AU454" s="51"/>
      <c r="AV454" s="49"/>
      <c r="AW454" s="49"/>
      <c r="AX454" s="49"/>
      <c r="AY454" s="49"/>
      <c r="AZ454" s="49"/>
      <c r="BA454" s="49"/>
      <c r="BB454" s="49"/>
      <c r="BC454" s="49"/>
      <c r="BD454" s="49"/>
      <c r="BE454" s="49"/>
      <c r="BF454" s="49"/>
      <c r="BG454" s="49"/>
      <c r="BH454" s="51"/>
      <c r="BI454" s="51"/>
      <c r="BJ454" s="51"/>
      <c r="BK454" s="51"/>
      <c r="BL454" s="51"/>
      <c r="BM454" s="49"/>
      <c r="BN454" s="53"/>
      <c r="BO454" s="49"/>
      <c r="BP454" s="51"/>
      <c r="BQ454" s="10"/>
    </row>
    <row r="455">
      <c r="A455" s="1">
        <v>4.0</v>
      </c>
      <c r="B455" s="2" t="s">
        <v>811</v>
      </c>
      <c r="C455" s="2" t="s">
        <v>76</v>
      </c>
      <c r="D455" s="93"/>
      <c r="E455" s="93"/>
      <c r="F455" s="93"/>
      <c r="G455" s="93"/>
      <c r="H455" s="93"/>
      <c r="I455" s="3" t="str">
        <f t="shared" si="1"/>
        <v>4221101</v>
      </c>
      <c r="J455" s="3"/>
      <c r="K455" s="3"/>
      <c r="L455" s="94" t="s">
        <v>813</v>
      </c>
      <c r="M455" s="4">
        <v>1.0</v>
      </c>
      <c r="N455" s="3"/>
      <c r="O455" s="93"/>
      <c r="P455" s="3"/>
      <c r="Q455" s="3"/>
      <c r="R455" s="3"/>
      <c r="S455" s="3"/>
      <c r="T455" s="3"/>
      <c r="U455" s="6">
        <v>1.0</v>
      </c>
      <c r="V455" s="3"/>
      <c r="W455" s="6" t="s">
        <v>78</v>
      </c>
      <c r="X455" s="3"/>
      <c r="Y455" s="3"/>
      <c r="Z455" s="3"/>
      <c r="AA455" s="96" t="s">
        <v>79</v>
      </c>
      <c r="AB455" s="96" t="s">
        <v>79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6" t="s">
        <v>80</v>
      </c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97"/>
      <c r="BO455" s="3"/>
      <c r="BP455" s="3"/>
      <c r="BQ455" s="10"/>
    </row>
    <row r="456">
      <c r="A456" s="1">
        <v>4.0</v>
      </c>
      <c r="B456" s="2" t="s">
        <v>811</v>
      </c>
      <c r="C456" s="2" t="s">
        <v>119</v>
      </c>
      <c r="D456" s="93"/>
      <c r="E456" s="93"/>
      <c r="F456" s="93"/>
      <c r="G456" s="93"/>
      <c r="H456" s="93"/>
      <c r="I456" s="3" t="str">
        <f t="shared" si="1"/>
        <v>4221102</v>
      </c>
      <c r="J456" s="3"/>
      <c r="K456" s="3"/>
      <c r="L456" s="94" t="s">
        <v>814</v>
      </c>
      <c r="M456" s="4">
        <v>1.0</v>
      </c>
      <c r="N456" s="3"/>
      <c r="O456" s="93"/>
      <c r="P456" s="3"/>
      <c r="Q456" s="3"/>
      <c r="R456" s="3"/>
      <c r="S456" s="3"/>
      <c r="T456" s="3"/>
      <c r="U456" s="6">
        <v>1.0</v>
      </c>
      <c r="V456" s="3"/>
      <c r="W456" s="6" t="s">
        <v>78</v>
      </c>
      <c r="X456" s="3"/>
      <c r="Y456" s="3"/>
      <c r="Z456" s="3"/>
      <c r="AA456" s="96" t="s">
        <v>79</v>
      </c>
      <c r="AB456" s="96" t="s">
        <v>79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6" t="s">
        <v>80</v>
      </c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97"/>
      <c r="BO456" s="3"/>
      <c r="BP456" s="3"/>
      <c r="BQ456" s="10"/>
    </row>
    <row r="457">
      <c r="A457" s="1">
        <v>4.0</v>
      </c>
      <c r="B457" s="2" t="s">
        <v>811</v>
      </c>
      <c r="C457" s="2" t="s">
        <v>124</v>
      </c>
      <c r="D457" s="93"/>
      <c r="E457" s="93"/>
      <c r="F457" s="93"/>
      <c r="G457" s="93"/>
      <c r="H457" s="93"/>
      <c r="I457" s="3" t="str">
        <f t="shared" si="1"/>
        <v>4221103</v>
      </c>
      <c r="J457" s="3"/>
      <c r="K457" s="3"/>
      <c r="L457" s="94" t="s">
        <v>815</v>
      </c>
      <c r="M457" s="4">
        <v>1.0</v>
      </c>
      <c r="N457" s="3"/>
      <c r="O457" s="93"/>
      <c r="P457" s="3"/>
      <c r="Q457" s="3"/>
      <c r="R457" s="3"/>
      <c r="S457" s="3"/>
      <c r="T457" s="3"/>
      <c r="U457" s="6">
        <v>1.0</v>
      </c>
      <c r="V457" s="3"/>
      <c r="W457" s="6" t="s">
        <v>78</v>
      </c>
      <c r="X457" s="3"/>
      <c r="Y457" s="3"/>
      <c r="Z457" s="3"/>
      <c r="AA457" s="96" t="s">
        <v>79</v>
      </c>
      <c r="AB457" s="96" t="s">
        <v>79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6" t="s">
        <v>80</v>
      </c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97"/>
      <c r="BO457" s="3"/>
      <c r="BP457" s="3"/>
      <c r="BQ457" s="10"/>
    </row>
    <row r="458">
      <c r="A458" s="1">
        <v>4.0</v>
      </c>
      <c r="B458" s="2" t="s">
        <v>811</v>
      </c>
      <c r="C458" s="2" t="s">
        <v>127</v>
      </c>
      <c r="D458" s="93"/>
      <c r="E458" s="93"/>
      <c r="F458" s="93"/>
      <c r="G458" s="93"/>
      <c r="H458" s="93"/>
      <c r="I458" s="3" t="str">
        <f t="shared" si="1"/>
        <v>4221104</v>
      </c>
      <c r="J458" s="3"/>
      <c r="K458" s="3"/>
      <c r="L458" s="94" t="s">
        <v>816</v>
      </c>
      <c r="M458" s="4">
        <v>2.0</v>
      </c>
      <c r="N458" s="3"/>
      <c r="O458" s="93"/>
      <c r="P458" s="3"/>
      <c r="Q458" s="3"/>
      <c r="R458" s="3"/>
      <c r="S458" s="3"/>
      <c r="T458" s="3"/>
      <c r="U458" s="6" t="s">
        <v>79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97"/>
      <c r="BO458" s="3"/>
      <c r="BP458" s="3"/>
      <c r="BQ458" s="10"/>
    </row>
    <row r="459">
      <c r="A459" s="1">
        <v>4.0</v>
      </c>
      <c r="B459" s="2" t="s">
        <v>811</v>
      </c>
      <c r="C459" s="2" t="s">
        <v>91</v>
      </c>
      <c r="D459" s="93"/>
      <c r="E459" s="93"/>
      <c r="F459" s="93"/>
      <c r="G459" s="93"/>
      <c r="H459" s="93"/>
      <c r="I459" s="3" t="str">
        <f t="shared" si="1"/>
        <v>4221105</v>
      </c>
      <c r="J459" s="3"/>
      <c r="K459" s="3"/>
      <c r="L459" s="94" t="s">
        <v>817</v>
      </c>
      <c r="M459" s="4">
        <v>2.0</v>
      </c>
      <c r="N459" s="3"/>
      <c r="O459" s="93"/>
      <c r="P459" s="3"/>
      <c r="Q459" s="3"/>
      <c r="R459" s="3"/>
      <c r="S459" s="3"/>
      <c r="T459" s="3"/>
      <c r="U459" s="6">
        <v>1.0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97"/>
      <c r="BO459" s="3"/>
      <c r="BP459" s="3"/>
      <c r="BQ459" s="10"/>
    </row>
    <row r="460">
      <c r="A460" s="1">
        <v>5.0</v>
      </c>
      <c r="B460" s="2" t="s">
        <v>811</v>
      </c>
      <c r="C460" s="2" t="s">
        <v>91</v>
      </c>
      <c r="D460" s="2" t="s">
        <v>76</v>
      </c>
      <c r="E460" s="93"/>
      <c r="F460" s="93"/>
      <c r="G460" s="93"/>
      <c r="H460" s="93"/>
      <c r="I460" s="3" t="str">
        <f t="shared" si="1"/>
        <v>422110501</v>
      </c>
      <c r="J460" s="3"/>
      <c r="K460" s="3"/>
      <c r="L460" s="94" t="s">
        <v>818</v>
      </c>
      <c r="M460" s="4">
        <v>2.0</v>
      </c>
      <c r="N460" s="3"/>
      <c r="O460" s="93"/>
      <c r="P460" s="3"/>
      <c r="Q460" s="3"/>
      <c r="R460" s="3"/>
      <c r="S460" s="3"/>
      <c r="T460" s="3"/>
      <c r="U460" s="6">
        <v>4.0</v>
      </c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97"/>
      <c r="BO460" s="3"/>
      <c r="BP460" s="3"/>
      <c r="BQ460" s="10"/>
    </row>
    <row r="461">
      <c r="A461" s="1">
        <v>5.0</v>
      </c>
      <c r="B461" s="2" t="s">
        <v>811</v>
      </c>
      <c r="C461" s="2" t="s">
        <v>91</v>
      </c>
      <c r="D461" s="2" t="s">
        <v>119</v>
      </c>
      <c r="E461" s="93"/>
      <c r="F461" s="93"/>
      <c r="G461" s="93"/>
      <c r="H461" s="93"/>
      <c r="I461" s="3" t="str">
        <f t="shared" si="1"/>
        <v>422110502</v>
      </c>
      <c r="J461" s="3"/>
      <c r="K461" s="3"/>
      <c r="L461" s="94" t="s">
        <v>819</v>
      </c>
      <c r="M461" s="4">
        <v>2.0</v>
      </c>
      <c r="N461" s="3"/>
      <c r="O461" s="93"/>
      <c r="P461" s="3"/>
      <c r="Q461" s="3"/>
      <c r="R461" s="3"/>
      <c r="S461" s="3"/>
      <c r="T461" s="3"/>
      <c r="U461" s="6">
        <v>2.0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97"/>
      <c r="BO461" s="3"/>
      <c r="BP461" s="3"/>
      <c r="BQ461" s="10"/>
    </row>
    <row r="462">
      <c r="A462" s="1">
        <v>5.0</v>
      </c>
      <c r="B462" s="2" t="s">
        <v>811</v>
      </c>
      <c r="C462" s="2" t="s">
        <v>91</v>
      </c>
      <c r="D462" s="2" t="s">
        <v>124</v>
      </c>
      <c r="E462" s="93"/>
      <c r="F462" s="93"/>
      <c r="G462" s="93"/>
      <c r="H462" s="93"/>
      <c r="I462" s="3" t="str">
        <f t="shared" si="1"/>
        <v>422110503</v>
      </c>
      <c r="J462" s="3"/>
      <c r="K462" s="3"/>
      <c r="L462" s="94" t="s">
        <v>820</v>
      </c>
      <c r="M462" s="4">
        <v>2.0</v>
      </c>
      <c r="N462" s="3"/>
      <c r="O462" s="93"/>
      <c r="P462" s="3"/>
      <c r="Q462" s="3"/>
      <c r="R462" s="3"/>
      <c r="S462" s="3"/>
      <c r="T462" s="3"/>
      <c r="U462" s="6">
        <v>2.0</v>
      </c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97"/>
      <c r="BO462" s="3"/>
      <c r="BP462" s="3"/>
      <c r="BQ462" s="10"/>
    </row>
    <row r="463">
      <c r="A463" s="1">
        <v>5.0</v>
      </c>
      <c r="B463" s="2" t="s">
        <v>811</v>
      </c>
      <c r="C463" s="2" t="s">
        <v>91</v>
      </c>
      <c r="D463" s="2" t="s">
        <v>127</v>
      </c>
      <c r="E463" s="93"/>
      <c r="F463" s="93"/>
      <c r="G463" s="93"/>
      <c r="H463" s="93"/>
      <c r="I463" s="3" t="str">
        <f t="shared" si="1"/>
        <v>422110504</v>
      </c>
      <c r="J463" s="3"/>
      <c r="K463" s="3"/>
      <c r="L463" s="94" t="s">
        <v>821</v>
      </c>
      <c r="M463" s="4">
        <v>2.0</v>
      </c>
      <c r="N463" s="3"/>
      <c r="O463" s="93"/>
      <c r="P463" s="3"/>
      <c r="Q463" s="3"/>
      <c r="R463" s="3"/>
      <c r="S463" s="3"/>
      <c r="T463" s="3"/>
      <c r="U463" s="6">
        <v>2.0</v>
      </c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97"/>
      <c r="BO463" s="3"/>
      <c r="BP463" s="3"/>
      <c r="BQ463" s="10"/>
    </row>
    <row r="464">
      <c r="A464" s="1">
        <v>4.0</v>
      </c>
      <c r="B464" s="2" t="s">
        <v>811</v>
      </c>
      <c r="C464" s="2" t="s">
        <v>133</v>
      </c>
      <c r="D464" s="93"/>
      <c r="E464" s="93"/>
      <c r="F464" s="93"/>
      <c r="G464" s="93"/>
      <c r="H464" s="93"/>
      <c r="I464" s="3" t="str">
        <f t="shared" si="1"/>
        <v>4221106</v>
      </c>
      <c r="J464" s="3"/>
      <c r="K464" s="3"/>
      <c r="L464" s="94" t="s">
        <v>822</v>
      </c>
      <c r="M464" s="4">
        <v>2.0</v>
      </c>
      <c r="N464" s="3"/>
      <c r="O464" s="93"/>
      <c r="P464" s="3"/>
      <c r="Q464" s="3"/>
      <c r="R464" s="3"/>
      <c r="S464" s="3"/>
      <c r="T464" s="3"/>
      <c r="U464" s="6">
        <v>1.0</v>
      </c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97"/>
      <c r="BO464" s="3"/>
      <c r="BP464" s="3"/>
      <c r="BQ464" s="10"/>
    </row>
    <row r="465">
      <c r="A465" s="1">
        <v>5.0</v>
      </c>
      <c r="B465" s="2" t="s">
        <v>811</v>
      </c>
      <c r="C465" s="2" t="s">
        <v>133</v>
      </c>
      <c r="D465" s="2" t="s">
        <v>76</v>
      </c>
      <c r="E465" s="93"/>
      <c r="F465" s="93"/>
      <c r="G465" s="93"/>
      <c r="H465" s="93"/>
      <c r="I465" s="3" t="str">
        <f t="shared" si="1"/>
        <v>422110601</v>
      </c>
      <c r="J465" s="3"/>
      <c r="K465" s="3"/>
      <c r="L465" s="94" t="s">
        <v>821</v>
      </c>
      <c r="M465" s="4">
        <v>2.0</v>
      </c>
      <c r="N465" s="3"/>
      <c r="O465" s="93"/>
      <c r="P465" s="3"/>
      <c r="Q465" s="3"/>
      <c r="R465" s="3"/>
      <c r="S465" s="3"/>
      <c r="T465" s="3"/>
      <c r="U465" s="6">
        <v>4.0</v>
      </c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97"/>
      <c r="BO465" s="3"/>
      <c r="BP465" s="3"/>
      <c r="BQ465" s="10"/>
    </row>
    <row r="466">
      <c r="A466" s="1">
        <v>5.0</v>
      </c>
      <c r="B466" s="2" t="s">
        <v>811</v>
      </c>
      <c r="C466" s="2" t="s">
        <v>133</v>
      </c>
      <c r="D466" s="2" t="s">
        <v>119</v>
      </c>
      <c r="E466" s="93"/>
      <c r="F466" s="93"/>
      <c r="G466" s="93"/>
      <c r="H466" s="93"/>
      <c r="I466" s="3" t="str">
        <f t="shared" si="1"/>
        <v>422110602</v>
      </c>
      <c r="J466" s="3"/>
      <c r="K466" s="3"/>
      <c r="L466" s="94" t="s">
        <v>823</v>
      </c>
      <c r="M466" s="4">
        <v>2.0</v>
      </c>
      <c r="N466" s="3"/>
      <c r="O466" s="93"/>
      <c r="P466" s="3"/>
      <c r="Q466" s="3"/>
      <c r="R466" s="3"/>
      <c r="S466" s="3"/>
      <c r="T466" s="3"/>
      <c r="U466" s="6">
        <v>2.0</v>
      </c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97"/>
      <c r="BO466" s="3"/>
      <c r="BP466" s="3"/>
      <c r="BQ466" s="10"/>
    </row>
    <row r="467">
      <c r="A467" s="1">
        <v>5.0</v>
      </c>
      <c r="B467" s="2" t="s">
        <v>811</v>
      </c>
      <c r="C467" s="2" t="s">
        <v>133</v>
      </c>
      <c r="D467" s="2" t="s">
        <v>124</v>
      </c>
      <c r="E467" s="93"/>
      <c r="F467" s="93"/>
      <c r="G467" s="93"/>
      <c r="H467" s="93"/>
      <c r="I467" s="3" t="str">
        <f t="shared" si="1"/>
        <v>422110603</v>
      </c>
      <c r="J467" s="3"/>
      <c r="K467" s="3"/>
      <c r="L467" s="94" t="s">
        <v>824</v>
      </c>
      <c r="M467" s="4">
        <v>2.0</v>
      </c>
      <c r="N467" s="3"/>
      <c r="O467" s="93"/>
      <c r="P467" s="3"/>
      <c r="Q467" s="3"/>
      <c r="R467" s="3"/>
      <c r="S467" s="3"/>
      <c r="T467" s="3"/>
      <c r="U467" s="6">
        <v>2.0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97"/>
      <c r="BO467" s="3"/>
      <c r="BP467" s="3"/>
      <c r="BQ467" s="10"/>
    </row>
    <row r="468">
      <c r="A468" s="1">
        <v>4.0</v>
      </c>
      <c r="B468" s="2" t="s">
        <v>811</v>
      </c>
      <c r="C468" s="2" t="s">
        <v>136</v>
      </c>
      <c r="D468" s="93"/>
      <c r="E468" s="93"/>
      <c r="F468" s="93"/>
      <c r="G468" s="93"/>
      <c r="H468" s="93"/>
      <c r="I468" s="3" t="str">
        <f t="shared" si="1"/>
        <v>4221107</v>
      </c>
      <c r="J468" s="3"/>
      <c r="K468" s="3"/>
      <c r="L468" s="94" t="s">
        <v>825</v>
      </c>
      <c r="M468" s="4">
        <v>2.0</v>
      </c>
      <c r="N468" s="3"/>
      <c r="O468" s="93"/>
      <c r="P468" s="3"/>
      <c r="Q468" s="3"/>
      <c r="R468" s="3"/>
      <c r="S468" s="3"/>
      <c r="T468" s="3"/>
      <c r="U468" s="6">
        <v>1.0</v>
      </c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97"/>
      <c r="BO468" s="3"/>
      <c r="BP468" s="3"/>
      <c r="BQ468" s="10"/>
    </row>
    <row r="469">
      <c r="A469" s="1">
        <v>5.0</v>
      </c>
      <c r="B469" s="2" t="s">
        <v>811</v>
      </c>
      <c r="C469" s="2" t="s">
        <v>136</v>
      </c>
      <c r="D469" s="2" t="s">
        <v>76</v>
      </c>
      <c r="E469" s="93"/>
      <c r="F469" s="93"/>
      <c r="G469" s="93"/>
      <c r="H469" s="93"/>
      <c r="I469" s="3" t="str">
        <f t="shared" si="1"/>
        <v>422110701</v>
      </c>
      <c r="J469" s="3"/>
      <c r="K469" s="3"/>
      <c r="L469" s="94" t="s">
        <v>826</v>
      </c>
      <c r="M469" s="4">
        <v>2.0</v>
      </c>
      <c r="N469" s="3"/>
      <c r="O469" s="93"/>
      <c r="P469" s="3"/>
      <c r="Q469" s="3"/>
      <c r="R469" s="3"/>
      <c r="S469" s="3"/>
      <c r="T469" s="3"/>
      <c r="U469" s="6">
        <v>1.0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97"/>
      <c r="BO469" s="3"/>
      <c r="BP469" s="3"/>
      <c r="BQ469" s="10"/>
    </row>
    <row r="470">
      <c r="A470" s="1">
        <v>5.0</v>
      </c>
      <c r="B470" s="2" t="s">
        <v>811</v>
      </c>
      <c r="C470" s="2" t="s">
        <v>136</v>
      </c>
      <c r="D470" s="2" t="s">
        <v>119</v>
      </c>
      <c r="E470" s="93"/>
      <c r="F470" s="93"/>
      <c r="G470" s="93"/>
      <c r="H470" s="93"/>
      <c r="I470" s="3" t="str">
        <f t="shared" si="1"/>
        <v>422110702</v>
      </c>
      <c r="J470" s="3"/>
      <c r="K470" s="3"/>
      <c r="L470" s="94" t="s">
        <v>827</v>
      </c>
      <c r="M470" s="4">
        <v>2.0</v>
      </c>
      <c r="N470" s="3"/>
      <c r="O470" s="93"/>
      <c r="P470" s="3"/>
      <c r="Q470" s="3"/>
      <c r="R470" s="3"/>
      <c r="S470" s="3"/>
      <c r="T470" s="3"/>
      <c r="U470" s="6">
        <v>1.0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97"/>
      <c r="BO470" s="3"/>
      <c r="BP470" s="3"/>
      <c r="BQ470" s="10"/>
    </row>
    <row r="471">
      <c r="A471" s="1">
        <v>4.0</v>
      </c>
      <c r="B471" s="2" t="s">
        <v>811</v>
      </c>
      <c r="C471" s="2" t="s">
        <v>138</v>
      </c>
      <c r="D471" s="93"/>
      <c r="E471" s="93"/>
      <c r="F471" s="93"/>
      <c r="G471" s="93"/>
      <c r="H471" s="93"/>
      <c r="I471" s="3" t="str">
        <f t="shared" si="1"/>
        <v>4221108</v>
      </c>
      <c r="J471" s="3"/>
      <c r="K471" s="3"/>
      <c r="L471" s="94" t="s">
        <v>828</v>
      </c>
      <c r="M471" s="4">
        <v>2.0</v>
      </c>
      <c r="N471" s="3"/>
      <c r="O471" s="93"/>
      <c r="P471" s="3"/>
      <c r="Q471" s="3"/>
      <c r="R471" s="3"/>
      <c r="S471" s="3"/>
      <c r="T471" s="3"/>
      <c r="U471" s="6">
        <v>1.0</v>
      </c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97"/>
      <c r="BO471" s="3"/>
      <c r="BP471" s="3"/>
      <c r="BQ471" s="10"/>
    </row>
    <row r="472">
      <c r="A472" s="1">
        <v>5.0</v>
      </c>
      <c r="B472" s="2" t="s">
        <v>811</v>
      </c>
      <c r="C472" s="2" t="s">
        <v>138</v>
      </c>
      <c r="D472" s="2" t="s">
        <v>76</v>
      </c>
      <c r="E472" s="93"/>
      <c r="F472" s="93"/>
      <c r="G472" s="93"/>
      <c r="H472" s="93"/>
      <c r="I472" s="3" t="str">
        <f t="shared" si="1"/>
        <v>422110801</v>
      </c>
      <c r="J472" s="3"/>
      <c r="K472" s="3"/>
      <c r="L472" s="94" t="s">
        <v>829</v>
      </c>
      <c r="M472" s="4">
        <v>2.0</v>
      </c>
      <c r="N472" s="3"/>
      <c r="O472" s="93"/>
      <c r="P472" s="3"/>
      <c r="Q472" s="3"/>
      <c r="R472" s="3"/>
      <c r="S472" s="3"/>
      <c r="T472" s="3"/>
      <c r="U472" s="6">
        <v>1.0</v>
      </c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97"/>
      <c r="BO472" s="3"/>
      <c r="BP472" s="3"/>
      <c r="BQ472" s="10"/>
    </row>
    <row r="473">
      <c r="A473" s="1">
        <v>5.0</v>
      </c>
      <c r="B473" s="2" t="s">
        <v>811</v>
      </c>
      <c r="C473" s="2" t="s">
        <v>138</v>
      </c>
      <c r="D473" s="2" t="s">
        <v>119</v>
      </c>
      <c r="E473" s="93"/>
      <c r="F473" s="93"/>
      <c r="G473" s="93"/>
      <c r="H473" s="93"/>
      <c r="I473" s="3" t="str">
        <f t="shared" si="1"/>
        <v>422110802</v>
      </c>
      <c r="J473" s="3"/>
      <c r="K473" s="3"/>
      <c r="L473" s="94" t="s">
        <v>830</v>
      </c>
      <c r="M473" s="4">
        <v>2.0</v>
      </c>
      <c r="N473" s="3"/>
      <c r="O473" s="93"/>
      <c r="P473" s="3"/>
      <c r="Q473" s="3"/>
      <c r="R473" s="3"/>
      <c r="S473" s="3"/>
      <c r="T473" s="3"/>
      <c r="U473" s="6">
        <v>1.0</v>
      </c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97"/>
      <c r="BO473" s="3"/>
      <c r="BP473" s="3"/>
      <c r="BQ473" s="10"/>
    </row>
    <row r="474">
      <c r="A474" s="1">
        <v>5.0</v>
      </c>
      <c r="B474" s="2" t="s">
        <v>811</v>
      </c>
      <c r="C474" s="2" t="s">
        <v>138</v>
      </c>
      <c r="D474" s="2" t="s">
        <v>124</v>
      </c>
      <c r="E474" s="93"/>
      <c r="F474" s="93"/>
      <c r="G474" s="93"/>
      <c r="H474" s="93"/>
      <c r="I474" s="3" t="str">
        <f t="shared" si="1"/>
        <v>422110803</v>
      </c>
      <c r="J474" s="3"/>
      <c r="K474" s="3"/>
      <c r="L474" s="94" t="s">
        <v>831</v>
      </c>
      <c r="M474" s="4">
        <v>2.0</v>
      </c>
      <c r="N474" s="3"/>
      <c r="O474" s="93"/>
      <c r="P474" s="3"/>
      <c r="Q474" s="3"/>
      <c r="R474" s="3"/>
      <c r="S474" s="3"/>
      <c r="T474" s="3"/>
      <c r="U474" s="6">
        <v>2.0</v>
      </c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97"/>
      <c r="BO474" s="3"/>
      <c r="BP474" s="3"/>
      <c r="BQ474" s="10"/>
    </row>
    <row r="475">
      <c r="A475" s="1">
        <v>5.0</v>
      </c>
      <c r="B475" s="2" t="s">
        <v>811</v>
      </c>
      <c r="C475" s="2" t="s">
        <v>138</v>
      </c>
      <c r="D475" s="2" t="s">
        <v>127</v>
      </c>
      <c r="E475" s="93"/>
      <c r="F475" s="93"/>
      <c r="G475" s="93"/>
      <c r="H475" s="93"/>
      <c r="I475" s="3" t="str">
        <f t="shared" si="1"/>
        <v>422110804</v>
      </c>
      <c r="J475" s="3"/>
      <c r="K475" s="3"/>
      <c r="L475" s="94" t="s">
        <v>832</v>
      </c>
      <c r="M475" s="4">
        <v>2.0</v>
      </c>
      <c r="N475" s="3"/>
      <c r="O475" s="93"/>
      <c r="P475" s="3"/>
      <c r="Q475" s="3"/>
      <c r="R475" s="3"/>
      <c r="S475" s="3"/>
      <c r="T475" s="3"/>
      <c r="U475" s="6">
        <v>1.0</v>
      </c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97"/>
      <c r="BO475" s="3"/>
      <c r="BP475" s="3"/>
      <c r="BQ475" s="10"/>
    </row>
    <row r="476">
      <c r="A476" s="1">
        <v>4.0</v>
      </c>
      <c r="B476" s="2" t="s">
        <v>811</v>
      </c>
      <c r="C476" s="2" t="s">
        <v>142</v>
      </c>
      <c r="D476" s="93"/>
      <c r="E476" s="93"/>
      <c r="F476" s="93"/>
      <c r="G476" s="93"/>
      <c r="H476" s="93"/>
      <c r="I476" s="3" t="str">
        <f t="shared" si="1"/>
        <v>4221109</v>
      </c>
      <c r="J476" s="3"/>
      <c r="K476" s="3"/>
      <c r="L476" s="94" t="s">
        <v>833</v>
      </c>
      <c r="M476" s="4">
        <v>2.0</v>
      </c>
      <c r="N476" s="3"/>
      <c r="O476" s="93"/>
      <c r="P476" s="3"/>
      <c r="Q476" s="3"/>
      <c r="R476" s="3"/>
      <c r="S476" s="3"/>
      <c r="T476" s="3"/>
      <c r="U476" s="6">
        <v>3.0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97"/>
      <c r="BO476" s="3"/>
      <c r="BP476" s="3"/>
      <c r="BQ476" s="10"/>
    </row>
    <row r="477">
      <c r="A477" s="1">
        <v>4.0</v>
      </c>
      <c r="B477" s="2" t="s">
        <v>811</v>
      </c>
      <c r="C477" s="2" t="s">
        <v>149</v>
      </c>
      <c r="D477" s="93"/>
      <c r="E477" s="93"/>
      <c r="F477" s="93"/>
      <c r="G477" s="93"/>
      <c r="H477" s="93"/>
      <c r="I477" s="3" t="str">
        <f t="shared" si="1"/>
        <v>422110A</v>
      </c>
      <c r="J477" s="3"/>
      <c r="K477" s="3"/>
      <c r="L477" s="94" t="s">
        <v>834</v>
      </c>
      <c r="M477" s="4">
        <v>2.0</v>
      </c>
      <c r="N477" s="3"/>
      <c r="O477" s="93"/>
      <c r="P477" s="3"/>
      <c r="Q477" s="3"/>
      <c r="R477" s="3"/>
      <c r="S477" s="3"/>
      <c r="T477" s="3"/>
      <c r="U477" s="6">
        <v>1.0</v>
      </c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97"/>
      <c r="BO477" s="3"/>
      <c r="BP477" s="3"/>
      <c r="BQ477" s="10"/>
    </row>
    <row r="478">
      <c r="A478" s="1">
        <v>5.0</v>
      </c>
      <c r="B478" s="2" t="s">
        <v>811</v>
      </c>
      <c r="C478" s="2" t="s">
        <v>149</v>
      </c>
      <c r="D478" s="2" t="s">
        <v>76</v>
      </c>
      <c r="E478" s="93"/>
      <c r="F478" s="93"/>
      <c r="G478" s="93"/>
      <c r="H478" s="93"/>
      <c r="I478" s="3" t="str">
        <f t="shared" si="1"/>
        <v>422110A01</v>
      </c>
      <c r="J478" s="3"/>
      <c r="K478" s="3"/>
      <c r="L478" s="94" t="s">
        <v>821</v>
      </c>
      <c r="M478" s="4">
        <v>2.0</v>
      </c>
      <c r="N478" s="3"/>
      <c r="O478" s="93"/>
      <c r="P478" s="3"/>
      <c r="Q478" s="3"/>
      <c r="R478" s="3"/>
      <c r="S478" s="3"/>
      <c r="T478" s="3"/>
      <c r="U478" s="6">
        <v>5.0</v>
      </c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97"/>
      <c r="BO478" s="3"/>
      <c r="BP478" s="3"/>
      <c r="BQ478" s="10"/>
    </row>
    <row r="479">
      <c r="A479" s="1">
        <v>5.0</v>
      </c>
      <c r="B479" s="2" t="s">
        <v>811</v>
      </c>
      <c r="C479" s="2" t="s">
        <v>149</v>
      </c>
      <c r="D479" s="2" t="s">
        <v>119</v>
      </c>
      <c r="E479" s="93"/>
      <c r="F479" s="93"/>
      <c r="G479" s="93"/>
      <c r="H479" s="93"/>
      <c r="I479" s="3" t="str">
        <f t="shared" si="1"/>
        <v>422110A02</v>
      </c>
      <c r="J479" s="3"/>
      <c r="K479" s="3"/>
      <c r="L479" s="94" t="s">
        <v>835</v>
      </c>
      <c r="M479" s="4">
        <v>2.0</v>
      </c>
      <c r="N479" s="3"/>
      <c r="O479" s="93"/>
      <c r="P479" s="3"/>
      <c r="Q479" s="3"/>
      <c r="R479" s="3"/>
      <c r="S479" s="3"/>
      <c r="T479" s="3"/>
      <c r="U479" s="6">
        <v>6.0</v>
      </c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97"/>
      <c r="BO479" s="3"/>
      <c r="BP479" s="3"/>
      <c r="BQ479" s="10"/>
    </row>
    <row r="480">
      <c r="A480" s="1">
        <v>5.0</v>
      </c>
      <c r="B480" s="2" t="s">
        <v>811</v>
      </c>
      <c r="C480" s="2" t="s">
        <v>149</v>
      </c>
      <c r="D480" s="2" t="s">
        <v>124</v>
      </c>
      <c r="E480" s="93"/>
      <c r="F480" s="93"/>
      <c r="G480" s="93"/>
      <c r="H480" s="93"/>
      <c r="I480" s="3" t="str">
        <f t="shared" si="1"/>
        <v>422110A03</v>
      </c>
      <c r="J480" s="3"/>
      <c r="K480" s="3"/>
      <c r="L480" s="94" t="s">
        <v>836</v>
      </c>
      <c r="M480" s="4">
        <v>2.0</v>
      </c>
      <c r="N480" s="3"/>
      <c r="O480" s="93"/>
      <c r="P480" s="3"/>
      <c r="Q480" s="3"/>
      <c r="R480" s="3"/>
      <c r="S480" s="3"/>
      <c r="T480" s="3"/>
      <c r="U480" s="6">
        <v>2.0</v>
      </c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97"/>
      <c r="BO480" s="3"/>
      <c r="BP480" s="3"/>
      <c r="BQ480" s="10"/>
    </row>
    <row r="481">
      <c r="A481" s="1">
        <v>4.0</v>
      </c>
      <c r="B481" s="2" t="s">
        <v>811</v>
      </c>
      <c r="C481" s="2" t="s">
        <v>151</v>
      </c>
      <c r="D481" s="93"/>
      <c r="E481" s="93"/>
      <c r="F481" s="93"/>
      <c r="G481" s="93"/>
      <c r="H481" s="93"/>
      <c r="I481" s="3" t="str">
        <f t="shared" si="1"/>
        <v>422110B</v>
      </c>
      <c r="J481" s="3"/>
      <c r="K481" s="3"/>
      <c r="L481" s="94" t="s">
        <v>837</v>
      </c>
      <c r="M481" s="4">
        <v>2.0</v>
      </c>
      <c r="N481" s="3"/>
      <c r="O481" s="93"/>
      <c r="P481" s="3"/>
      <c r="Q481" s="3"/>
      <c r="R481" s="3"/>
      <c r="S481" s="3"/>
      <c r="T481" s="3"/>
      <c r="U481" s="6">
        <v>1.0</v>
      </c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97"/>
      <c r="BO481" s="3"/>
      <c r="BP481" s="3"/>
      <c r="BQ481" s="10"/>
    </row>
    <row r="482">
      <c r="A482" s="1">
        <v>5.0</v>
      </c>
      <c r="B482" s="2" t="s">
        <v>811</v>
      </c>
      <c r="C482" s="2" t="s">
        <v>151</v>
      </c>
      <c r="D482" s="2" t="s">
        <v>76</v>
      </c>
      <c r="E482" s="93"/>
      <c r="F482" s="93"/>
      <c r="G482" s="93"/>
      <c r="H482" s="93"/>
      <c r="I482" s="3" t="str">
        <f t="shared" si="1"/>
        <v>422110B01</v>
      </c>
      <c r="J482" s="3"/>
      <c r="K482" s="3"/>
      <c r="L482" s="94" t="s">
        <v>838</v>
      </c>
      <c r="M482" s="4">
        <v>2.0</v>
      </c>
      <c r="N482" s="3"/>
      <c r="O482" s="93"/>
      <c r="P482" s="3"/>
      <c r="Q482" s="3"/>
      <c r="R482" s="3"/>
      <c r="S482" s="3"/>
      <c r="T482" s="3"/>
      <c r="U482" s="6">
        <v>1.0</v>
      </c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97"/>
      <c r="BO482" s="3"/>
      <c r="BP482" s="3"/>
      <c r="BQ482" s="10"/>
    </row>
    <row r="483">
      <c r="A483" s="1">
        <v>4.0</v>
      </c>
      <c r="B483" s="2" t="s">
        <v>811</v>
      </c>
      <c r="C483" s="2" t="s">
        <v>155</v>
      </c>
      <c r="D483" s="93"/>
      <c r="E483" s="93"/>
      <c r="F483" s="93"/>
      <c r="G483" s="93"/>
      <c r="H483" s="93"/>
      <c r="I483" s="3" t="str">
        <f t="shared" si="1"/>
        <v>422110C</v>
      </c>
      <c r="J483" s="3"/>
      <c r="K483" s="3"/>
      <c r="L483" s="94" t="s">
        <v>839</v>
      </c>
      <c r="M483" s="4">
        <v>2.0</v>
      </c>
      <c r="N483" s="3"/>
      <c r="O483" s="93"/>
      <c r="P483" s="3"/>
      <c r="Q483" s="3"/>
      <c r="R483" s="3"/>
      <c r="S483" s="3"/>
      <c r="T483" s="3"/>
      <c r="U483" s="6">
        <v>2.0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97"/>
      <c r="BO483" s="3"/>
      <c r="BP483" s="3"/>
      <c r="BQ483" s="10"/>
    </row>
    <row r="484">
      <c r="A484" s="36">
        <v>2.0</v>
      </c>
      <c r="B484" s="37" t="s">
        <v>840</v>
      </c>
      <c r="C484" s="38"/>
      <c r="D484" s="38"/>
      <c r="E484" s="38"/>
      <c r="F484" s="38"/>
      <c r="G484" s="38"/>
      <c r="H484" s="38"/>
      <c r="I484" s="39" t="str">
        <f t="shared" si="1"/>
        <v>42310</v>
      </c>
      <c r="J484" s="40"/>
      <c r="K484" s="40"/>
      <c r="L484" s="39" t="s">
        <v>841</v>
      </c>
      <c r="M484" s="41">
        <v>1.0</v>
      </c>
      <c r="N484" s="42"/>
      <c r="O484" s="38"/>
      <c r="P484" s="42"/>
      <c r="Q484" s="42"/>
      <c r="R484" s="42"/>
      <c r="S484" s="42"/>
      <c r="T484" s="40"/>
      <c r="U484" s="43">
        <v>1.0</v>
      </c>
      <c r="V484" s="40"/>
      <c r="W484" s="43" t="s">
        <v>70</v>
      </c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2"/>
      <c r="AQ484" s="42"/>
      <c r="AR484" s="42"/>
      <c r="AS484" s="42"/>
      <c r="AT484" s="42"/>
      <c r="AU484" s="42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2"/>
      <c r="BI484" s="42"/>
      <c r="BJ484" s="42"/>
      <c r="BK484" s="42"/>
      <c r="BL484" s="42"/>
      <c r="BM484" s="40"/>
      <c r="BN484" s="44"/>
      <c r="BO484" s="40"/>
      <c r="BP484" s="42"/>
      <c r="BQ484" s="10"/>
    </row>
    <row r="485">
      <c r="A485" s="45">
        <v>3.0</v>
      </c>
      <c r="B485" s="46" t="s">
        <v>842</v>
      </c>
      <c r="C485" s="47"/>
      <c r="D485" s="47"/>
      <c r="E485" s="47"/>
      <c r="F485" s="47"/>
      <c r="G485" s="47"/>
      <c r="H485" s="47"/>
      <c r="I485" s="48" t="str">
        <f t="shared" si="1"/>
        <v>42315</v>
      </c>
      <c r="J485" s="49"/>
      <c r="K485" s="49"/>
      <c r="L485" s="48" t="s">
        <v>843</v>
      </c>
      <c r="M485" s="50">
        <v>1.0</v>
      </c>
      <c r="N485" s="51"/>
      <c r="O485" s="47"/>
      <c r="P485" s="51"/>
      <c r="Q485" s="51"/>
      <c r="R485" s="51"/>
      <c r="S485" s="51"/>
      <c r="T485" s="49"/>
      <c r="U485" s="52">
        <v>2.0</v>
      </c>
      <c r="V485" s="49"/>
      <c r="W485" s="52" t="s">
        <v>70</v>
      </c>
      <c r="X485" s="49"/>
      <c r="Y485" s="49"/>
      <c r="Z485" s="49"/>
      <c r="AA485" s="107" t="s">
        <v>79</v>
      </c>
      <c r="AB485" s="107" t="s">
        <v>79</v>
      </c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52" t="s">
        <v>80</v>
      </c>
      <c r="AQ485" s="51"/>
      <c r="AR485" s="51"/>
      <c r="AS485" s="51"/>
      <c r="AT485" s="51"/>
      <c r="AU485" s="51"/>
      <c r="AV485" s="49"/>
      <c r="AW485" s="49"/>
      <c r="AX485" s="49"/>
      <c r="AY485" s="49"/>
      <c r="AZ485" s="49"/>
      <c r="BA485" s="49"/>
      <c r="BB485" s="49"/>
      <c r="BC485" s="49"/>
      <c r="BD485" s="49"/>
      <c r="BE485" s="49"/>
      <c r="BF485" s="49"/>
      <c r="BG485" s="49"/>
      <c r="BH485" s="51"/>
      <c r="BI485" s="51"/>
      <c r="BJ485" s="51"/>
      <c r="BK485" s="51"/>
      <c r="BL485" s="51"/>
      <c r="BM485" s="49"/>
      <c r="BN485" s="53"/>
      <c r="BO485" s="49"/>
      <c r="BP485" s="51"/>
      <c r="BQ485" s="10"/>
    </row>
    <row r="486">
      <c r="A486" s="1">
        <v>4.0</v>
      </c>
      <c r="B486" s="2" t="s">
        <v>842</v>
      </c>
      <c r="C486" s="2" t="s">
        <v>76</v>
      </c>
      <c r="D486" s="93"/>
      <c r="E486" s="93"/>
      <c r="F486" s="93"/>
      <c r="G486" s="93"/>
      <c r="H486" s="93"/>
      <c r="I486" s="3" t="str">
        <f t="shared" si="1"/>
        <v>4231501</v>
      </c>
      <c r="J486" s="3"/>
      <c r="K486" s="3"/>
      <c r="L486" s="94" t="s">
        <v>844</v>
      </c>
      <c r="M486" s="4">
        <v>2.0</v>
      </c>
      <c r="N486" s="3"/>
      <c r="O486" s="93"/>
      <c r="P486" s="3"/>
      <c r="Q486" s="3"/>
      <c r="R486" s="3"/>
      <c r="S486" s="3"/>
      <c r="T486" s="3"/>
      <c r="U486" s="6">
        <v>2.0</v>
      </c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97"/>
      <c r="BO486" s="3"/>
      <c r="BP486" s="3"/>
      <c r="BQ486" s="10"/>
    </row>
    <row r="487">
      <c r="A487" s="1">
        <v>4.0</v>
      </c>
      <c r="B487" s="2" t="s">
        <v>842</v>
      </c>
      <c r="C487" s="2" t="s">
        <v>119</v>
      </c>
      <c r="D487" s="93"/>
      <c r="E487" s="93"/>
      <c r="F487" s="93"/>
      <c r="G487" s="93"/>
      <c r="H487" s="93"/>
      <c r="I487" s="3" t="str">
        <f t="shared" si="1"/>
        <v>4231502</v>
      </c>
      <c r="J487" s="3"/>
      <c r="K487" s="3"/>
      <c r="L487" s="94" t="s">
        <v>845</v>
      </c>
      <c r="M487" s="4">
        <v>2.0</v>
      </c>
      <c r="N487" s="3"/>
      <c r="O487" s="93"/>
      <c r="P487" s="3"/>
      <c r="Q487" s="3"/>
      <c r="R487" s="3"/>
      <c r="S487" s="3"/>
      <c r="T487" s="3"/>
      <c r="U487" s="6">
        <v>1.0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97"/>
      <c r="BO487" s="3"/>
      <c r="BP487" s="3"/>
      <c r="BQ487" s="10"/>
    </row>
    <row r="488">
      <c r="A488" s="1">
        <v>4.0</v>
      </c>
      <c r="B488" s="2" t="s">
        <v>842</v>
      </c>
      <c r="C488" s="2" t="s">
        <v>124</v>
      </c>
      <c r="D488" s="93"/>
      <c r="E488" s="93"/>
      <c r="F488" s="93"/>
      <c r="G488" s="93"/>
      <c r="H488" s="93"/>
      <c r="I488" s="3" t="str">
        <f t="shared" si="1"/>
        <v>4231503</v>
      </c>
      <c r="J488" s="3"/>
      <c r="K488" s="3"/>
      <c r="L488" s="94" t="s">
        <v>846</v>
      </c>
      <c r="M488" s="4">
        <v>2.0</v>
      </c>
      <c r="N488" s="3"/>
      <c r="O488" s="93"/>
      <c r="P488" s="3"/>
      <c r="Q488" s="3"/>
      <c r="R488" s="3"/>
      <c r="S488" s="3"/>
      <c r="T488" s="3"/>
      <c r="U488" s="6">
        <v>1.0</v>
      </c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97"/>
      <c r="BO488" s="3"/>
      <c r="BP488" s="3"/>
      <c r="BQ488" s="10"/>
    </row>
    <row r="489">
      <c r="A489" s="45">
        <v>3.0</v>
      </c>
      <c r="B489" s="46" t="s">
        <v>847</v>
      </c>
      <c r="C489" s="47"/>
      <c r="D489" s="47"/>
      <c r="E489" s="47"/>
      <c r="F489" s="47"/>
      <c r="G489" s="47"/>
      <c r="H489" s="47"/>
      <c r="I489" s="48" t="str">
        <f t="shared" si="1"/>
        <v>42316</v>
      </c>
      <c r="J489" s="49"/>
      <c r="K489" s="49"/>
      <c r="L489" s="48" t="s">
        <v>848</v>
      </c>
      <c r="M489" s="50">
        <v>1.0</v>
      </c>
      <c r="N489" s="51"/>
      <c r="O489" s="47"/>
      <c r="P489" s="51"/>
      <c r="Q489" s="51"/>
      <c r="R489" s="51"/>
      <c r="S489" s="51"/>
      <c r="T489" s="49"/>
      <c r="U489" s="52">
        <v>2.0</v>
      </c>
      <c r="V489" s="49"/>
      <c r="W489" s="52" t="s">
        <v>70</v>
      </c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51"/>
      <c r="AQ489" s="51"/>
      <c r="AR489" s="51"/>
      <c r="AS489" s="51"/>
      <c r="AT489" s="51"/>
      <c r="AU489" s="51"/>
      <c r="AV489" s="49"/>
      <c r="AW489" s="49"/>
      <c r="AX489" s="49"/>
      <c r="AY489" s="49"/>
      <c r="AZ489" s="49"/>
      <c r="BA489" s="49"/>
      <c r="BB489" s="49"/>
      <c r="BC489" s="49"/>
      <c r="BD489" s="49"/>
      <c r="BE489" s="49"/>
      <c r="BF489" s="49"/>
      <c r="BG489" s="49"/>
      <c r="BH489" s="51"/>
      <c r="BI489" s="51"/>
      <c r="BJ489" s="51"/>
      <c r="BK489" s="51"/>
      <c r="BL489" s="51"/>
      <c r="BM489" s="49"/>
      <c r="BN489" s="53"/>
      <c r="BO489" s="49"/>
      <c r="BP489" s="51"/>
      <c r="BQ489" s="10"/>
    </row>
    <row r="490">
      <c r="A490" s="28">
        <v>1.0</v>
      </c>
      <c r="B490" s="29" t="s">
        <v>849</v>
      </c>
      <c r="C490" s="30"/>
      <c r="D490" s="30"/>
      <c r="E490" s="30"/>
      <c r="F490" s="30"/>
      <c r="G490" s="30"/>
      <c r="H490" s="30"/>
      <c r="I490" s="31" t="str">
        <f t="shared" si="1"/>
        <v>42400</v>
      </c>
      <c r="J490" s="74"/>
      <c r="K490" s="74"/>
      <c r="L490" s="31" t="s">
        <v>850</v>
      </c>
      <c r="M490" s="75">
        <v>1.0</v>
      </c>
      <c r="N490" s="32"/>
      <c r="O490" s="30"/>
      <c r="P490" s="32"/>
      <c r="Q490" s="32"/>
      <c r="R490" s="32"/>
      <c r="S490" s="32"/>
      <c r="T490" s="74"/>
      <c r="U490" s="34">
        <v>1.0</v>
      </c>
      <c r="V490" s="74"/>
      <c r="W490" s="34" t="s">
        <v>70</v>
      </c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32"/>
      <c r="AQ490" s="32"/>
      <c r="AR490" s="32"/>
      <c r="AS490" s="32"/>
      <c r="AT490" s="32"/>
      <c r="AU490" s="32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32"/>
      <c r="BI490" s="32"/>
      <c r="BJ490" s="32"/>
      <c r="BK490" s="32"/>
      <c r="BL490" s="32"/>
      <c r="BM490" s="74"/>
      <c r="BN490" s="76"/>
      <c r="BO490" s="74"/>
      <c r="BP490" s="32"/>
      <c r="BQ490" s="10"/>
    </row>
    <row r="491">
      <c r="A491" s="36">
        <v>2.0</v>
      </c>
      <c r="B491" s="37" t="s">
        <v>851</v>
      </c>
      <c r="C491" s="38"/>
      <c r="D491" s="38"/>
      <c r="E491" s="38"/>
      <c r="F491" s="38"/>
      <c r="G491" s="38"/>
      <c r="H491" s="38"/>
      <c r="I491" s="39" t="str">
        <f t="shared" si="1"/>
        <v>42410</v>
      </c>
      <c r="J491" s="40"/>
      <c r="K491" s="40"/>
      <c r="L491" s="39" t="s">
        <v>852</v>
      </c>
      <c r="M491" s="41">
        <v>1.0</v>
      </c>
      <c r="N491" s="42"/>
      <c r="O491" s="38"/>
      <c r="P491" s="42"/>
      <c r="Q491" s="42"/>
      <c r="R491" s="42"/>
      <c r="S491" s="42"/>
      <c r="T491" s="40"/>
      <c r="U491" s="43">
        <v>1.0</v>
      </c>
      <c r="V491" s="40"/>
      <c r="W491" s="43" t="s">
        <v>70</v>
      </c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2"/>
      <c r="AQ491" s="42"/>
      <c r="AR491" s="42"/>
      <c r="AS491" s="42"/>
      <c r="AT491" s="42"/>
      <c r="AU491" s="42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2"/>
      <c r="BI491" s="42"/>
      <c r="BJ491" s="42"/>
      <c r="BK491" s="42"/>
      <c r="BL491" s="42"/>
      <c r="BM491" s="40"/>
      <c r="BN491" s="44"/>
      <c r="BO491" s="40"/>
      <c r="BP491" s="42"/>
      <c r="BQ491" s="10"/>
    </row>
    <row r="492">
      <c r="A492" s="45">
        <v>3.0</v>
      </c>
      <c r="B492" s="46" t="s">
        <v>853</v>
      </c>
      <c r="C492" s="47"/>
      <c r="D492" s="47"/>
      <c r="E492" s="47"/>
      <c r="F492" s="47"/>
      <c r="G492" s="47"/>
      <c r="H492" s="47"/>
      <c r="I492" s="48" t="str">
        <f t="shared" si="1"/>
        <v>42411</v>
      </c>
      <c r="J492" s="49"/>
      <c r="K492" s="49"/>
      <c r="L492" s="48" t="s">
        <v>854</v>
      </c>
      <c r="M492" s="50">
        <v>1.0</v>
      </c>
      <c r="N492" s="51"/>
      <c r="O492" s="47"/>
      <c r="P492" s="51"/>
      <c r="Q492" s="51"/>
      <c r="R492" s="51"/>
      <c r="S492" s="51"/>
      <c r="T492" s="49"/>
      <c r="U492" s="52">
        <v>1.0</v>
      </c>
      <c r="V492" s="49"/>
      <c r="W492" s="52" t="s">
        <v>70</v>
      </c>
      <c r="X492" s="49"/>
      <c r="Y492" s="49"/>
      <c r="Z492" s="49"/>
      <c r="AA492" s="107" t="s">
        <v>79</v>
      </c>
      <c r="AB492" s="107" t="s">
        <v>79</v>
      </c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52" t="s">
        <v>80</v>
      </c>
      <c r="AQ492" s="51"/>
      <c r="AR492" s="51"/>
      <c r="AS492" s="51"/>
      <c r="AT492" s="51"/>
      <c r="AU492" s="51"/>
      <c r="AV492" s="49"/>
      <c r="AW492" s="49"/>
      <c r="AX492" s="49"/>
      <c r="AY492" s="49"/>
      <c r="AZ492" s="49"/>
      <c r="BA492" s="49"/>
      <c r="BB492" s="49"/>
      <c r="BC492" s="49"/>
      <c r="BD492" s="49"/>
      <c r="BE492" s="49"/>
      <c r="BF492" s="49"/>
      <c r="BG492" s="49"/>
      <c r="BH492" s="51"/>
      <c r="BI492" s="51"/>
      <c r="BJ492" s="51"/>
      <c r="BK492" s="51"/>
      <c r="BL492" s="51"/>
      <c r="BM492" s="49"/>
      <c r="BN492" s="53"/>
      <c r="BO492" s="49"/>
      <c r="BP492" s="51"/>
      <c r="BQ492" s="10"/>
    </row>
    <row r="493">
      <c r="A493" s="1">
        <v>4.0</v>
      </c>
      <c r="B493" s="2" t="s">
        <v>853</v>
      </c>
      <c r="C493" s="2" t="s">
        <v>76</v>
      </c>
      <c r="D493" s="93"/>
      <c r="E493" s="93"/>
      <c r="F493" s="93"/>
      <c r="G493" s="93"/>
      <c r="H493" s="93"/>
      <c r="I493" s="3" t="str">
        <f t="shared" si="1"/>
        <v>4241101</v>
      </c>
      <c r="J493" s="3"/>
      <c r="K493" s="3"/>
      <c r="L493" s="94" t="s">
        <v>855</v>
      </c>
      <c r="M493" s="4">
        <v>2.0</v>
      </c>
      <c r="N493" s="3"/>
      <c r="O493" s="93"/>
      <c r="P493" s="3"/>
      <c r="Q493" s="3"/>
      <c r="R493" s="3"/>
      <c r="S493" s="3"/>
      <c r="T493" s="3"/>
      <c r="U493" s="6">
        <v>2.0</v>
      </c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97"/>
      <c r="BO493" s="3"/>
      <c r="BP493" s="3"/>
      <c r="BQ493" s="10"/>
    </row>
    <row r="494">
      <c r="A494" s="1">
        <v>4.0</v>
      </c>
      <c r="B494" s="2" t="s">
        <v>853</v>
      </c>
      <c r="C494" s="2" t="s">
        <v>119</v>
      </c>
      <c r="D494" s="93"/>
      <c r="E494" s="93"/>
      <c r="F494" s="93"/>
      <c r="G494" s="93"/>
      <c r="H494" s="93"/>
      <c r="I494" s="3" t="str">
        <f t="shared" si="1"/>
        <v>4241102</v>
      </c>
      <c r="J494" s="3"/>
      <c r="K494" s="3"/>
      <c r="L494" s="94" t="s">
        <v>856</v>
      </c>
      <c r="M494" s="4">
        <v>2.0</v>
      </c>
      <c r="N494" s="3"/>
      <c r="O494" s="93"/>
      <c r="P494" s="3"/>
      <c r="Q494" s="3"/>
      <c r="R494" s="3"/>
      <c r="S494" s="3"/>
      <c r="T494" s="3"/>
      <c r="U494" s="6">
        <v>2.0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97"/>
      <c r="BO494" s="3"/>
      <c r="BP494" s="3"/>
      <c r="BQ494" s="10"/>
    </row>
    <row r="495">
      <c r="A495" s="1">
        <v>4.0</v>
      </c>
      <c r="B495" s="2" t="s">
        <v>853</v>
      </c>
      <c r="C495" s="2" t="s">
        <v>124</v>
      </c>
      <c r="D495" s="93"/>
      <c r="E495" s="93"/>
      <c r="F495" s="93"/>
      <c r="G495" s="93"/>
      <c r="H495" s="93"/>
      <c r="I495" s="3" t="str">
        <f t="shared" si="1"/>
        <v>4241103</v>
      </c>
      <c r="J495" s="3"/>
      <c r="K495" s="3"/>
      <c r="L495" s="94" t="s">
        <v>857</v>
      </c>
      <c r="M495" s="4">
        <v>2.0</v>
      </c>
      <c r="N495" s="3"/>
      <c r="O495" s="93"/>
      <c r="P495" s="3"/>
      <c r="Q495" s="3"/>
      <c r="R495" s="3"/>
      <c r="S495" s="3"/>
      <c r="T495" s="3"/>
      <c r="U495" s="6">
        <v>2.0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97"/>
      <c r="BO495" s="3"/>
      <c r="BP495" s="3"/>
      <c r="BQ495" s="10"/>
    </row>
    <row r="496">
      <c r="A496" s="28">
        <v>1.0</v>
      </c>
      <c r="B496" s="29" t="s">
        <v>858</v>
      </c>
      <c r="C496" s="30"/>
      <c r="D496" s="30"/>
      <c r="E496" s="30"/>
      <c r="F496" s="30"/>
      <c r="G496" s="30"/>
      <c r="H496" s="30"/>
      <c r="I496" s="31" t="str">
        <f t="shared" si="1"/>
        <v>42600</v>
      </c>
      <c r="J496" s="74"/>
      <c r="K496" s="74"/>
      <c r="L496" s="31" t="s">
        <v>859</v>
      </c>
      <c r="M496" s="75">
        <v>1.0</v>
      </c>
      <c r="N496" s="32"/>
      <c r="O496" s="30"/>
      <c r="P496" s="32"/>
      <c r="Q496" s="32"/>
      <c r="R496" s="32"/>
      <c r="S496" s="32"/>
      <c r="T496" s="74"/>
      <c r="U496" s="34">
        <v>1.0</v>
      </c>
      <c r="V496" s="74"/>
      <c r="W496" s="34" t="s">
        <v>70</v>
      </c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32"/>
      <c r="AQ496" s="32"/>
      <c r="AR496" s="32"/>
      <c r="AS496" s="32"/>
      <c r="AT496" s="32"/>
      <c r="AU496" s="32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32"/>
      <c r="BI496" s="32"/>
      <c r="BJ496" s="32"/>
      <c r="BK496" s="32"/>
      <c r="BL496" s="32"/>
      <c r="BM496" s="74"/>
      <c r="BN496" s="76"/>
      <c r="BO496" s="74"/>
      <c r="BP496" s="32"/>
      <c r="BQ496" s="10"/>
    </row>
    <row r="497">
      <c r="A497" s="36">
        <v>2.0</v>
      </c>
      <c r="B497" s="37" t="s">
        <v>860</v>
      </c>
      <c r="C497" s="38"/>
      <c r="D497" s="38"/>
      <c r="E497" s="38"/>
      <c r="F497" s="38"/>
      <c r="G497" s="38"/>
      <c r="H497" s="38"/>
      <c r="I497" s="39" t="str">
        <f t="shared" si="1"/>
        <v>42610</v>
      </c>
      <c r="J497" s="40"/>
      <c r="K497" s="40"/>
      <c r="L497" s="39" t="s">
        <v>861</v>
      </c>
      <c r="M497" s="41">
        <v>1.0</v>
      </c>
      <c r="N497" s="42"/>
      <c r="O497" s="38"/>
      <c r="P497" s="42"/>
      <c r="Q497" s="42"/>
      <c r="R497" s="42"/>
      <c r="S497" s="42"/>
      <c r="T497" s="40"/>
      <c r="U497" s="43">
        <v>1.0</v>
      </c>
      <c r="V497" s="40"/>
      <c r="W497" s="43" t="s">
        <v>70</v>
      </c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2"/>
      <c r="AQ497" s="42"/>
      <c r="AR497" s="42"/>
      <c r="AS497" s="42"/>
      <c r="AT497" s="42"/>
      <c r="AU497" s="42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2"/>
      <c r="BI497" s="42"/>
      <c r="BJ497" s="42"/>
      <c r="BK497" s="42"/>
      <c r="BL497" s="42"/>
      <c r="BM497" s="40"/>
      <c r="BN497" s="44"/>
      <c r="BO497" s="40"/>
      <c r="BP497" s="42"/>
      <c r="BQ497" s="10"/>
    </row>
    <row r="498">
      <c r="A498" s="45">
        <v>3.0</v>
      </c>
      <c r="B498" s="46" t="s">
        <v>862</v>
      </c>
      <c r="C498" s="47"/>
      <c r="D498" s="47"/>
      <c r="E498" s="47"/>
      <c r="F498" s="47"/>
      <c r="G498" s="47"/>
      <c r="H498" s="47"/>
      <c r="I498" s="48" t="str">
        <f t="shared" si="1"/>
        <v>42611</v>
      </c>
      <c r="J498" s="49"/>
      <c r="K498" s="49"/>
      <c r="L498" s="48" t="s">
        <v>863</v>
      </c>
      <c r="M498" s="50">
        <v>1.0</v>
      </c>
      <c r="N498" s="51"/>
      <c r="O498" s="47"/>
      <c r="P498" s="51"/>
      <c r="Q498" s="51"/>
      <c r="R498" s="51"/>
      <c r="S498" s="51"/>
      <c r="T498" s="49"/>
      <c r="U498" s="52">
        <v>1.0</v>
      </c>
      <c r="V498" s="49"/>
      <c r="W498" s="52" t="s">
        <v>70</v>
      </c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51"/>
      <c r="AQ498" s="51"/>
      <c r="AR498" s="51"/>
      <c r="AS498" s="51"/>
      <c r="AT498" s="51"/>
      <c r="AU498" s="51"/>
      <c r="AV498" s="49"/>
      <c r="AW498" s="49"/>
      <c r="AX498" s="49"/>
      <c r="AY498" s="49"/>
      <c r="AZ498" s="49"/>
      <c r="BA498" s="49"/>
      <c r="BB498" s="49"/>
      <c r="BC498" s="49"/>
      <c r="BD498" s="49"/>
      <c r="BE498" s="49"/>
      <c r="BF498" s="49"/>
      <c r="BG498" s="49"/>
      <c r="BH498" s="51"/>
      <c r="BI498" s="51"/>
      <c r="BJ498" s="51"/>
      <c r="BK498" s="51"/>
      <c r="BL498" s="51"/>
      <c r="BM498" s="49"/>
      <c r="BN498" s="53"/>
      <c r="BO498" s="49"/>
      <c r="BP498" s="51"/>
      <c r="BQ498" s="10"/>
    </row>
    <row r="499">
      <c r="A499" s="1">
        <v>4.0</v>
      </c>
      <c r="B499" s="2" t="s">
        <v>862</v>
      </c>
      <c r="C499" s="2" t="s">
        <v>76</v>
      </c>
      <c r="D499" s="93"/>
      <c r="E499" s="93"/>
      <c r="F499" s="93"/>
      <c r="G499" s="93"/>
      <c r="H499" s="93"/>
      <c r="I499" s="3" t="str">
        <f t="shared" si="1"/>
        <v>4261101</v>
      </c>
      <c r="J499" s="3"/>
      <c r="K499" s="3"/>
      <c r="L499" s="94" t="s">
        <v>864</v>
      </c>
      <c r="M499" s="4">
        <v>1.0</v>
      </c>
      <c r="N499" s="3"/>
      <c r="O499" s="93"/>
      <c r="P499" s="3"/>
      <c r="Q499" s="3"/>
      <c r="R499" s="3"/>
      <c r="S499" s="3"/>
      <c r="T499" s="3"/>
      <c r="U499" s="6">
        <v>2.0</v>
      </c>
      <c r="V499" s="3"/>
      <c r="W499" s="6" t="s">
        <v>78</v>
      </c>
      <c r="X499" s="3"/>
      <c r="Y499" s="3"/>
      <c r="Z499" s="3"/>
      <c r="AA499" s="96" t="s">
        <v>79</v>
      </c>
      <c r="AB499" s="96" t="s">
        <v>79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6" t="s">
        <v>80</v>
      </c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97"/>
      <c r="BO499" s="3"/>
      <c r="BP499" s="3"/>
      <c r="BQ499" s="10"/>
    </row>
    <row r="500">
      <c r="A500" s="45">
        <v>3.0</v>
      </c>
      <c r="B500" s="46" t="s">
        <v>865</v>
      </c>
      <c r="C500" s="47"/>
      <c r="D500" s="47"/>
      <c r="E500" s="47"/>
      <c r="F500" s="47"/>
      <c r="G500" s="47"/>
      <c r="H500" s="47"/>
      <c r="I500" s="48" t="str">
        <f t="shared" si="1"/>
        <v>42613</v>
      </c>
      <c r="J500" s="49"/>
      <c r="K500" s="49"/>
      <c r="L500" s="48" t="s">
        <v>866</v>
      </c>
      <c r="M500" s="50">
        <v>1.0</v>
      </c>
      <c r="N500" s="51"/>
      <c r="O500" s="47"/>
      <c r="P500" s="51"/>
      <c r="Q500" s="51"/>
      <c r="R500" s="51"/>
      <c r="S500" s="51"/>
      <c r="T500" s="49"/>
      <c r="U500" s="52">
        <v>1.0</v>
      </c>
      <c r="V500" s="49"/>
      <c r="W500" s="52" t="s">
        <v>70</v>
      </c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51"/>
      <c r="AQ500" s="51"/>
      <c r="AR500" s="51"/>
      <c r="AS500" s="51"/>
      <c r="AT500" s="51"/>
      <c r="AU500" s="51"/>
      <c r="AV500" s="49"/>
      <c r="AW500" s="49"/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51"/>
      <c r="BI500" s="51"/>
      <c r="BJ500" s="51"/>
      <c r="BK500" s="51"/>
      <c r="BL500" s="51"/>
      <c r="BM500" s="49"/>
      <c r="BN500" s="53"/>
      <c r="BO500" s="49"/>
      <c r="BP500" s="51"/>
      <c r="BQ500" s="10"/>
    </row>
    <row r="501">
      <c r="A501" s="1">
        <v>4.0</v>
      </c>
      <c r="B501" s="2" t="s">
        <v>865</v>
      </c>
      <c r="C501" s="2" t="s">
        <v>76</v>
      </c>
      <c r="D501" s="93"/>
      <c r="E501" s="93"/>
      <c r="F501" s="93"/>
      <c r="G501" s="93"/>
      <c r="H501" s="93"/>
      <c r="I501" s="3" t="str">
        <f t="shared" si="1"/>
        <v>4261301</v>
      </c>
      <c r="J501" s="3"/>
      <c r="K501" s="3"/>
      <c r="L501" s="94" t="s">
        <v>867</v>
      </c>
      <c r="M501" s="4">
        <v>2.0</v>
      </c>
      <c r="N501" s="3"/>
      <c r="O501" s="93"/>
      <c r="P501" s="3"/>
      <c r="Q501" s="3"/>
      <c r="R501" s="3"/>
      <c r="S501" s="3"/>
      <c r="T501" s="3"/>
      <c r="U501" s="6">
        <v>2.0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97"/>
      <c r="BO501" s="3"/>
      <c r="BP501" s="3"/>
      <c r="BQ501" s="10"/>
    </row>
    <row r="502">
      <c r="A502" s="1">
        <v>4.0</v>
      </c>
      <c r="B502" s="2" t="s">
        <v>865</v>
      </c>
      <c r="C502" s="2" t="s">
        <v>119</v>
      </c>
      <c r="D502" s="93"/>
      <c r="E502" s="93"/>
      <c r="F502" s="93"/>
      <c r="G502" s="93"/>
      <c r="H502" s="93"/>
      <c r="I502" s="3" t="str">
        <f t="shared" si="1"/>
        <v>4261302</v>
      </c>
      <c r="J502" s="3"/>
      <c r="K502" s="3"/>
      <c r="L502" s="94" t="s">
        <v>868</v>
      </c>
      <c r="M502" s="4">
        <v>2.0</v>
      </c>
      <c r="N502" s="3"/>
      <c r="O502" s="93"/>
      <c r="P502" s="3"/>
      <c r="Q502" s="3"/>
      <c r="R502" s="3"/>
      <c r="S502" s="3"/>
      <c r="T502" s="3"/>
      <c r="U502" s="6">
        <v>2.0</v>
      </c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97"/>
      <c r="BO502" s="3"/>
      <c r="BP502" s="3"/>
      <c r="BQ502" s="10"/>
    </row>
    <row r="503">
      <c r="A503" s="1">
        <v>4.0</v>
      </c>
      <c r="B503" s="2" t="s">
        <v>865</v>
      </c>
      <c r="C503" s="2" t="s">
        <v>124</v>
      </c>
      <c r="D503" s="93"/>
      <c r="E503" s="93"/>
      <c r="F503" s="93"/>
      <c r="G503" s="93"/>
      <c r="H503" s="93"/>
      <c r="I503" s="3" t="str">
        <f t="shared" si="1"/>
        <v>4261303</v>
      </c>
      <c r="J503" s="3"/>
      <c r="K503" s="3"/>
      <c r="L503" s="94" t="s">
        <v>869</v>
      </c>
      <c r="M503" s="4">
        <v>2.0</v>
      </c>
      <c r="N503" s="3"/>
      <c r="O503" s="93"/>
      <c r="P503" s="3"/>
      <c r="Q503" s="3"/>
      <c r="R503" s="3"/>
      <c r="S503" s="3"/>
      <c r="T503" s="3"/>
      <c r="U503" s="6">
        <v>2.0</v>
      </c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97"/>
      <c r="BO503" s="3"/>
      <c r="BP503" s="3"/>
      <c r="BQ503" s="10"/>
    </row>
    <row r="504">
      <c r="A504" s="1">
        <v>4.0</v>
      </c>
      <c r="B504" s="2" t="s">
        <v>865</v>
      </c>
      <c r="C504" s="2" t="s">
        <v>127</v>
      </c>
      <c r="D504" s="93"/>
      <c r="E504" s="93"/>
      <c r="F504" s="93"/>
      <c r="G504" s="93"/>
      <c r="H504" s="93"/>
      <c r="I504" s="3" t="str">
        <f t="shared" si="1"/>
        <v>4261304</v>
      </c>
      <c r="J504" s="3"/>
      <c r="K504" s="3"/>
      <c r="L504" s="94" t="s">
        <v>870</v>
      </c>
      <c r="M504" s="4">
        <v>2.0</v>
      </c>
      <c r="N504" s="3"/>
      <c r="O504" s="93"/>
      <c r="P504" s="3"/>
      <c r="Q504" s="3"/>
      <c r="R504" s="3"/>
      <c r="S504" s="3"/>
      <c r="T504" s="3"/>
      <c r="U504" s="6">
        <v>1.0</v>
      </c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97"/>
      <c r="BO504" s="3"/>
      <c r="BP504" s="3"/>
      <c r="BQ504" s="10"/>
    </row>
    <row r="505">
      <c r="A505" s="36">
        <v>2.0</v>
      </c>
      <c r="B505" s="37" t="s">
        <v>871</v>
      </c>
      <c r="C505" s="38"/>
      <c r="D505" s="38"/>
      <c r="E505" s="38"/>
      <c r="F505" s="38"/>
      <c r="G505" s="38"/>
      <c r="H505" s="38"/>
      <c r="I505" s="39" t="str">
        <f t="shared" si="1"/>
        <v>42620</v>
      </c>
      <c r="J505" s="40"/>
      <c r="K505" s="40"/>
      <c r="L505" s="39" t="s">
        <v>872</v>
      </c>
      <c r="M505" s="41">
        <v>1.0</v>
      </c>
      <c r="N505" s="42"/>
      <c r="O505" s="38"/>
      <c r="P505" s="42"/>
      <c r="Q505" s="42"/>
      <c r="R505" s="42"/>
      <c r="S505" s="42"/>
      <c r="T505" s="40"/>
      <c r="U505" s="43">
        <v>1.0</v>
      </c>
      <c r="V505" s="40"/>
      <c r="W505" s="43" t="s">
        <v>70</v>
      </c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2"/>
      <c r="AQ505" s="42"/>
      <c r="AR505" s="42"/>
      <c r="AS505" s="42"/>
      <c r="AT505" s="42"/>
      <c r="AU505" s="42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2"/>
      <c r="BI505" s="42"/>
      <c r="BJ505" s="42"/>
      <c r="BK505" s="42"/>
      <c r="BL505" s="42"/>
      <c r="BM505" s="40"/>
      <c r="BN505" s="44"/>
      <c r="BO505" s="40"/>
      <c r="BP505" s="42"/>
      <c r="BQ505" s="10"/>
    </row>
    <row r="506">
      <c r="A506" s="45">
        <v>3.0</v>
      </c>
      <c r="B506" s="46" t="s">
        <v>873</v>
      </c>
      <c r="C506" s="47"/>
      <c r="D506" s="47"/>
      <c r="E506" s="47"/>
      <c r="F506" s="47"/>
      <c r="G506" s="47"/>
      <c r="H506" s="47"/>
      <c r="I506" s="48" t="str">
        <f t="shared" si="1"/>
        <v>42622</v>
      </c>
      <c r="J506" s="49"/>
      <c r="K506" s="49"/>
      <c r="L506" s="48" t="s">
        <v>874</v>
      </c>
      <c r="M506" s="50">
        <v>1.0</v>
      </c>
      <c r="N506" s="51"/>
      <c r="O506" s="47"/>
      <c r="P506" s="51"/>
      <c r="Q506" s="51"/>
      <c r="R506" s="51"/>
      <c r="S506" s="51"/>
      <c r="T506" s="49"/>
      <c r="U506" s="52">
        <v>1.0</v>
      </c>
      <c r="V506" s="49"/>
      <c r="W506" s="52" t="s">
        <v>70</v>
      </c>
      <c r="X506" s="49"/>
      <c r="Y506" s="49"/>
      <c r="Z506" s="49"/>
      <c r="AA506" s="107" t="s">
        <v>79</v>
      </c>
      <c r="AB506" s="107" t="s">
        <v>79</v>
      </c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52" t="s">
        <v>80</v>
      </c>
      <c r="AQ506" s="51"/>
      <c r="AR506" s="51"/>
      <c r="AS506" s="51"/>
      <c r="AT506" s="51"/>
      <c r="AU506" s="51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51"/>
      <c r="BI506" s="51"/>
      <c r="BJ506" s="51"/>
      <c r="BK506" s="51"/>
      <c r="BL506" s="51"/>
      <c r="BM506" s="49"/>
      <c r="BN506" s="53"/>
      <c r="BO506" s="49"/>
      <c r="BP506" s="51"/>
      <c r="BQ506" s="10"/>
    </row>
    <row r="507">
      <c r="A507" s="1">
        <v>4.0</v>
      </c>
      <c r="B507" s="2" t="s">
        <v>873</v>
      </c>
      <c r="C507" s="2" t="s">
        <v>76</v>
      </c>
      <c r="D507" s="93"/>
      <c r="E507" s="93"/>
      <c r="F507" s="93"/>
      <c r="G507" s="93"/>
      <c r="H507" s="93"/>
      <c r="I507" s="3" t="str">
        <f t="shared" si="1"/>
        <v>4262201</v>
      </c>
      <c r="J507" s="3"/>
      <c r="K507" s="3"/>
      <c r="L507" s="94" t="s">
        <v>855</v>
      </c>
      <c r="M507" s="4">
        <v>2.0</v>
      </c>
      <c r="N507" s="3"/>
      <c r="O507" s="93"/>
      <c r="P507" s="3"/>
      <c r="Q507" s="3"/>
      <c r="R507" s="3"/>
      <c r="S507" s="3"/>
      <c r="T507" s="3"/>
      <c r="U507" s="6">
        <v>1.0</v>
      </c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97"/>
      <c r="BO507" s="3"/>
      <c r="BP507" s="3"/>
      <c r="BQ507" s="10"/>
    </row>
    <row r="508">
      <c r="A508" s="1">
        <v>4.0</v>
      </c>
      <c r="B508" s="2" t="s">
        <v>873</v>
      </c>
      <c r="C508" s="2" t="s">
        <v>119</v>
      </c>
      <c r="D508" s="93"/>
      <c r="E508" s="93"/>
      <c r="F508" s="93"/>
      <c r="G508" s="93"/>
      <c r="H508" s="93"/>
      <c r="I508" s="3" t="str">
        <f t="shared" si="1"/>
        <v>4262202</v>
      </c>
      <c r="J508" s="3"/>
      <c r="K508" s="3"/>
      <c r="L508" s="94" t="s">
        <v>875</v>
      </c>
      <c r="M508" s="4">
        <v>2.0</v>
      </c>
      <c r="N508" s="3"/>
      <c r="O508" s="93"/>
      <c r="P508" s="3"/>
      <c r="Q508" s="3"/>
      <c r="R508" s="3"/>
      <c r="S508" s="3"/>
      <c r="T508" s="3"/>
      <c r="U508" s="6">
        <v>1.0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97"/>
      <c r="BO508" s="3"/>
      <c r="BP508" s="3"/>
      <c r="BQ508" s="10"/>
    </row>
    <row r="509">
      <c r="A509" s="1">
        <v>4.0</v>
      </c>
      <c r="B509" s="2" t="s">
        <v>873</v>
      </c>
      <c r="C509" s="2" t="s">
        <v>124</v>
      </c>
      <c r="D509" s="93"/>
      <c r="E509" s="93"/>
      <c r="F509" s="93"/>
      <c r="G509" s="93"/>
      <c r="H509" s="93"/>
      <c r="I509" s="3" t="str">
        <f t="shared" si="1"/>
        <v>4262203</v>
      </c>
      <c r="J509" s="3"/>
      <c r="K509" s="3"/>
      <c r="L509" s="94" t="s">
        <v>876</v>
      </c>
      <c r="M509" s="4">
        <v>2.0</v>
      </c>
      <c r="N509" s="3"/>
      <c r="O509" s="93"/>
      <c r="P509" s="3"/>
      <c r="Q509" s="3"/>
      <c r="R509" s="3"/>
      <c r="S509" s="3"/>
      <c r="T509" s="3"/>
      <c r="U509" s="6">
        <v>3.0</v>
      </c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97"/>
      <c r="BO509" s="3"/>
      <c r="BP509" s="3"/>
      <c r="BQ509" s="10"/>
    </row>
    <row r="510">
      <c r="A510" s="1">
        <v>4.0</v>
      </c>
      <c r="B510" s="2" t="s">
        <v>873</v>
      </c>
      <c r="C510" s="2" t="s">
        <v>127</v>
      </c>
      <c r="D510" s="93"/>
      <c r="E510" s="93"/>
      <c r="F510" s="93"/>
      <c r="G510" s="93"/>
      <c r="H510" s="93"/>
      <c r="I510" s="3" t="str">
        <f t="shared" si="1"/>
        <v>4262204</v>
      </c>
      <c r="J510" s="3"/>
      <c r="K510" s="3"/>
      <c r="L510" s="94" t="s">
        <v>857</v>
      </c>
      <c r="M510" s="4">
        <v>2.0</v>
      </c>
      <c r="N510" s="3"/>
      <c r="O510" s="93"/>
      <c r="P510" s="3"/>
      <c r="Q510" s="3"/>
      <c r="R510" s="3"/>
      <c r="S510" s="3"/>
      <c r="T510" s="3"/>
      <c r="U510" s="6">
        <v>1.0</v>
      </c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97"/>
      <c r="BO510" s="3"/>
      <c r="BP510" s="3"/>
      <c r="BQ510" s="10"/>
    </row>
    <row r="511">
      <c r="A511" s="45">
        <v>3.0</v>
      </c>
      <c r="B511" s="46" t="s">
        <v>877</v>
      </c>
      <c r="C511" s="47"/>
      <c r="D511" s="47"/>
      <c r="E511" s="47"/>
      <c r="F511" s="47"/>
      <c r="G511" s="47"/>
      <c r="H511" s="47"/>
      <c r="I511" s="48" t="str">
        <f t="shared" si="1"/>
        <v>42623</v>
      </c>
      <c r="J511" s="49"/>
      <c r="K511" s="49"/>
      <c r="L511" s="48" t="s">
        <v>878</v>
      </c>
      <c r="M511" s="50">
        <v>1.0</v>
      </c>
      <c r="N511" s="51"/>
      <c r="O511" s="47"/>
      <c r="P511" s="51"/>
      <c r="Q511" s="51"/>
      <c r="R511" s="51"/>
      <c r="S511" s="51"/>
      <c r="T511" s="49"/>
      <c r="U511" s="52">
        <v>1.0</v>
      </c>
      <c r="V511" s="49"/>
      <c r="W511" s="52" t="s">
        <v>70</v>
      </c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51"/>
      <c r="AQ511" s="51"/>
      <c r="AR511" s="51"/>
      <c r="AS511" s="51"/>
      <c r="AT511" s="51"/>
      <c r="AU511" s="51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51"/>
      <c r="BI511" s="51"/>
      <c r="BJ511" s="51"/>
      <c r="BK511" s="51"/>
      <c r="BL511" s="51"/>
      <c r="BM511" s="49"/>
      <c r="BN511" s="53"/>
      <c r="BO511" s="49"/>
      <c r="BP511" s="51"/>
      <c r="BQ511" s="10"/>
    </row>
    <row r="512">
      <c r="A512" s="1">
        <v>4.0</v>
      </c>
      <c r="B512" s="2" t="s">
        <v>877</v>
      </c>
      <c r="C512" s="2" t="s">
        <v>76</v>
      </c>
      <c r="D512" s="93"/>
      <c r="E512" s="93"/>
      <c r="F512" s="93"/>
      <c r="G512" s="93"/>
      <c r="H512" s="93"/>
      <c r="I512" s="3" t="str">
        <f t="shared" si="1"/>
        <v>4262301</v>
      </c>
      <c r="J512" s="3"/>
      <c r="K512" s="3"/>
      <c r="L512" s="94" t="s">
        <v>879</v>
      </c>
      <c r="M512" s="4">
        <v>2.0</v>
      </c>
      <c r="N512" s="3"/>
      <c r="O512" s="93"/>
      <c r="P512" s="3"/>
      <c r="Q512" s="3"/>
      <c r="R512" s="3"/>
      <c r="S512" s="3"/>
      <c r="T512" s="3"/>
      <c r="U512" s="6">
        <v>2.0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97"/>
      <c r="BO512" s="3"/>
      <c r="BP512" s="3"/>
      <c r="BQ512" s="10"/>
    </row>
    <row r="513">
      <c r="A513" s="1">
        <v>4.0</v>
      </c>
      <c r="B513" s="2" t="s">
        <v>877</v>
      </c>
      <c r="C513" s="2" t="s">
        <v>119</v>
      </c>
      <c r="D513" s="93"/>
      <c r="E513" s="93"/>
      <c r="F513" s="93"/>
      <c r="G513" s="93"/>
      <c r="H513" s="93"/>
      <c r="I513" s="3" t="str">
        <f t="shared" si="1"/>
        <v>4262302</v>
      </c>
      <c r="J513" s="3"/>
      <c r="K513" s="3"/>
      <c r="L513" s="94" t="s">
        <v>880</v>
      </c>
      <c r="M513" s="4">
        <v>2.0</v>
      </c>
      <c r="N513" s="3"/>
      <c r="O513" s="93"/>
      <c r="P513" s="3"/>
      <c r="Q513" s="3"/>
      <c r="R513" s="3"/>
      <c r="S513" s="3"/>
      <c r="T513" s="3"/>
      <c r="U513" s="6" t="s">
        <v>79</v>
      </c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97"/>
      <c r="BO513" s="3"/>
      <c r="BP513" s="3"/>
      <c r="BQ513" s="10"/>
    </row>
    <row r="514">
      <c r="A514" s="45">
        <v>3.0</v>
      </c>
      <c r="B514" s="46" t="s">
        <v>881</v>
      </c>
      <c r="C514" s="47"/>
      <c r="D514" s="47"/>
      <c r="E514" s="47"/>
      <c r="F514" s="47"/>
      <c r="G514" s="47"/>
      <c r="H514" s="47"/>
      <c r="I514" s="48" t="str">
        <f t="shared" si="1"/>
        <v>42624</v>
      </c>
      <c r="J514" s="49"/>
      <c r="K514" s="49"/>
      <c r="L514" s="48" t="s">
        <v>882</v>
      </c>
      <c r="M514" s="50">
        <v>1.0</v>
      </c>
      <c r="N514" s="51"/>
      <c r="O514" s="47"/>
      <c r="P514" s="51"/>
      <c r="Q514" s="51"/>
      <c r="R514" s="51"/>
      <c r="S514" s="51"/>
      <c r="T514" s="49"/>
      <c r="U514" s="52">
        <v>1.0</v>
      </c>
      <c r="V514" s="49"/>
      <c r="W514" s="52" t="s">
        <v>70</v>
      </c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51"/>
      <c r="AQ514" s="51"/>
      <c r="AR514" s="51"/>
      <c r="AS514" s="51"/>
      <c r="AT514" s="51"/>
      <c r="AU514" s="51"/>
      <c r="AV514" s="49"/>
      <c r="AW514" s="49"/>
      <c r="AX514" s="49"/>
      <c r="AY514" s="49"/>
      <c r="AZ514" s="49"/>
      <c r="BA514" s="49"/>
      <c r="BB514" s="49"/>
      <c r="BC514" s="49"/>
      <c r="BD514" s="49"/>
      <c r="BE514" s="49"/>
      <c r="BF514" s="49"/>
      <c r="BG514" s="49"/>
      <c r="BH514" s="51"/>
      <c r="BI514" s="51"/>
      <c r="BJ514" s="51"/>
      <c r="BK514" s="51"/>
      <c r="BL514" s="51"/>
      <c r="BM514" s="49"/>
      <c r="BN514" s="53"/>
      <c r="BO514" s="49"/>
      <c r="BP514" s="51"/>
      <c r="BQ514" s="10"/>
    </row>
    <row r="515">
      <c r="A515" s="1">
        <v>4.0</v>
      </c>
      <c r="B515" s="2" t="s">
        <v>881</v>
      </c>
      <c r="C515" s="2" t="s">
        <v>76</v>
      </c>
      <c r="D515" s="93"/>
      <c r="E515" s="93"/>
      <c r="F515" s="93"/>
      <c r="G515" s="93"/>
      <c r="H515" s="93"/>
      <c r="I515" s="3" t="str">
        <f t="shared" si="1"/>
        <v>4262401</v>
      </c>
      <c r="J515" s="3"/>
      <c r="K515" s="3"/>
      <c r="L515" s="94" t="s">
        <v>883</v>
      </c>
      <c r="M515" s="4">
        <v>2.0</v>
      </c>
      <c r="N515" s="3"/>
      <c r="O515" s="93"/>
      <c r="P515" s="3"/>
      <c r="Q515" s="3"/>
      <c r="R515" s="3"/>
      <c r="S515" s="3"/>
      <c r="T515" s="3"/>
      <c r="U515" s="6">
        <v>3.0</v>
      </c>
      <c r="V515" s="3"/>
      <c r="W515" s="3"/>
      <c r="X515" s="3"/>
      <c r="Y515" s="3"/>
      <c r="Z515" s="3"/>
      <c r="AA515" s="96" t="s">
        <v>79</v>
      </c>
      <c r="AB515" s="96" t="s">
        <v>79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6" t="s">
        <v>80</v>
      </c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97"/>
      <c r="BO515" s="3"/>
      <c r="BP515" s="3"/>
      <c r="BQ515" s="10"/>
    </row>
    <row r="516">
      <c r="A516" s="1">
        <v>4.0</v>
      </c>
      <c r="B516" s="2" t="s">
        <v>881</v>
      </c>
      <c r="C516" s="2" t="s">
        <v>119</v>
      </c>
      <c r="D516" s="93"/>
      <c r="E516" s="93"/>
      <c r="F516" s="93"/>
      <c r="G516" s="93"/>
      <c r="H516" s="93"/>
      <c r="I516" s="3" t="str">
        <f t="shared" si="1"/>
        <v>4262402</v>
      </c>
      <c r="J516" s="3"/>
      <c r="K516" s="3"/>
      <c r="L516" s="94" t="s">
        <v>884</v>
      </c>
      <c r="M516" s="4">
        <v>2.0</v>
      </c>
      <c r="N516" s="3"/>
      <c r="O516" s="93"/>
      <c r="P516" s="3"/>
      <c r="Q516" s="3"/>
      <c r="R516" s="3"/>
      <c r="S516" s="3"/>
      <c r="T516" s="3"/>
      <c r="U516" s="6">
        <v>1.0</v>
      </c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97"/>
      <c r="BO516" s="3"/>
      <c r="BP516" s="3"/>
      <c r="BQ516" s="10"/>
    </row>
    <row r="517">
      <c r="A517" s="45">
        <v>3.0</v>
      </c>
      <c r="B517" s="46" t="s">
        <v>885</v>
      </c>
      <c r="C517" s="47"/>
      <c r="D517" s="47"/>
      <c r="E517" s="47"/>
      <c r="F517" s="47"/>
      <c r="G517" s="47"/>
      <c r="H517" s="47"/>
      <c r="I517" s="48" t="str">
        <f t="shared" si="1"/>
        <v>42625</v>
      </c>
      <c r="J517" s="49"/>
      <c r="K517" s="49"/>
      <c r="L517" s="48" t="s">
        <v>886</v>
      </c>
      <c r="M517" s="50">
        <v>1.0</v>
      </c>
      <c r="N517" s="51"/>
      <c r="O517" s="47"/>
      <c r="P517" s="51"/>
      <c r="Q517" s="51"/>
      <c r="R517" s="51"/>
      <c r="S517" s="51"/>
      <c r="T517" s="49"/>
      <c r="U517" s="52">
        <v>1.0</v>
      </c>
      <c r="V517" s="49"/>
      <c r="W517" s="52" t="s">
        <v>70</v>
      </c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51"/>
      <c r="AQ517" s="51"/>
      <c r="AR517" s="51"/>
      <c r="AS517" s="51"/>
      <c r="AT517" s="51"/>
      <c r="AU517" s="51"/>
      <c r="AV517" s="49"/>
      <c r="AW517" s="49"/>
      <c r="AX517" s="49"/>
      <c r="AY517" s="49"/>
      <c r="AZ517" s="49"/>
      <c r="BA517" s="49"/>
      <c r="BB517" s="49"/>
      <c r="BC517" s="49"/>
      <c r="BD517" s="49"/>
      <c r="BE517" s="49"/>
      <c r="BF517" s="49"/>
      <c r="BG517" s="49"/>
      <c r="BH517" s="51"/>
      <c r="BI517" s="51"/>
      <c r="BJ517" s="51"/>
      <c r="BK517" s="51"/>
      <c r="BL517" s="51"/>
      <c r="BM517" s="49"/>
      <c r="BN517" s="53"/>
      <c r="BO517" s="49"/>
      <c r="BP517" s="51"/>
      <c r="BQ517" s="10"/>
    </row>
    <row r="518">
      <c r="A518" s="1">
        <v>4.0</v>
      </c>
      <c r="B518" s="2" t="s">
        <v>885</v>
      </c>
      <c r="C518" s="2" t="s">
        <v>76</v>
      </c>
      <c r="D518" s="93"/>
      <c r="E518" s="93"/>
      <c r="F518" s="93"/>
      <c r="G518" s="93"/>
      <c r="H518" s="93"/>
      <c r="I518" s="3" t="str">
        <f t="shared" si="1"/>
        <v>4262501</v>
      </c>
      <c r="J518" s="3"/>
      <c r="K518" s="3"/>
      <c r="L518" s="94" t="s">
        <v>887</v>
      </c>
      <c r="M518" s="4">
        <v>2.0</v>
      </c>
      <c r="N518" s="3"/>
      <c r="O518" s="93"/>
      <c r="P518" s="3"/>
      <c r="Q518" s="3"/>
      <c r="R518" s="3"/>
      <c r="S518" s="3"/>
      <c r="T518" s="3"/>
      <c r="U518" s="6">
        <v>18.0</v>
      </c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97"/>
      <c r="BO518" s="3"/>
      <c r="BP518" s="3"/>
      <c r="BQ518" s="10"/>
    </row>
    <row r="519">
      <c r="A519" s="1">
        <v>4.0</v>
      </c>
      <c r="B519" s="2" t="s">
        <v>885</v>
      </c>
      <c r="C519" s="2" t="s">
        <v>119</v>
      </c>
      <c r="D519" s="93"/>
      <c r="E519" s="93"/>
      <c r="F519" s="93"/>
      <c r="G519" s="93"/>
      <c r="H519" s="93"/>
      <c r="I519" s="3" t="str">
        <f t="shared" si="1"/>
        <v>4262502</v>
      </c>
      <c r="J519" s="3"/>
      <c r="K519" s="3"/>
      <c r="L519" s="94" t="s">
        <v>888</v>
      </c>
      <c r="M519" s="4">
        <v>2.0</v>
      </c>
      <c r="N519" s="3"/>
      <c r="O519" s="93"/>
      <c r="P519" s="3"/>
      <c r="Q519" s="3"/>
      <c r="R519" s="3"/>
      <c r="S519" s="3"/>
      <c r="T519" s="3"/>
      <c r="U519" s="6">
        <v>1.0</v>
      </c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97"/>
      <c r="BO519" s="3"/>
      <c r="BP519" s="3"/>
      <c r="BQ519" s="10"/>
    </row>
    <row r="520">
      <c r="A520" s="28">
        <v>1.0</v>
      </c>
      <c r="B520" s="29" t="s">
        <v>889</v>
      </c>
      <c r="C520" s="30"/>
      <c r="D520" s="30"/>
      <c r="E520" s="30"/>
      <c r="F520" s="30"/>
      <c r="G520" s="30"/>
      <c r="H520" s="30"/>
      <c r="I520" s="31" t="str">
        <f t="shared" si="1"/>
        <v>42800</v>
      </c>
      <c r="J520" s="74"/>
      <c r="K520" s="74"/>
      <c r="L520" s="31" t="s">
        <v>890</v>
      </c>
      <c r="M520" s="75">
        <v>1.0</v>
      </c>
      <c r="N520" s="32"/>
      <c r="O520" s="30"/>
      <c r="P520" s="32"/>
      <c r="Q520" s="32"/>
      <c r="R520" s="32"/>
      <c r="S520" s="32"/>
      <c r="T520" s="74"/>
      <c r="U520" s="34">
        <v>1.0</v>
      </c>
      <c r="V520" s="74"/>
      <c r="W520" s="34" t="s">
        <v>70</v>
      </c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32"/>
      <c r="AQ520" s="32"/>
      <c r="AR520" s="32"/>
      <c r="AS520" s="32"/>
      <c r="AT520" s="32"/>
      <c r="AU520" s="32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32"/>
      <c r="BI520" s="32"/>
      <c r="BJ520" s="32"/>
      <c r="BK520" s="32"/>
      <c r="BL520" s="32"/>
      <c r="BM520" s="74"/>
      <c r="BN520" s="76"/>
      <c r="BO520" s="74"/>
      <c r="BP520" s="32"/>
      <c r="BQ520" s="10"/>
    </row>
    <row r="521">
      <c r="A521" s="36">
        <v>2.0</v>
      </c>
      <c r="B521" s="37" t="s">
        <v>891</v>
      </c>
      <c r="C521" s="38"/>
      <c r="D521" s="38"/>
      <c r="E521" s="38"/>
      <c r="F521" s="38"/>
      <c r="G521" s="38"/>
      <c r="H521" s="38"/>
      <c r="I521" s="39" t="str">
        <f t="shared" si="1"/>
        <v>42810</v>
      </c>
      <c r="J521" s="40"/>
      <c r="K521" s="40"/>
      <c r="L521" s="39" t="s">
        <v>892</v>
      </c>
      <c r="M521" s="41">
        <v>1.0</v>
      </c>
      <c r="N521" s="42"/>
      <c r="O521" s="38"/>
      <c r="P521" s="42"/>
      <c r="Q521" s="42"/>
      <c r="R521" s="42"/>
      <c r="S521" s="42"/>
      <c r="T521" s="40"/>
      <c r="U521" s="43">
        <v>1.0</v>
      </c>
      <c r="V521" s="40"/>
      <c r="W521" s="43" t="s">
        <v>70</v>
      </c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2"/>
      <c r="AQ521" s="42"/>
      <c r="AR521" s="42"/>
      <c r="AS521" s="42"/>
      <c r="AT521" s="42"/>
      <c r="AU521" s="42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2"/>
      <c r="BI521" s="42"/>
      <c r="BJ521" s="42"/>
      <c r="BK521" s="42"/>
      <c r="BL521" s="42"/>
      <c r="BM521" s="40"/>
      <c r="BN521" s="44"/>
      <c r="BO521" s="40"/>
      <c r="BP521" s="42"/>
      <c r="BQ521" s="10"/>
    </row>
    <row r="522">
      <c r="A522" s="45">
        <v>3.0</v>
      </c>
      <c r="B522" s="46" t="s">
        <v>893</v>
      </c>
      <c r="C522" s="47"/>
      <c r="D522" s="47"/>
      <c r="E522" s="47"/>
      <c r="F522" s="47"/>
      <c r="G522" s="47"/>
      <c r="H522" s="47"/>
      <c r="I522" s="48" t="str">
        <f t="shared" si="1"/>
        <v>42811</v>
      </c>
      <c r="J522" s="49"/>
      <c r="K522" s="49"/>
      <c r="L522" s="48" t="s">
        <v>894</v>
      </c>
      <c r="M522" s="50">
        <v>1.0</v>
      </c>
      <c r="N522" s="51"/>
      <c r="O522" s="47"/>
      <c r="P522" s="51"/>
      <c r="Q522" s="51"/>
      <c r="R522" s="51"/>
      <c r="S522" s="51"/>
      <c r="T522" s="49"/>
      <c r="U522" s="52">
        <v>1.0</v>
      </c>
      <c r="V522" s="49"/>
      <c r="W522" s="52" t="s">
        <v>70</v>
      </c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51"/>
      <c r="AQ522" s="51"/>
      <c r="AR522" s="51"/>
      <c r="AS522" s="51"/>
      <c r="AT522" s="51"/>
      <c r="AU522" s="51"/>
      <c r="AV522" s="49"/>
      <c r="AW522" s="49"/>
      <c r="AX522" s="49"/>
      <c r="AY522" s="49"/>
      <c r="AZ522" s="49"/>
      <c r="BA522" s="49"/>
      <c r="BB522" s="49"/>
      <c r="BC522" s="49"/>
      <c r="BD522" s="49"/>
      <c r="BE522" s="49"/>
      <c r="BF522" s="49"/>
      <c r="BG522" s="49"/>
      <c r="BH522" s="51"/>
      <c r="BI522" s="51"/>
      <c r="BJ522" s="51"/>
      <c r="BK522" s="51"/>
      <c r="BL522" s="51"/>
      <c r="BM522" s="49"/>
      <c r="BN522" s="53"/>
      <c r="BO522" s="49"/>
      <c r="BP522" s="51"/>
      <c r="BQ522" s="10"/>
    </row>
    <row r="523">
      <c r="A523" s="1">
        <v>4.0</v>
      </c>
      <c r="B523" s="2" t="s">
        <v>893</v>
      </c>
      <c r="C523" s="2" t="s">
        <v>76</v>
      </c>
      <c r="D523" s="93"/>
      <c r="E523" s="93"/>
      <c r="F523" s="93"/>
      <c r="G523" s="93"/>
      <c r="H523" s="93"/>
      <c r="I523" s="3" t="str">
        <f t="shared" si="1"/>
        <v>4281101</v>
      </c>
      <c r="J523" s="3"/>
      <c r="K523" s="3"/>
      <c r="L523" s="94" t="s">
        <v>895</v>
      </c>
      <c r="M523" s="4">
        <v>2.0</v>
      </c>
      <c r="N523" s="3"/>
      <c r="O523" s="93"/>
      <c r="P523" s="3"/>
      <c r="Q523" s="3"/>
      <c r="R523" s="3"/>
      <c r="S523" s="3"/>
      <c r="T523" s="3"/>
      <c r="U523" s="6">
        <v>1.0</v>
      </c>
      <c r="V523" s="3"/>
      <c r="W523" s="6" t="s">
        <v>304</v>
      </c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97"/>
      <c r="BO523" s="3"/>
      <c r="BP523" s="3"/>
      <c r="BQ523" s="10"/>
    </row>
    <row r="524">
      <c r="A524" s="1">
        <v>5.0</v>
      </c>
      <c r="B524" s="2" t="s">
        <v>893</v>
      </c>
      <c r="C524" s="2" t="s">
        <v>76</v>
      </c>
      <c r="D524" s="2" t="s">
        <v>76</v>
      </c>
      <c r="E524" s="93"/>
      <c r="F524" s="93"/>
      <c r="G524" s="93"/>
      <c r="H524" s="93"/>
      <c r="I524" s="3" t="str">
        <f t="shared" si="1"/>
        <v>428110101</v>
      </c>
      <c r="J524" s="3"/>
      <c r="K524" s="3"/>
      <c r="L524" s="94" t="s">
        <v>896</v>
      </c>
      <c r="M524" s="4">
        <v>2.0</v>
      </c>
      <c r="N524" s="3"/>
      <c r="O524" s="93"/>
      <c r="P524" s="3"/>
      <c r="Q524" s="3"/>
      <c r="R524" s="3"/>
      <c r="S524" s="3"/>
      <c r="T524" s="3"/>
      <c r="U524" s="6">
        <v>1.0</v>
      </c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97"/>
      <c r="BO524" s="3"/>
      <c r="BP524" s="3"/>
      <c r="BQ524" s="10"/>
    </row>
    <row r="525">
      <c r="A525" s="1">
        <v>5.0</v>
      </c>
      <c r="B525" s="2" t="s">
        <v>893</v>
      </c>
      <c r="C525" s="2" t="s">
        <v>76</v>
      </c>
      <c r="D525" s="2" t="s">
        <v>119</v>
      </c>
      <c r="E525" s="93"/>
      <c r="F525" s="93"/>
      <c r="G525" s="93"/>
      <c r="H525" s="93"/>
      <c r="I525" s="3" t="str">
        <f t="shared" si="1"/>
        <v>428110102</v>
      </c>
      <c r="J525" s="3"/>
      <c r="K525" s="3"/>
      <c r="L525" s="94" t="s">
        <v>897</v>
      </c>
      <c r="M525" s="4">
        <v>2.0</v>
      </c>
      <c r="N525" s="3"/>
      <c r="O525" s="93"/>
      <c r="P525" s="3"/>
      <c r="Q525" s="3"/>
      <c r="R525" s="3"/>
      <c r="S525" s="3"/>
      <c r="T525" s="3"/>
      <c r="U525" s="6">
        <v>1.0</v>
      </c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97"/>
      <c r="BO525" s="3"/>
      <c r="BP525" s="3"/>
      <c r="BQ525" s="10"/>
    </row>
    <row r="526">
      <c r="A526" s="1">
        <v>5.0</v>
      </c>
      <c r="B526" s="2" t="s">
        <v>893</v>
      </c>
      <c r="C526" s="2" t="s">
        <v>76</v>
      </c>
      <c r="D526" s="2" t="s">
        <v>124</v>
      </c>
      <c r="E526" s="93"/>
      <c r="F526" s="93"/>
      <c r="G526" s="93"/>
      <c r="H526" s="93"/>
      <c r="I526" s="3" t="str">
        <f t="shared" si="1"/>
        <v>428110103</v>
      </c>
      <c r="J526" s="3"/>
      <c r="K526" s="3"/>
      <c r="L526" s="94" t="s">
        <v>898</v>
      </c>
      <c r="M526" s="4">
        <v>2.0</v>
      </c>
      <c r="N526" s="3"/>
      <c r="O526" s="93"/>
      <c r="P526" s="3"/>
      <c r="Q526" s="3"/>
      <c r="R526" s="3"/>
      <c r="S526" s="3"/>
      <c r="T526" s="3"/>
      <c r="U526" s="6">
        <v>1.0</v>
      </c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97"/>
      <c r="BO526" s="3"/>
      <c r="BP526" s="3"/>
      <c r="BQ526" s="10"/>
    </row>
    <row r="527">
      <c r="A527" s="1">
        <v>5.0</v>
      </c>
      <c r="B527" s="2" t="s">
        <v>893</v>
      </c>
      <c r="C527" s="2" t="s">
        <v>76</v>
      </c>
      <c r="D527" s="2" t="s">
        <v>127</v>
      </c>
      <c r="E527" s="93"/>
      <c r="F527" s="93"/>
      <c r="G527" s="93"/>
      <c r="H527" s="93"/>
      <c r="I527" s="3" t="str">
        <f t="shared" si="1"/>
        <v>428110104</v>
      </c>
      <c r="J527" s="3"/>
      <c r="K527" s="3"/>
      <c r="L527" s="94" t="s">
        <v>899</v>
      </c>
      <c r="M527" s="4">
        <v>2.0</v>
      </c>
      <c r="N527" s="3"/>
      <c r="O527" s="93"/>
      <c r="P527" s="3"/>
      <c r="Q527" s="3"/>
      <c r="R527" s="3"/>
      <c r="S527" s="3"/>
      <c r="T527" s="3"/>
      <c r="U527" s="6">
        <v>1.0</v>
      </c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97"/>
      <c r="BO527" s="3"/>
      <c r="BP527" s="3"/>
      <c r="BQ527" s="10"/>
    </row>
    <row r="528">
      <c r="A528" s="1">
        <v>5.0</v>
      </c>
      <c r="B528" s="2" t="s">
        <v>893</v>
      </c>
      <c r="C528" s="2" t="s">
        <v>76</v>
      </c>
      <c r="D528" s="2" t="s">
        <v>91</v>
      </c>
      <c r="E528" s="93"/>
      <c r="F528" s="93"/>
      <c r="G528" s="93"/>
      <c r="H528" s="93"/>
      <c r="I528" s="3" t="str">
        <f t="shared" si="1"/>
        <v>428110105</v>
      </c>
      <c r="J528" s="3"/>
      <c r="K528" s="3"/>
      <c r="L528" s="94" t="s">
        <v>900</v>
      </c>
      <c r="M528" s="4">
        <v>2.0</v>
      </c>
      <c r="N528" s="3"/>
      <c r="O528" s="93"/>
      <c r="P528" s="3"/>
      <c r="Q528" s="3"/>
      <c r="R528" s="3"/>
      <c r="S528" s="3"/>
      <c r="T528" s="3"/>
      <c r="U528" s="6">
        <v>1.0</v>
      </c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97"/>
      <c r="BO528" s="3"/>
      <c r="BP528" s="3"/>
      <c r="BQ528" s="10"/>
    </row>
    <row r="529">
      <c r="A529" s="20">
        <v>1.0</v>
      </c>
      <c r="B529" s="21" t="s">
        <v>901</v>
      </c>
      <c r="C529" s="22"/>
      <c r="D529" s="22"/>
      <c r="E529" s="22"/>
      <c r="F529" s="22"/>
      <c r="G529" s="22"/>
      <c r="H529" s="22"/>
      <c r="I529" s="23" t="str">
        <f t="shared" si="1"/>
        <v>43000</v>
      </c>
      <c r="J529" s="24"/>
      <c r="K529" s="24"/>
      <c r="L529" s="23" t="s">
        <v>902</v>
      </c>
      <c r="M529" s="25">
        <v>1.0</v>
      </c>
      <c r="N529" s="24"/>
      <c r="O529" s="22"/>
      <c r="P529" s="24"/>
      <c r="Q529" s="24"/>
      <c r="R529" s="24"/>
      <c r="S529" s="24"/>
      <c r="T529" s="24"/>
      <c r="U529" s="26">
        <v>1.0</v>
      </c>
      <c r="V529" s="24"/>
      <c r="W529" s="26" t="s">
        <v>70</v>
      </c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7"/>
      <c r="BO529" s="24"/>
      <c r="BP529" s="24"/>
      <c r="BQ529" s="10"/>
    </row>
    <row r="530">
      <c r="A530" s="28">
        <v>1.0</v>
      </c>
      <c r="B530" s="29" t="s">
        <v>903</v>
      </c>
      <c r="C530" s="30"/>
      <c r="D530" s="30"/>
      <c r="E530" s="30"/>
      <c r="F530" s="30"/>
      <c r="G530" s="30"/>
      <c r="H530" s="30"/>
      <c r="I530" s="31" t="str">
        <f t="shared" si="1"/>
        <v>43200</v>
      </c>
      <c r="J530" s="74"/>
      <c r="K530" s="74"/>
      <c r="L530" s="31" t="s">
        <v>904</v>
      </c>
      <c r="M530" s="75">
        <v>1.0</v>
      </c>
      <c r="N530" s="32"/>
      <c r="O530" s="30"/>
      <c r="P530" s="32"/>
      <c r="Q530" s="32"/>
      <c r="R530" s="32"/>
      <c r="S530" s="32"/>
      <c r="T530" s="74"/>
      <c r="U530" s="34">
        <v>1.0</v>
      </c>
      <c r="V530" s="74"/>
      <c r="W530" s="34" t="s">
        <v>70</v>
      </c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32"/>
      <c r="AQ530" s="32"/>
      <c r="AR530" s="32"/>
      <c r="AS530" s="32"/>
      <c r="AT530" s="32"/>
      <c r="AU530" s="32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32"/>
      <c r="BI530" s="32"/>
      <c r="BJ530" s="32"/>
      <c r="BK530" s="32"/>
      <c r="BL530" s="32"/>
      <c r="BM530" s="74"/>
      <c r="BN530" s="76"/>
      <c r="BO530" s="74"/>
      <c r="BP530" s="32"/>
      <c r="BQ530" s="10"/>
    </row>
    <row r="531">
      <c r="A531" s="36">
        <v>2.0</v>
      </c>
      <c r="B531" s="37" t="s">
        <v>905</v>
      </c>
      <c r="C531" s="38"/>
      <c r="D531" s="38"/>
      <c r="E531" s="38"/>
      <c r="F531" s="38"/>
      <c r="G531" s="38"/>
      <c r="H531" s="38"/>
      <c r="I531" s="39" t="str">
        <f t="shared" si="1"/>
        <v>43210</v>
      </c>
      <c r="J531" s="40"/>
      <c r="K531" s="40"/>
      <c r="L531" s="39" t="s">
        <v>906</v>
      </c>
      <c r="M531" s="41">
        <v>1.0</v>
      </c>
      <c r="N531" s="42"/>
      <c r="O531" s="38"/>
      <c r="P531" s="42"/>
      <c r="Q531" s="42"/>
      <c r="R531" s="42"/>
      <c r="S531" s="42"/>
      <c r="T531" s="40"/>
      <c r="U531" s="43">
        <v>1.0</v>
      </c>
      <c r="V531" s="40"/>
      <c r="W531" s="43" t="s">
        <v>70</v>
      </c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2"/>
      <c r="AQ531" s="42"/>
      <c r="AR531" s="42"/>
      <c r="AS531" s="42"/>
      <c r="AT531" s="42"/>
      <c r="AU531" s="42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2"/>
      <c r="BI531" s="42"/>
      <c r="BJ531" s="42"/>
      <c r="BK531" s="42"/>
      <c r="BL531" s="42"/>
      <c r="BM531" s="40"/>
      <c r="BN531" s="44"/>
      <c r="BO531" s="40"/>
      <c r="BP531" s="42"/>
      <c r="BQ531" s="10"/>
    </row>
    <row r="532">
      <c r="A532" s="45">
        <v>3.0</v>
      </c>
      <c r="B532" s="46" t="s">
        <v>907</v>
      </c>
      <c r="C532" s="47"/>
      <c r="D532" s="47"/>
      <c r="E532" s="47"/>
      <c r="F532" s="47"/>
      <c r="G532" s="47"/>
      <c r="H532" s="47"/>
      <c r="I532" s="48" t="str">
        <f t="shared" si="1"/>
        <v>43211</v>
      </c>
      <c r="J532" s="49"/>
      <c r="K532" s="49"/>
      <c r="L532" s="48" t="s">
        <v>908</v>
      </c>
      <c r="M532" s="50">
        <v>1.0</v>
      </c>
      <c r="N532" s="51"/>
      <c r="O532" s="47"/>
      <c r="P532" s="51"/>
      <c r="Q532" s="51"/>
      <c r="R532" s="51"/>
      <c r="S532" s="51"/>
      <c r="T532" s="49"/>
      <c r="U532" s="52">
        <v>1.0</v>
      </c>
      <c r="V532" s="49"/>
      <c r="W532" s="52" t="s">
        <v>70</v>
      </c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51"/>
      <c r="AQ532" s="51"/>
      <c r="AR532" s="51"/>
      <c r="AS532" s="51"/>
      <c r="AT532" s="51"/>
      <c r="AU532" s="51"/>
      <c r="AV532" s="49"/>
      <c r="AW532" s="49"/>
      <c r="AX532" s="49"/>
      <c r="AY532" s="49"/>
      <c r="AZ532" s="49"/>
      <c r="BA532" s="49"/>
      <c r="BB532" s="49"/>
      <c r="BC532" s="49"/>
      <c r="BD532" s="49"/>
      <c r="BE532" s="49"/>
      <c r="BF532" s="49"/>
      <c r="BG532" s="49"/>
      <c r="BH532" s="51"/>
      <c r="BI532" s="51"/>
      <c r="BJ532" s="51"/>
      <c r="BK532" s="51"/>
      <c r="BL532" s="51"/>
      <c r="BM532" s="49"/>
      <c r="BN532" s="53"/>
      <c r="BO532" s="49"/>
      <c r="BP532" s="51"/>
      <c r="BQ532" s="10"/>
    </row>
    <row r="533">
      <c r="A533" s="45">
        <v>3.0</v>
      </c>
      <c r="B533" s="46" t="s">
        <v>909</v>
      </c>
      <c r="C533" s="47"/>
      <c r="D533" s="47"/>
      <c r="E533" s="47"/>
      <c r="F533" s="47"/>
      <c r="G533" s="47"/>
      <c r="H533" s="47"/>
      <c r="I533" s="48" t="str">
        <f t="shared" si="1"/>
        <v>43212</v>
      </c>
      <c r="J533" s="49"/>
      <c r="K533" s="49"/>
      <c r="L533" s="48" t="s">
        <v>910</v>
      </c>
      <c r="M533" s="50">
        <v>1.0</v>
      </c>
      <c r="N533" s="51"/>
      <c r="O533" s="47"/>
      <c r="P533" s="51"/>
      <c r="Q533" s="51"/>
      <c r="R533" s="51"/>
      <c r="S533" s="51"/>
      <c r="T533" s="49"/>
      <c r="U533" s="52">
        <v>1.0</v>
      </c>
      <c r="V533" s="49"/>
      <c r="W533" s="52" t="s">
        <v>70</v>
      </c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51"/>
      <c r="AQ533" s="51"/>
      <c r="AR533" s="51"/>
      <c r="AS533" s="51"/>
      <c r="AT533" s="51"/>
      <c r="AU533" s="51"/>
      <c r="AV533" s="49"/>
      <c r="AW533" s="49"/>
      <c r="AX533" s="49"/>
      <c r="AY533" s="49"/>
      <c r="AZ533" s="49"/>
      <c r="BA533" s="49"/>
      <c r="BB533" s="49"/>
      <c r="BC533" s="49"/>
      <c r="BD533" s="49"/>
      <c r="BE533" s="49"/>
      <c r="BF533" s="49"/>
      <c r="BG533" s="49"/>
      <c r="BH533" s="51"/>
      <c r="BI533" s="51"/>
      <c r="BJ533" s="51"/>
      <c r="BK533" s="51"/>
      <c r="BL533" s="51"/>
      <c r="BM533" s="49"/>
      <c r="BN533" s="53"/>
      <c r="BO533" s="49"/>
      <c r="BP533" s="51"/>
      <c r="BQ533" s="10"/>
    </row>
    <row r="534">
      <c r="A534" s="45">
        <v>3.0</v>
      </c>
      <c r="B534" s="46" t="s">
        <v>911</v>
      </c>
      <c r="C534" s="47"/>
      <c r="D534" s="47"/>
      <c r="E534" s="47"/>
      <c r="F534" s="47"/>
      <c r="G534" s="47"/>
      <c r="H534" s="47"/>
      <c r="I534" s="48" t="str">
        <f t="shared" si="1"/>
        <v>43213</v>
      </c>
      <c r="J534" s="49"/>
      <c r="K534" s="49"/>
      <c r="L534" s="48" t="s">
        <v>912</v>
      </c>
      <c r="M534" s="50">
        <v>1.0</v>
      </c>
      <c r="N534" s="51"/>
      <c r="O534" s="47"/>
      <c r="P534" s="51"/>
      <c r="Q534" s="51"/>
      <c r="R534" s="51"/>
      <c r="S534" s="51"/>
      <c r="T534" s="49"/>
      <c r="U534" s="52">
        <v>1.0</v>
      </c>
      <c r="V534" s="49"/>
      <c r="W534" s="52" t="s">
        <v>70</v>
      </c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51"/>
      <c r="AQ534" s="51"/>
      <c r="AR534" s="51"/>
      <c r="AS534" s="51"/>
      <c r="AT534" s="51"/>
      <c r="AU534" s="51"/>
      <c r="AV534" s="49"/>
      <c r="AW534" s="49"/>
      <c r="AX534" s="49"/>
      <c r="AY534" s="49"/>
      <c r="AZ534" s="49"/>
      <c r="BA534" s="49"/>
      <c r="BB534" s="49"/>
      <c r="BC534" s="49"/>
      <c r="BD534" s="49"/>
      <c r="BE534" s="49"/>
      <c r="BF534" s="49"/>
      <c r="BG534" s="49"/>
      <c r="BH534" s="51"/>
      <c r="BI534" s="51"/>
      <c r="BJ534" s="51"/>
      <c r="BK534" s="51"/>
      <c r="BL534" s="51"/>
      <c r="BM534" s="49"/>
      <c r="BN534" s="53"/>
      <c r="BO534" s="49"/>
      <c r="BP534" s="51"/>
      <c r="BQ534" s="10"/>
    </row>
    <row r="535">
      <c r="A535" s="28">
        <v>1.0</v>
      </c>
      <c r="B535" s="29" t="s">
        <v>913</v>
      </c>
      <c r="C535" s="30"/>
      <c r="D535" s="30"/>
      <c r="E535" s="30"/>
      <c r="F535" s="30"/>
      <c r="G535" s="30"/>
      <c r="H535" s="30"/>
      <c r="I535" s="31" t="str">
        <f t="shared" si="1"/>
        <v>43400</v>
      </c>
      <c r="J535" s="74"/>
      <c r="K535" s="74"/>
      <c r="L535" s="31" t="s">
        <v>914</v>
      </c>
      <c r="M535" s="75">
        <v>1.0</v>
      </c>
      <c r="N535" s="32"/>
      <c r="O535" s="30"/>
      <c r="P535" s="32"/>
      <c r="Q535" s="32"/>
      <c r="R535" s="32"/>
      <c r="S535" s="32"/>
      <c r="T535" s="74"/>
      <c r="U535" s="34">
        <v>1.0</v>
      </c>
      <c r="V535" s="74"/>
      <c r="W535" s="34" t="s">
        <v>70</v>
      </c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32"/>
      <c r="AQ535" s="32"/>
      <c r="AR535" s="32"/>
      <c r="AS535" s="32"/>
      <c r="AT535" s="32"/>
      <c r="AU535" s="32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32"/>
      <c r="BI535" s="32"/>
      <c r="BJ535" s="32"/>
      <c r="BK535" s="32"/>
      <c r="BL535" s="32"/>
      <c r="BM535" s="74"/>
      <c r="BN535" s="76"/>
      <c r="BO535" s="74"/>
      <c r="BP535" s="32"/>
      <c r="BQ535" s="10"/>
    </row>
    <row r="536">
      <c r="A536" s="36">
        <v>2.0</v>
      </c>
      <c r="B536" s="37" t="s">
        <v>915</v>
      </c>
      <c r="C536" s="38"/>
      <c r="D536" s="38"/>
      <c r="E536" s="38"/>
      <c r="F536" s="38"/>
      <c r="G536" s="38"/>
      <c r="H536" s="38"/>
      <c r="I536" s="39" t="str">
        <f t="shared" si="1"/>
        <v>43410</v>
      </c>
      <c r="J536" s="40"/>
      <c r="K536" s="40"/>
      <c r="L536" s="39" t="s">
        <v>916</v>
      </c>
      <c r="M536" s="41">
        <v>1.0</v>
      </c>
      <c r="N536" s="42"/>
      <c r="O536" s="38"/>
      <c r="P536" s="42"/>
      <c r="Q536" s="42"/>
      <c r="R536" s="42"/>
      <c r="S536" s="42"/>
      <c r="T536" s="40"/>
      <c r="U536" s="43">
        <v>1.0</v>
      </c>
      <c r="V536" s="40"/>
      <c r="W536" s="43" t="s">
        <v>70</v>
      </c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2"/>
      <c r="AQ536" s="42"/>
      <c r="AR536" s="42"/>
      <c r="AS536" s="42"/>
      <c r="AT536" s="42"/>
      <c r="AU536" s="42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2"/>
      <c r="BI536" s="42"/>
      <c r="BJ536" s="42"/>
      <c r="BK536" s="42"/>
      <c r="BL536" s="42"/>
      <c r="BM536" s="40"/>
      <c r="BN536" s="44"/>
      <c r="BO536" s="40"/>
      <c r="BP536" s="42"/>
      <c r="BQ536" s="10"/>
    </row>
    <row r="537">
      <c r="A537" s="45">
        <v>3.0</v>
      </c>
      <c r="B537" s="46" t="s">
        <v>917</v>
      </c>
      <c r="C537" s="47"/>
      <c r="D537" s="47"/>
      <c r="E537" s="47"/>
      <c r="F537" s="47"/>
      <c r="G537" s="47"/>
      <c r="H537" s="47"/>
      <c r="I537" s="48" t="str">
        <f t="shared" si="1"/>
        <v>43411</v>
      </c>
      <c r="J537" s="49"/>
      <c r="K537" s="49"/>
      <c r="L537" s="48" t="s">
        <v>918</v>
      </c>
      <c r="M537" s="50">
        <v>1.0</v>
      </c>
      <c r="N537" s="51"/>
      <c r="O537" s="47"/>
      <c r="P537" s="51"/>
      <c r="Q537" s="51"/>
      <c r="R537" s="51"/>
      <c r="S537" s="51"/>
      <c r="T537" s="49"/>
      <c r="U537" s="52">
        <v>1.0</v>
      </c>
      <c r="V537" s="49"/>
      <c r="W537" s="52" t="s">
        <v>70</v>
      </c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51"/>
      <c r="AQ537" s="51"/>
      <c r="AR537" s="51"/>
      <c r="AS537" s="51"/>
      <c r="AT537" s="51"/>
      <c r="AU537" s="51"/>
      <c r="AV537" s="49"/>
      <c r="AW537" s="49"/>
      <c r="AX537" s="49"/>
      <c r="AY537" s="49"/>
      <c r="AZ537" s="49"/>
      <c r="BA537" s="49"/>
      <c r="BB537" s="49"/>
      <c r="BC537" s="49"/>
      <c r="BD537" s="49"/>
      <c r="BE537" s="49"/>
      <c r="BF537" s="49"/>
      <c r="BG537" s="49"/>
      <c r="BH537" s="51"/>
      <c r="BI537" s="51"/>
      <c r="BJ537" s="51"/>
      <c r="BK537" s="51"/>
      <c r="BL537" s="51"/>
      <c r="BM537" s="49"/>
      <c r="BN537" s="53"/>
      <c r="BO537" s="49"/>
      <c r="BP537" s="51"/>
      <c r="BQ537" s="10"/>
    </row>
    <row r="538">
      <c r="A538" s="1">
        <v>4.0</v>
      </c>
      <c r="B538" s="2" t="s">
        <v>917</v>
      </c>
      <c r="C538" s="2" t="s">
        <v>76</v>
      </c>
      <c r="D538" s="93"/>
      <c r="E538" s="93"/>
      <c r="F538" s="93"/>
      <c r="G538" s="93"/>
      <c r="H538" s="93"/>
      <c r="I538" s="3" t="str">
        <f t="shared" si="1"/>
        <v>4341101</v>
      </c>
      <c r="J538" s="3"/>
      <c r="K538" s="3"/>
      <c r="L538" s="94" t="s">
        <v>919</v>
      </c>
      <c r="M538" s="4">
        <v>2.0</v>
      </c>
      <c r="N538" s="3"/>
      <c r="O538" s="93"/>
      <c r="P538" s="3"/>
      <c r="Q538" s="3"/>
      <c r="R538" s="3"/>
      <c r="S538" s="3"/>
      <c r="T538" s="3"/>
      <c r="U538" s="6">
        <v>1.0</v>
      </c>
      <c r="V538" s="3"/>
      <c r="W538" s="6" t="s">
        <v>304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97"/>
      <c r="BO538" s="3"/>
      <c r="BP538" s="3"/>
      <c r="BQ538" s="10"/>
    </row>
    <row r="539">
      <c r="A539" s="1">
        <v>4.0</v>
      </c>
      <c r="B539" s="2" t="s">
        <v>917</v>
      </c>
      <c r="C539" s="2" t="s">
        <v>119</v>
      </c>
      <c r="D539" s="93"/>
      <c r="E539" s="93"/>
      <c r="F539" s="93"/>
      <c r="G539" s="93"/>
      <c r="H539" s="93"/>
      <c r="I539" s="3" t="str">
        <f t="shared" si="1"/>
        <v>4341102</v>
      </c>
      <c r="J539" s="3"/>
      <c r="K539" s="3"/>
      <c r="L539" s="94" t="s">
        <v>920</v>
      </c>
      <c r="M539" s="4">
        <v>2.0</v>
      </c>
      <c r="N539" s="3"/>
      <c r="O539" s="93"/>
      <c r="P539" s="3"/>
      <c r="Q539" s="3"/>
      <c r="R539" s="3"/>
      <c r="S539" s="3"/>
      <c r="T539" s="3"/>
      <c r="U539" s="6">
        <v>1.0</v>
      </c>
      <c r="V539" s="3"/>
      <c r="W539" s="6" t="s">
        <v>304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97"/>
      <c r="BO539" s="3"/>
      <c r="BP539" s="3"/>
      <c r="BQ539" s="10"/>
    </row>
    <row r="540">
      <c r="A540" s="28">
        <v>1.0</v>
      </c>
      <c r="B540" s="29" t="s">
        <v>921</v>
      </c>
      <c r="C540" s="30"/>
      <c r="D540" s="30"/>
      <c r="E540" s="30"/>
      <c r="F540" s="30"/>
      <c r="G540" s="30"/>
      <c r="H540" s="30"/>
      <c r="I540" s="31" t="str">
        <f t="shared" si="1"/>
        <v>43600</v>
      </c>
      <c r="J540" s="74"/>
      <c r="K540" s="74"/>
      <c r="L540" s="31" t="s">
        <v>922</v>
      </c>
      <c r="M540" s="75">
        <v>1.0</v>
      </c>
      <c r="N540" s="32"/>
      <c r="O540" s="30"/>
      <c r="P540" s="32"/>
      <c r="Q540" s="32"/>
      <c r="R540" s="32"/>
      <c r="S540" s="32"/>
      <c r="T540" s="74"/>
      <c r="U540" s="34">
        <v>1.0</v>
      </c>
      <c r="V540" s="74"/>
      <c r="W540" s="34" t="s">
        <v>70</v>
      </c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32"/>
      <c r="AQ540" s="32"/>
      <c r="AR540" s="32"/>
      <c r="AS540" s="32"/>
      <c r="AT540" s="32"/>
      <c r="AU540" s="32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32"/>
      <c r="BI540" s="32"/>
      <c r="BJ540" s="32"/>
      <c r="BK540" s="32"/>
      <c r="BL540" s="32"/>
      <c r="BM540" s="74"/>
      <c r="BN540" s="76"/>
      <c r="BO540" s="74"/>
      <c r="BP540" s="32"/>
      <c r="BQ540" s="10"/>
    </row>
    <row r="541">
      <c r="A541" s="36">
        <v>2.0</v>
      </c>
      <c r="B541" s="37" t="s">
        <v>923</v>
      </c>
      <c r="C541" s="38"/>
      <c r="D541" s="38"/>
      <c r="E541" s="38"/>
      <c r="F541" s="38"/>
      <c r="G541" s="38"/>
      <c r="H541" s="38"/>
      <c r="I541" s="39" t="str">
        <f t="shared" si="1"/>
        <v>43610</v>
      </c>
      <c r="J541" s="40"/>
      <c r="K541" s="40"/>
      <c r="L541" s="39" t="s">
        <v>924</v>
      </c>
      <c r="M541" s="41">
        <v>1.0</v>
      </c>
      <c r="N541" s="42"/>
      <c r="O541" s="38"/>
      <c r="P541" s="42"/>
      <c r="Q541" s="42"/>
      <c r="R541" s="42"/>
      <c r="S541" s="42"/>
      <c r="T541" s="40"/>
      <c r="U541" s="43">
        <v>1.0</v>
      </c>
      <c r="V541" s="40"/>
      <c r="W541" s="43" t="s">
        <v>70</v>
      </c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2"/>
      <c r="AQ541" s="42"/>
      <c r="AR541" s="42"/>
      <c r="AS541" s="42"/>
      <c r="AT541" s="42"/>
      <c r="AU541" s="42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2"/>
      <c r="BI541" s="42"/>
      <c r="BJ541" s="42"/>
      <c r="BK541" s="42"/>
      <c r="BL541" s="42"/>
      <c r="BM541" s="40"/>
      <c r="BN541" s="44"/>
      <c r="BO541" s="40"/>
      <c r="BP541" s="42"/>
      <c r="BQ541" s="10"/>
    </row>
    <row r="542">
      <c r="A542" s="45">
        <v>3.0</v>
      </c>
      <c r="B542" s="46" t="s">
        <v>925</v>
      </c>
      <c r="C542" s="47"/>
      <c r="D542" s="47"/>
      <c r="E542" s="47"/>
      <c r="F542" s="47"/>
      <c r="G542" s="47"/>
      <c r="H542" s="47"/>
      <c r="I542" s="48" t="str">
        <f t="shared" si="1"/>
        <v>43611</v>
      </c>
      <c r="J542" s="49"/>
      <c r="K542" s="49"/>
      <c r="L542" s="48" t="s">
        <v>926</v>
      </c>
      <c r="M542" s="50">
        <v>1.0</v>
      </c>
      <c r="N542" s="51"/>
      <c r="O542" s="47"/>
      <c r="P542" s="51"/>
      <c r="Q542" s="51"/>
      <c r="R542" s="51"/>
      <c r="S542" s="51"/>
      <c r="T542" s="49"/>
      <c r="U542" s="52">
        <v>1.0</v>
      </c>
      <c r="V542" s="49"/>
      <c r="W542" s="52" t="s">
        <v>70</v>
      </c>
      <c r="X542" s="49"/>
      <c r="Y542" s="49"/>
      <c r="Z542" s="49"/>
      <c r="AA542" s="107" t="s">
        <v>79</v>
      </c>
      <c r="AB542" s="107" t="s">
        <v>79</v>
      </c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52" t="s">
        <v>80</v>
      </c>
      <c r="AQ542" s="51"/>
      <c r="AR542" s="51"/>
      <c r="AS542" s="51"/>
      <c r="AT542" s="51"/>
      <c r="AU542" s="51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51"/>
      <c r="BI542" s="51"/>
      <c r="BJ542" s="51"/>
      <c r="BK542" s="51"/>
      <c r="BL542" s="51"/>
      <c r="BM542" s="49"/>
      <c r="BN542" s="53"/>
      <c r="BO542" s="49"/>
      <c r="BP542" s="51"/>
      <c r="BQ542" s="10"/>
    </row>
    <row r="543">
      <c r="A543" s="45">
        <v>3.0</v>
      </c>
      <c r="B543" s="46" t="s">
        <v>927</v>
      </c>
      <c r="C543" s="47"/>
      <c r="D543" s="47"/>
      <c r="E543" s="47"/>
      <c r="F543" s="47"/>
      <c r="G543" s="47"/>
      <c r="H543" s="47"/>
      <c r="I543" s="48" t="str">
        <f t="shared" si="1"/>
        <v>43612</v>
      </c>
      <c r="J543" s="49"/>
      <c r="K543" s="49"/>
      <c r="L543" s="48" t="s">
        <v>928</v>
      </c>
      <c r="M543" s="50">
        <v>1.0</v>
      </c>
      <c r="N543" s="51"/>
      <c r="O543" s="47"/>
      <c r="P543" s="51"/>
      <c r="Q543" s="51"/>
      <c r="R543" s="51"/>
      <c r="S543" s="51"/>
      <c r="T543" s="49"/>
      <c r="U543" s="52">
        <v>1.0</v>
      </c>
      <c r="V543" s="49"/>
      <c r="W543" s="52" t="s">
        <v>70</v>
      </c>
      <c r="X543" s="49"/>
      <c r="Y543" s="49"/>
      <c r="Z543" s="49"/>
      <c r="AA543" s="107" t="s">
        <v>79</v>
      </c>
      <c r="AB543" s="107" t="s">
        <v>79</v>
      </c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52" t="s">
        <v>80</v>
      </c>
      <c r="AQ543" s="51"/>
      <c r="AR543" s="51"/>
      <c r="AS543" s="51"/>
      <c r="AT543" s="51"/>
      <c r="AU543" s="51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51"/>
      <c r="BI543" s="51"/>
      <c r="BJ543" s="51"/>
      <c r="BK543" s="51"/>
      <c r="BL543" s="51"/>
      <c r="BM543" s="49"/>
      <c r="BN543" s="53"/>
      <c r="BO543" s="49"/>
      <c r="BP543" s="51"/>
      <c r="BQ543" s="10"/>
    </row>
    <row r="544">
      <c r="A544" s="45">
        <v>3.0</v>
      </c>
      <c r="B544" s="46" t="s">
        <v>929</v>
      </c>
      <c r="C544" s="47"/>
      <c r="D544" s="47"/>
      <c r="E544" s="47"/>
      <c r="F544" s="47"/>
      <c r="G544" s="47"/>
      <c r="H544" s="47"/>
      <c r="I544" s="48" t="str">
        <f t="shared" si="1"/>
        <v>43613</v>
      </c>
      <c r="J544" s="49"/>
      <c r="K544" s="49"/>
      <c r="L544" s="48" t="s">
        <v>930</v>
      </c>
      <c r="M544" s="50">
        <v>1.0</v>
      </c>
      <c r="N544" s="51"/>
      <c r="O544" s="47"/>
      <c r="P544" s="51"/>
      <c r="Q544" s="51"/>
      <c r="R544" s="51"/>
      <c r="S544" s="51"/>
      <c r="T544" s="49"/>
      <c r="U544" s="52">
        <v>1.0</v>
      </c>
      <c r="V544" s="49"/>
      <c r="W544" s="52" t="s">
        <v>70</v>
      </c>
      <c r="X544" s="49"/>
      <c r="Y544" s="49"/>
      <c r="Z544" s="49"/>
      <c r="AA544" s="107" t="s">
        <v>79</v>
      </c>
      <c r="AB544" s="107" t="s">
        <v>79</v>
      </c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52" t="s">
        <v>80</v>
      </c>
      <c r="AQ544" s="51"/>
      <c r="AR544" s="51"/>
      <c r="AS544" s="51"/>
      <c r="AT544" s="51"/>
      <c r="AU544" s="51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51"/>
      <c r="BI544" s="51"/>
      <c r="BJ544" s="51"/>
      <c r="BK544" s="51"/>
      <c r="BL544" s="51"/>
      <c r="BM544" s="49"/>
      <c r="BN544" s="53"/>
      <c r="BO544" s="49"/>
      <c r="BP544" s="51"/>
      <c r="BQ544" s="10"/>
    </row>
    <row r="545">
      <c r="A545" s="1">
        <v>4.0</v>
      </c>
      <c r="B545" s="2" t="s">
        <v>929</v>
      </c>
      <c r="C545" s="2" t="s">
        <v>76</v>
      </c>
      <c r="D545" s="93"/>
      <c r="E545" s="93"/>
      <c r="F545" s="93"/>
      <c r="G545" s="93"/>
      <c r="H545" s="93"/>
      <c r="I545" s="3" t="str">
        <f t="shared" si="1"/>
        <v>4361301</v>
      </c>
      <c r="J545" s="3"/>
      <c r="K545" s="3"/>
      <c r="L545" s="94" t="s">
        <v>931</v>
      </c>
      <c r="M545" s="4">
        <v>2.0</v>
      </c>
      <c r="N545" s="3"/>
      <c r="O545" s="93"/>
      <c r="P545" s="3"/>
      <c r="Q545" s="3"/>
      <c r="R545" s="3"/>
      <c r="S545" s="3"/>
      <c r="T545" s="3"/>
      <c r="U545" s="6">
        <v>1.0</v>
      </c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97"/>
      <c r="BO545" s="3"/>
      <c r="BP545" s="3"/>
      <c r="BQ545" s="10"/>
    </row>
    <row r="546">
      <c r="A546" s="1">
        <v>4.0</v>
      </c>
      <c r="B546" s="2" t="s">
        <v>929</v>
      </c>
      <c r="C546" s="2" t="s">
        <v>119</v>
      </c>
      <c r="D546" s="93"/>
      <c r="E546" s="93"/>
      <c r="F546" s="93"/>
      <c r="G546" s="93"/>
      <c r="H546" s="93"/>
      <c r="I546" s="3" t="str">
        <f t="shared" si="1"/>
        <v>4361302</v>
      </c>
      <c r="J546" s="3"/>
      <c r="K546" s="3"/>
      <c r="L546" s="94" t="s">
        <v>932</v>
      </c>
      <c r="M546" s="4">
        <v>2.0</v>
      </c>
      <c r="N546" s="3"/>
      <c r="O546" s="93"/>
      <c r="P546" s="3"/>
      <c r="Q546" s="3"/>
      <c r="R546" s="3"/>
      <c r="S546" s="3"/>
      <c r="T546" s="3"/>
      <c r="U546" s="6" t="s">
        <v>79</v>
      </c>
      <c r="V546" s="3"/>
      <c r="W546" s="6" t="s">
        <v>304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97"/>
      <c r="BO546" s="3"/>
      <c r="BP546" s="3"/>
      <c r="BQ546" s="10"/>
    </row>
    <row r="547">
      <c r="A547" s="1">
        <v>4.0</v>
      </c>
      <c r="B547" s="2" t="s">
        <v>929</v>
      </c>
      <c r="C547" s="2" t="s">
        <v>124</v>
      </c>
      <c r="D547" s="93"/>
      <c r="E547" s="93"/>
      <c r="F547" s="93"/>
      <c r="G547" s="93"/>
      <c r="H547" s="93"/>
      <c r="I547" s="3" t="str">
        <f t="shared" si="1"/>
        <v>4361303</v>
      </c>
      <c r="J547" s="3"/>
      <c r="K547" s="3"/>
      <c r="L547" s="94" t="s">
        <v>933</v>
      </c>
      <c r="M547" s="4">
        <v>2.0</v>
      </c>
      <c r="N547" s="3"/>
      <c r="O547" s="93"/>
      <c r="P547" s="3"/>
      <c r="Q547" s="3"/>
      <c r="R547" s="3"/>
      <c r="S547" s="3"/>
      <c r="T547" s="3"/>
      <c r="U547" s="6">
        <v>1.0</v>
      </c>
      <c r="V547" s="3"/>
      <c r="W547" s="6" t="s">
        <v>304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97"/>
      <c r="BO547" s="3"/>
      <c r="BP547" s="3"/>
      <c r="BQ547" s="10"/>
    </row>
    <row r="548">
      <c r="A548" s="1">
        <v>4.0</v>
      </c>
      <c r="B548" s="2" t="s">
        <v>929</v>
      </c>
      <c r="C548" s="2" t="s">
        <v>127</v>
      </c>
      <c r="D548" s="93"/>
      <c r="E548" s="93"/>
      <c r="F548" s="93"/>
      <c r="G548" s="93"/>
      <c r="H548" s="93"/>
      <c r="I548" s="3" t="str">
        <f t="shared" si="1"/>
        <v>4361304</v>
      </c>
      <c r="J548" s="3"/>
      <c r="K548" s="3"/>
      <c r="L548" s="94" t="s">
        <v>934</v>
      </c>
      <c r="M548" s="4">
        <v>2.0</v>
      </c>
      <c r="N548" s="3"/>
      <c r="O548" s="93"/>
      <c r="P548" s="3"/>
      <c r="Q548" s="3"/>
      <c r="R548" s="3"/>
      <c r="S548" s="3"/>
      <c r="T548" s="3"/>
      <c r="U548" s="6">
        <v>1.0</v>
      </c>
      <c r="V548" s="3"/>
      <c r="W548" s="6" t="s">
        <v>304</v>
      </c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97"/>
      <c r="BO548" s="3"/>
      <c r="BP548" s="3"/>
      <c r="BQ548" s="10"/>
    </row>
    <row r="549">
      <c r="A549" s="1">
        <v>4.0</v>
      </c>
      <c r="B549" s="2" t="s">
        <v>929</v>
      </c>
      <c r="C549" s="2" t="s">
        <v>91</v>
      </c>
      <c r="D549" s="93"/>
      <c r="E549" s="93"/>
      <c r="F549" s="93"/>
      <c r="G549" s="93"/>
      <c r="H549" s="93"/>
      <c r="I549" s="3" t="str">
        <f t="shared" si="1"/>
        <v>4361305</v>
      </c>
      <c r="J549" s="3"/>
      <c r="K549" s="3"/>
      <c r="L549" s="94" t="s">
        <v>935</v>
      </c>
      <c r="M549" s="4">
        <v>2.0</v>
      </c>
      <c r="N549" s="3"/>
      <c r="O549" s="93"/>
      <c r="P549" s="3"/>
      <c r="Q549" s="3"/>
      <c r="R549" s="3"/>
      <c r="S549" s="3"/>
      <c r="T549" s="3"/>
      <c r="U549" s="6">
        <v>1.0</v>
      </c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97"/>
      <c r="BO549" s="3"/>
      <c r="BP549" s="3"/>
      <c r="BQ549" s="10"/>
    </row>
    <row r="550">
      <c r="A550" s="1">
        <v>4.0</v>
      </c>
      <c r="B550" s="2" t="s">
        <v>929</v>
      </c>
      <c r="C550" s="2" t="s">
        <v>133</v>
      </c>
      <c r="D550" s="93"/>
      <c r="E550" s="93"/>
      <c r="F550" s="93"/>
      <c r="G550" s="93"/>
      <c r="H550" s="93"/>
      <c r="I550" s="3" t="str">
        <f t="shared" si="1"/>
        <v>4361306</v>
      </c>
      <c r="J550" s="3"/>
      <c r="K550" s="3"/>
      <c r="L550" s="94" t="s">
        <v>936</v>
      </c>
      <c r="M550" s="4">
        <v>2.0</v>
      </c>
      <c r="N550" s="3"/>
      <c r="O550" s="93"/>
      <c r="P550" s="3"/>
      <c r="Q550" s="3"/>
      <c r="R550" s="3"/>
      <c r="S550" s="3"/>
      <c r="T550" s="3"/>
      <c r="U550" s="6">
        <v>1.0</v>
      </c>
      <c r="V550" s="3"/>
      <c r="W550" s="6" t="s">
        <v>160</v>
      </c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97"/>
      <c r="BO550" s="3"/>
      <c r="BP550" s="3"/>
      <c r="BQ550" s="10"/>
    </row>
    <row r="551">
      <c r="A551" s="45">
        <v>3.0</v>
      </c>
      <c r="B551" s="46" t="s">
        <v>937</v>
      </c>
      <c r="C551" s="47"/>
      <c r="D551" s="47"/>
      <c r="E551" s="47"/>
      <c r="F551" s="47"/>
      <c r="G551" s="47"/>
      <c r="H551" s="47"/>
      <c r="I551" s="48" t="str">
        <f t="shared" si="1"/>
        <v>43614</v>
      </c>
      <c r="J551" s="49"/>
      <c r="K551" s="49"/>
      <c r="L551" s="48" t="s">
        <v>938</v>
      </c>
      <c r="M551" s="50">
        <v>1.0</v>
      </c>
      <c r="N551" s="51"/>
      <c r="O551" s="47"/>
      <c r="P551" s="51"/>
      <c r="Q551" s="51"/>
      <c r="R551" s="51"/>
      <c r="S551" s="51"/>
      <c r="T551" s="49"/>
      <c r="U551" s="52">
        <v>1.0</v>
      </c>
      <c r="V551" s="49"/>
      <c r="W551" s="52" t="s">
        <v>70</v>
      </c>
      <c r="X551" s="49"/>
      <c r="Y551" s="49"/>
      <c r="Z551" s="49"/>
      <c r="AA551" s="107" t="s">
        <v>79</v>
      </c>
      <c r="AB551" s="107" t="s">
        <v>79</v>
      </c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52" t="s">
        <v>80</v>
      </c>
      <c r="AQ551" s="51"/>
      <c r="AR551" s="51"/>
      <c r="AS551" s="51"/>
      <c r="AT551" s="51"/>
      <c r="AU551" s="51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51"/>
      <c r="BI551" s="51"/>
      <c r="BJ551" s="51"/>
      <c r="BK551" s="51"/>
      <c r="BL551" s="51"/>
      <c r="BM551" s="49"/>
      <c r="BN551" s="53"/>
      <c r="BO551" s="49"/>
      <c r="BP551" s="51"/>
      <c r="BQ551" s="10"/>
    </row>
    <row r="552">
      <c r="A552" s="45">
        <v>3.0</v>
      </c>
      <c r="B552" s="46" t="s">
        <v>939</v>
      </c>
      <c r="C552" s="47"/>
      <c r="D552" s="47"/>
      <c r="E552" s="47"/>
      <c r="F552" s="47"/>
      <c r="G552" s="47"/>
      <c r="H552" s="47"/>
      <c r="I552" s="48" t="str">
        <f t="shared" si="1"/>
        <v>43615</v>
      </c>
      <c r="J552" s="49"/>
      <c r="K552" s="49"/>
      <c r="L552" s="48" t="s">
        <v>940</v>
      </c>
      <c r="M552" s="50">
        <v>1.0</v>
      </c>
      <c r="N552" s="51"/>
      <c r="O552" s="47"/>
      <c r="P552" s="51"/>
      <c r="Q552" s="51"/>
      <c r="R552" s="51"/>
      <c r="S552" s="51"/>
      <c r="T552" s="49"/>
      <c r="U552" s="52">
        <v>1.0</v>
      </c>
      <c r="V552" s="49"/>
      <c r="W552" s="52" t="s">
        <v>70</v>
      </c>
      <c r="X552" s="49"/>
      <c r="Y552" s="49"/>
      <c r="Z552" s="49"/>
      <c r="AA552" s="107" t="s">
        <v>79</v>
      </c>
      <c r="AB552" s="107" t="s">
        <v>79</v>
      </c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52" t="s">
        <v>80</v>
      </c>
      <c r="AQ552" s="51"/>
      <c r="AR552" s="51"/>
      <c r="AS552" s="51"/>
      <c r="AT552" s="51"/>
      <c r="AU552" s="51"/>
      <c r="AV552" s="49"/>
      <c r="AW552" s="49"/>
      <c r="AX552" s="49"/>
      <c r="AY552" s="49"/>
      <c r="AZ552" s="49"/>
      <c r="BA552" s="49"/>
      <c r="BB552" s="49"/>
      <c r="BC552" s="49"/>
      <c r="BD552" s="49"/>
      <c r="BE552" s="49"/>
      <c r="BF552" s="49"/>
      <c r="BG552" s="49"/>
      <c r="BH552" s="51"/>
      <c r="BI552" s="51"/>
      <c r="BJ552" s="51"/>
      <c r="BK552" s="51"/>
      <c r="BL552" s="51"/>
      <c r="BM552" s="49"/>
      <c r="BN552" s="53"/>
      <c r="BO552" s="49"/>
      <c r="BP552" s="51"/>
      <c r="BQ552" s="10"/>
    </row>
    <row r="553">
      <c r="A553" s="5">
        <v>4.0</v>
      </c>
      <c r="B553" s="108" t="s">
        <v>939</v>
      </c>
      <c r="C553" s="109" t="s">
        <v>76</v>
      </c>
      <c r="D553" s="93"/>
      <c r="E553" s="93"/>
      <c r="F553" s="93"/>
      <c r="G553" s="93"/>
      <c r="H553" s="93"/>
      <c r="I553" s="94" t="str">
        <f t="shared" si="1"/>
        <v>4361501</v>
      </c>
      <c r="J553" s="3"/>
      <c r="K553" s="3"/>
      <c r="L553" s="94" t="s">
        <v>941</v>
      </c>
      <c r="M553" s="110">
        <v>2.0</v>
      </c>
      <c r="N553" s="3"/>
      <c r="O553" s="93"/>
      <c r="P553" s="3"/>
      <c r="Q553" s="111" t="s">
        <v>942</v>
      </c>
      <c r="R553" s="3"/>
      <c r="S553" s="3"/>
      <c r="T553" s="3"/>
      <c r="U553" s="112">
        <v>1.0</v>
      </c>
      <c r="V553" s="3"/>
      <c r="W553" s="112" t="s">
        <v>160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97"/>
      <c r="BO553" s="3"/>
      <c r="BP553" s="3"/>
      <c r="BQ553" s="10"/>
    </row>
    <row r="554">
      <c r="A554" s="5">
        <v>4.0</v>
      </c>
      <c r="B554" s="108" t="s">
        <v>939</v>
      </c>
      <c r="C554" s="109" t="s">
        <v>119</v>
      </c>
      <c r="D554" s="93"/>
      <c r="E554" s="93"/>
      <c r="F554" s="93"/>
      <c r="G554" s="93"/>
      <c r="H554" s="93"/>
      <c r="I554" s="94" t="str">
        <f t="shared" si="1"/>
        <v>4361502</v>
      </c>
      <c r="J554" s="3"/>
      <c r="K554" s="3"/>
      <c r="L554" s="94" t="s">
        <v>943</v>
      </c>
      <c r="M554" s="110">
        <v>2.0</v>
      </c>
      <c r="N554" s="3"/>
      <c r="O554" s="93"/>
      <c r="P554" s="3"/>
      <c r="Q554" s="111" t="s">
        <v>942</v>
      </c>
      <c r="R554" s="3"/>
      <c r="S554" s="3"/>
      <c r="T554" s="3"/>
      <c r="U554" s="112">
        <v>1.0</v>
      </c>
      <c r="V554" s="3"/>
      <c r="W554" s="112" t="s">
        <v>160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97"/>
      <c r="BO554" s="3"/>
      <c r="BP554" s="3"/>
      <c r="BQ554" s="10"/>
    </row>
    <row r="555">
      <c r="A555" s="5">
        <v>4.0</v>
      </c>
      <c r="B555" s="108" t="s">
        <v>939</v>
      </c>
      <c r="C555" s="109" t="s">
        <v>124</v>
      </c>
      <c r="D555" s="93"/>
      <c r="E555" s="93"/>
      <c r="F555" s="93"/>
      <c r="G555" s="93"/>
      <c r="H555" s="93"/>
      <c r="I555" s="94" t="str">
        <f t="shared" si="1"/>
        <v>4361503</v>
      </c>
      <c r="J555" s="3"/>
      <c r="K555" s="3"/>
      <c r="L555" s="94" t="s">
        <v>944</v>
      </c>
      <c r="M555" s="110">
        <v>2.0</v>
      </c>
      <c r="N555" s="3"/>
      <c r="O555" s="93"/>
      <c r="P555" s="3"/>
      <c r="Q555" s="111" t="s">
        <v>942</v>
      </c>
      <c r="R555" s="3"/>
      <c r="S555" s="3"/>
      <c r="T555" s="3"/>
      <c r="U555" s="112">
        <v>3.0</v>
      </c>
      <c r="V555" s="3"/>
      <c r="W555" s="112" t="s">
        <v>160</v>
      </c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97"/>
      <c r="BO555" s="3"/>
      <c r="BP555" s="3"/>
      <c r="BQ555" s="10"/>
    </row>
    <row r="556">
      <c r="A556" s="5">
        <v>4.0</v>
      </c>
      <c r="B556" s="108" t="s">
        <v>939</v>
      </c>
      <c r="C556" s="109" t="s">
        <v>127</v>
      </c>
      <c r="D556" s="93"/>
      <c r="E556" s="93"/>
      <c r="F556" s="93"/>
      <c r="G556" s="93"/>
      <c r="H556" s="93"/>
      <c r="I556" s="94" t="str">
        <f t="shared" si="1"/>
        <v>4361504</v>
      </c>
      <c r="J556" s="3"/>
      <c r="K556" s="3"/>
      <c r="L556" s="94" t="s">
        <v>945</v>
      </c>
      <c r="M556" s="110">
        <v>2.0</v>
      </c>
      <c r="N556" s="3"/>
      <c r="O556" s="93"/>
      <c r="P556" s="3"/>
      <c r="Q556" s="111" t="s">
        <v>942</v>
      </c>
      <c r="R556" s="3"/>
      <c r="S556" s="3"/>
      <c r="T556" s="3"/>
      <c r="U556" s="112">
        <v>3.0</v>
      </c>
      <c r="V556" s="3"/>
      <c r="W556" s="112" t="s">
        <v>160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97"/>
      <c r="BO556" s="3"/>
      <c r="BP556" s="3"/>
      <c r="BQ556" s="10"/>
    </row>
    <row r="557">
      <c r="A557" s="5">
        <v>4.0</v>
      </c>
      <c r="B557" s="108" t="s">
        <v>939</v>
      </c>
      <c r="C557" s="109" t="s">
        <v>91</v>
      </c>
      <c r="D557" s="93"/>
      <c r="E557" s="93"/>
      <c r="F557" s="93"/>
      <c r="G557" s="93"/>
      <c r="H557" s="93"/>
      <c r="I557" s="94" t="str">
        <f t="shared" si="1"/>
        <v>4361505</v>
      </c>
      <c r="J557" s="3"/>
      <c r="K557" s="3"/>
      <c r="L557" s="94" t="s">
        <v>946</v>
      </c>
      <c r="M557" s="110">
        <v>1.0</v>
      </c>
      <c r="N557" s="3"/>
      <c r="O557" s="93"/>
      <c r="P557" s="3"/>
      <c r="Q557" s="111" t="s">
        <v>942</v>
      </c>
      <c r="R557" s="3"/>
      <c r="S557" s="3"/>
      <c r="T557" s="3"/>
      <c r="U557" s="112">
        <v>2.0</v>
      </c>
      <c r="V557" s="3"/>
      <c r="W557" s="112" t="s">
        <v>78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97"/>
      <c r="BO557" s="3"/>
      <c r="BP557" s="3"/>
      <c r="BQ557" s="10"/>
    </row>
    <row r="558">
      <c r="A558" s="5">
        <v>4.0</v>
      </c>
      <c r="B558" s="108" t="s">
        <v>939</v>
      </c>
      <c r="C558" s="109" t="s">
        <v>133</v>
      </c>
      <c r="D558" s="93"/>
      <c r="E558" s="93"/>
      <c r="F558" s="93"/>
      <c r="G558" s="93"/>
      <c r="H558" s="93"/>
      <c r="I558" s="94" t="str">
        <f t="shared" si="1"/>
        <v>4361506</v>
      </c>
      <c r="J558" s="3"/>
      <c r="K558" s="3"/>
      <c r="L558" s="94" t="s">
        <v>947</v>
      </c>
      <c r="M558" s="110">
        <v>2.0</v>
      </c>
      <c r="N558" s="3"/>
      <c r="O558" s="93"/>
      <c r="P558" s="3"/>
      <c r="Q558" s="111" t="s">
        <v>942</v>
      </c>
      <c r="R558" s="3"/>
      <c r="S558" s="3"/>
      <c r="T558" s="3"/>
      <c r="U558" s="112">
        <v>1.0</v>
      </c>
      <c r="V558" s="3"/>
      <c r="W558" s="112" t="s">
        <v>435</v>
      </c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97"/>
      <c r="BO558" s="3"/>
      <c r="BP558" s="3"/>
      <c r="BQ558" s="10"/>
    </row>
    <row r="559">
      <c r="A559" s="5">
        <v>5.0</v>
      </c>
      <c r="B559" s="108" t="s">
        <v>939</v>
      </c>
      <c r="C559" s="109" t="s">
        <v>133</v>
      </c>
      <c r="D559" s="109" t="s">
        <v>76</v>
      </c>
      <c r="E559" s="93"/>
      <c r="F559" s="93"/>
      <c r="G559" s="93"/>
      <c r="H559" s="93"/>
      <c r="I559" s="94" t="str">
        <f t="shared" si="1"/>
        <v>436150601</v>
      </c>
      <c r="J559" s="3"/>
      <c r="K559" s="3"/>
      <c r="L559" s="94" t="s">
        <v>948</v>
      </c>
      <c r="M559" s="110">
        <v>2.0</v>
      </c>
      <c r="N559" s="3"/>
      <c r="O559" s="108" t="s">
        <v>949</v>
      </c>
      <c r="P559" s="3"/>
      <c r="Q559" s="111" t="s">
        <v>942</v>
      </c>
      <c r="R559" s="3"/>
      <c r="S559" s="3"/>
      <c r="T559" s="3"/>
      <c r="U559" s="112">
        <v>1.0</v>
      </c>
      <c r="V559" s="3"/>
      <c r="W559" s="112" t="s">
        <v>160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97"/>
      <c r="BO559" s="3"/>
      <c r="BP559" s="3"/>
      <c r="BQ559" s="10"/>
    </row>
    <row r="560">
      <c r="A560" s="5">
        <v>5.0</v>
      </c>
      <c r="B560" s="108" t="s">
        <v>939</v>
      </c>
      <c r="C560" s="109" t="s">
        <v>133</v>
      </c>
      <c r="D560" s="109" t="s">
        <v>119</v>
      </c>
      <c r="E560" s="93"/>
      <c r="F560" s="93"/>
      <c r="G560" s="93"/>
      <c r="H560" s="93"/>
      <c r="I560" s="94" t="str">
        <f t="shared" si="1"/>
        <v>436150602</v>
      </c>
      <c r="J560" s="3"/>
      <c r="K560" s="3"/>
      <c r="L560" s="94" t="s">
        <v>948</v>
      </c>
      <c r="M560" s="110">
        <v>2.0</v>
      </c>
      <c r="N560" s="3"/>
      <c r="O560" s="108" t="s">
        <v>950</v>
      </c>
      <c r="P560" s="3"/>
      <c r="Q560" s="111" t="s">
        <v>942</v>
      </c>
      <c r="R560" s="3"/>
      <c r="S560" s="3"/>
      <c r="T560" s="3"/>
      <c r="U560" s="112">
        <v>1.0</v>
      </c>
      <c r="V560" s="3"/>
      <c r="W560" s="112" t="s">
        <v>160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97"/>
      <c r="BO560" s="3"/>
      <c r="BP560" s="3"/>
      <c r="BQ560" s="10"/>
    </row>
    <row r="561">
      <c r="A561" s="5">
        <v>5.0</v>
      </c>
      <c r="B561" s="108" t="s">
        <v>939</v>
      </c>
      <c r="C561" s="109" t="s">
        <v>133</v>
      </c>
      <c r="D561" s="109" t="s">
        <v>124</v>
      </c>
      <c r="E561" s="93"/>
      <c r="F561" s="93"/>
      <c r="G561" s="93"/>
      <c r="H561" s="93"/>
      <c r="I561" s="94" t="str">
        <f t="shared" si="1"/>
        <v>436150603</v>
      </c>
      <c r="J561" s="3"/>
      <c r="K561" s="3"/>
      <c r="L561" s="94" t="s">
        <v>948</v>
      </c>
      <c r="M561" s="110">
        <v>2.0</v>
      </c>
      <c r="N561" s="3"/>
      <c r="O561" s="108" t="s">
        <v>951</v>
      </c>
      <c r="P561" s="3"/>
      <c r="Q561" s="111" t="s">
        <v>942</v>
      </c>
      <c r="R561" s="3"/>
      <c r="S561" s="3"/>
      <c r="T561" s="3"/>
      <c r="U561" s="112">
        <v>1.0</v>
      </c>
      <c r="V561" s="3"/>
      <c r="W561" s="112" t="s">
        <v>160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97"/>
      <c r="BO561" s="3"/>
      <c r="BP561" s="3"/>
      <c r="BQ561" s="10"/>
    </row>
    <row r="562">
      <c r="A562" s="5">
        <v>5.0</v>
      </c>
      <c r="B562" s="108" t="s">
        <v>939</v>
      </c>
      <c r="C562" s="109" t="s">
        <v>133</v>
      </c>
      <c r="D562" s="109" t="s">
        <v>127</v>
      </c>
      <c r="E562" s="93"/>
      <c r="F562" s="93"/>
      <c r="G562" s="93"/>
      <c r="H562" s="93"/>
      <c r="I562" s="94" t="str">
        <f t="shared" si="1"/>
        <v>436150604</v>
      </c>
      <c r="J562" s="3"/>
      <c r="K562" s="3"/>
      <c r="L562" s="94" t="s">
        <v>948</v>
      </c>
      <c r="M562" s="110">
        <v>2.0</v>
      </c>
      <c r="N562" s="3"/>
      <c r="O562" s="108" t="s">
        <v>952</v>
      </c>
      <c r="P562" s="3"/>
      <c r="Q562" s="111" t="s">
        <v>942</v>
      </c>
      <c r="R562" s="3"/>
      <c r="S562" s="3"/>
      <c r="T562" s="3"/>
      <c r="U562" s="112">
        <v>1.0</v>
      </c>
      <c r="V562" s="3"/>
      <c r="W562" s="112" t="s">
        <v>160</v>
      </c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97"/>
      <c r="BO562" s="3"/>
      <c r="BP562" s="3"/>
      <c r="BQ562" s="10"/>
    </row>
    <row r="563">
      <c r="A563" s="5">
        <v>5.0</v>
      </c>
      <c r="B563" s="108" t="s">
        <v>939</v>
      </c>
      <c r="C563" s="109" t="s">
        <v>133</v>
      </c>
      <c r="D563" s="109" t="s">
        <v>91</v>
      </c>
      <c r="E563" s="93"/>
      <c r="F563" s="93"/>
      <c r="G563" s="93"/>
      <c r="H563" s="93"/>
      <c r="I563" s="94" t="str">
        <f t="shared" si="1"/>
        <v>436150605</v>
      </c>
      <c r="J563" s="3"/>
      <c r="K563" s="3"/>
      <c r="L563" s="94" t="s">
        <v>948</v>
      </c>
      <c r="M563" s="110">
        <v>2.0</v>
      </c>
      <c r="N563" s="3"/>
      <c r="O563" s="108" t="s">
        <v>953</v>
      </c>
      <c r="P563" s="3"/>
      <c r="Q563" s="111" t="s">
        <v>942</v>
      </c>
      <c r="R563" s="3"/>
      <c r="S563" s="3"/>
      <c r="T563" s="3"/>
      <c r="U563" s="112">
        <v>1.0</v>
      </c>
      <c r="V563" s="3"/>
      <c r="W563" s="112" t="s">
        <v>160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97"/>
      <c r="BO563" s="3"/>
      <c r="BP563" s="3"/>
      <c r="BQ563" s="10"/>
    </row>
    <row r="564">
      <c r="A564" s="5">
        <v>5.0</v>
      </c>
      <c r="B564" s="108" t="s">
        <v>939</v>
      </c>
      <c r="C564" s="109" t="s">
        <v>133</v>
      </c>
      <c r="D564" s="109" t="s">
        <v>133</v>
      </c>
      <c r="E564" s="93"/>
      <c r="F564" s="93"/>
      <c r="G564" s="93"/>
      <c r="H564" s="93"/>
      <c r="I564" s="94" t="str">
        <f t="shared" si="1"/>
        <v>436150606</v>
      </c>
      <c r="J564" s="3"/>
      <c r="K564" s="3"/>
      <c r="L564" s="94" t="s">
        <v>948</v>
      </c>
      <c r="M564" s="110">
        <v>2.0</v>
      </c>
      <c r="N564" s="3"/>
      <c r="O564" s="108" t="s">
        <v>954</v>
      </c>
      <c r="P564" s="3"/>
      <c r="Q564" s="111" t="s">
        <v>942</v>
      </c>
      <c r="R564" s="3"/>
      <c r="S564" s="3"/>
      <c r="T564" s="3"/>
      <c r="U564" s="112">
        <v>1.0</v>
      </c>
      <c r="V564" s="3"/>
      <c r="W564" s="112" t="s">
        <v>160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97"/>
      <c r="BO564" s="3"/>
      <c r="BP564" s="3"/>
      <c r="BQ564" s="10"/>
    </row>
    <row r="565">
      <c r="A565" s="5">
        <v>5.0</v>
      </c>
      <c r="B565" s="108" t="s">
        <v>939</v>
      </c>
      <c r="C565" s="109" t="s">
        <v>133</v>
      </c>
      <c r="D565" s="109" t="s">
        <v>136</v>
      </c>
      <c r="E565" s="93"/>
      <c r="F565" s="93"/>
      <c r="G565" s="93"/>
      <c r="H565" s="93"/>
      <c r="I565" s="94" t="str">
        <f t="shared" si="1"/>
        <v>436150607</v>
      </c>
      <c r="J565" s="3"/>
      <c r="K565" s="3"/>
      <c r="L565" s="94" t="s">
        <v>948</v>
      </c>
      <c r="M565" s="110">
        <v>2.0</v>
      </c>
      <c r="N565" s="3"/>
      <c r="O565" s="108" t="s">
        <v>955</v>
      </c>
      <c r="P565" s="3"/>
      <c r="Q565" s="111" t="s">
        <v>942</v>
      </c>
      <c r="R565" s="3"/>
      <c r="S565" s="3"/>
      <c r="T565" s="3"/>
      <c r="U565" s="112">
        <v>1.0</v>
      </c>
      <c r="V565" s="3"/>
      <c r="W565" s="112" t="s">
        <v>160</v>
      </c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97"/>
      <c r="BO565" s="3"/>
      <c r="BP565" s="3"/>
      <c r="BQ565" s="10"/>
    </row>
    <row r="566">
      <c r="A566" s="5">
        <v>5.0</v>
      </c>
      <c r="B566" s="108" t="s">
        <v>939</v>
      </c>
      <c r="C566" s="109" t="s">
        <v>133</v>
      </c>
      <c r="D566" s="109" t="s">
        <v>138</v>
      </c>
      <c r="E566" s="93"/>
      <c r="F566" s="93"/>
      <c r="G566" s="93"/>
      <c r="H566" s="93"/>
      <c r="I566" s="94" t="str">
        <f t="shared" si="1"/>
        <v>436150608</v>
      </c>
      <c r="J566" s="3"/>
      <c r="K566" s="3"/>
      <c r="L566" s="94" t="s">
        <v>948</v>
      </c>
      <c r="M566" s="110">
        <v>2.0</v>
      </c>
      <c r="N566" s="3"/>
      <c r="O566" s="108" t="s">
        <v>956</v>
      </c>
      <c r="P566" s="3"/>
      <c r="Q566" s="111" t="s">
        <v>942</v>
      </c>
      <c r="R566" s="3"/>
      <c r="S566" s="3"/>
      <c r="T566" s="3"/>
      <c r="U566" s="112">
        <v>1.0</v>
      </c>
      <c r="V566" s="3"/>
      <c r="W566" s="112" t="s">
        <v>160</v>
      </c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97"/>
      <c r="BO566" s="3"/>
      <c r="BP566" s="3"/>
      <c r="BQ566" s="10"/>
    </row>
    <row r="567">
      <c r="A567" s="5">
        <v>5.0</v>
      </c>
      <c r="B567" s="108" t="s">
        <v>939</v>
      </c>
      <c r="C567" s="109" t="s">
        <v>133</v>
      </c>
      <c r="D567" s="109" t="s">
        <v>142</v>
      </c>
      <c r="E567" s="93"/>
      <c r="F567" s="93"/>
      <c r="G567" s="93"/>
      <c r="H567" s="93"/>
      <c r="I567" s="94" t="str">
        <f t="shared" si="1"/>
        <v>436150609</v>
      </c>
      <c r="J567" s="3"/>
      <c r="K567" s="3"/>
      <c r="L567" s="94" t="s">
        <v>948</v>
      </c>
      <c r="M567" s="110">
        <v>2.0</v>
      </c>
      <c r="N567" s="3"/>
      <c r="O567" s="108" t="s">
        <v>957</v>
      </c>
      <c r="P567" s="3"/>
      <c r="Q567" s="111" t="s">
        <v>942</v>
      </c>
      <c r="R567" s="3"/>
      <c r="S567" s="3"/>
      <c r="T567" s="3"/>
      <c r="U567" s="112">
        <v>1.0</v>
      </c>
      <c r="V567" s="3"/>
      <c r="W567" s="112" t="s">
        <v>160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97"/>
      <c r="BO567" s="3"/>
      <c r="BP567" s="3"/>
      <c r="BQ567" s="10"/>
    </row>
    <row r="568">
      <c r="A568" s="5">
        <v>5.0</v>
      </c>
      <c r="B568" s="108" t="s">
        <v>939</v>
      </c>
      <c r="C568" s="109" t="s">
        <v>133</v>
      </c>
      <c r="D568" s="109" t="s">
        <v>149</v>
      </c>
      <c r="E568" s="93"/>
      <c r="F568" s="93"/>
      <c r="G568" s="93"/>
      <c r="H568" s="93"/>
      <c r="I568" s="94" t="str">
        <f t="shared" si="1"/>
        <v>43615060A</v>
      </c>
      <c r="J568" s="3"/>
      <c r="K568" s="3"/>
      <c r="L568" s="94" t="s">
        <v>948</v>
      </c>
      <c r="M568" s="110">
        <v>2.0</v>
      </c>
      <c r="N568" s="3"/>
      <c r="O568" s="108" t="s">
        <v>958</v>
      </c>
      <c r="P568" s="3"/>
      <c r="Q568" s="111" t="s">
        <v>942</v>
      </c>
      <c r="R568" s="3"/>
      <c r="S568" s="3"/>
      <c r="T568" s="3"/>
      <c r="U568" s="112">
        <v>1.0</v>
      </c>
      <c r="V568" s="3"/>
      <c r="W568" s="112" t="s">
        <v>160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97"/>
      <c r="BO568" s="3"/>
      <c r="BP568" s="3"/>
      <c r="BQ568" s="10"/>
    </row>
    <row r="569">
      <c r="A569" s="5">
        <v>5.0</v>
      </c>
      <c r="B569" s="108" t="s">
        <v>939</v>
      </c>
      <c r="C569" s="109" t="s">
        <v>133</v>
      </c>
      <c r="D569" s="113" t="s">
        <v>151</v>
      </c>
      <c r="E569" s="93"/>
      <c r="F569" s="93"/>
      <c r="G569" s="93"/>
      <c r="H569" s="93"/>
      <c r="I569" s="94" t="str">
        <f t="shared" si="1"/>
        <v>43615060B</v>
      </c>
      <c r="J569" s="3"/>
      <c r="K569" s="3"/>
      <c r="L569" s="94" t="s">
        <v>948</v>
      </c>
      <c r="M569" s="110">
        <v>2.0</v>
      </c>
      <c r="N569" s="3"/>
      <c r="O569" s="108" t="s">
        <v>959</v>
      </c>
      <c r="P569" s="3"/>
      <c r="Q569" s="111" t="s">
        <v>942</v>
      </c>
      <c r="R569" s="3"/>
      <c r="S569" s="3"/>
      <c r="T569" s="3"/>
      <c r="U569" s="112">
        <v>1.0</v>
      </c>
      <c r="V569" s="3"/>
      <c r="W569" s="112" t="s">
        <v>160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97"/>
      <c r="BO569" s="3"/>
      <c r="BP569" s="3"/>
      <c r="BQ569" s="10"/>
    </row>
    <row r="570">
      <c r="A570" s="5">
        <v>5.0</v>
      </c>
      <c r="B570" s="108" t="s">
        <v>939</v>
      </c>
      <c r="C570" s="109" t="s">
        <v>133</v>
      </c>
      <c r="D570" s="113" t="s">
        <v>155</v>
      </c>
      <c r="E570" s="93"/>
      <c r="F570" s="93"/>
      <c r="G570" s="93"/>
      <c r="H570" s="93"/>
      <c r="I570" s="94" t="str">
        <f t="shared" si="1"/>
        <v>43615060C</v>
      </c>
      <c r="J570" s="3"/>
      <c r="K570" s="3"/>
      <c r="L570" s="94" t="s">
        <v>948</v>
      </c>
      <c r="M570" s="110">
        <v>2.0</v>
      </c>
      <c r="N570" s="3"/>
      <c r="O570" s="108" t="s">
        <v>960</v>
      </c>
      <c r="P570" s="3"/>
      <c r="Q570" s="111" t="s">
        <v>942</v>
      </c>
      <c r="R570" s="3"/>
      <c r="S570" s="3"/>
      <c r="T570" s="3"/>
      <c r="U570" s="112">
        <v>1.0</v>
      </c>
      <c r="V570" s="3"/>
      <c r="W570" s="112" t="s">
        <v>160</v>
      </c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97"/>
      <c r="BO570" s="3"/>
      <c r="BP570" s="3"/>
      <c r="BQ570" s="10"/>
    </row>
    <row r="571">
      <c r="A571" s="5">
        <v>5.0</v>
      </c>
      <c r="B571" s="108" t="s">
        <v>939</v>
      </c>
      <c r="C571" s="109" t="s">
        <v>133</v>
      </c>
      <c r="D571" s="113" t="s">
        <v>158</v>
      </c>
      <c r="E571" s="93"/>
      <c r="F571" s="93"/>
      <c r="G571" s="93"/>
      <c r="H571" s="93"/>
      <c r="I571" s="94" t="str">
        <f t="shared" si="1"/>
        <v>43615060D</v>
      </c>
      <c r="J571" s="3"/>
      <c r="K571" s="3"/>
      <c r="L571" s="94" t="s">
        <v>948</v>
      </c>
      <c r="M571" s="110">
        <v>2.0</v>
      </c>
      <c r="N571" s="3"/>
      <c r="O571" s="108" t="s">
        <v>961</v>
      </c>
      <c r="P571" s="3"/>
      <c r="Q571" s="111" t="s">
        <v>942</v>
      </c>
      <c r="R571" s="3"/>
      <c r="S571" s="3"/>
      <c r="T571" s="3"/>
      <c r="U571" s="112">
        <v>1.0</v>
      </c>
      <c r="V571" s="3"/>
      <c r="W571" s="112" t="s">
        <v>160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97"/>
      <c r="BO571" s="3"/>
      <c r="BP571" s="3"/>
      <c r="BQ571" s="10"/>
    </row>
    <row r="572">
      <c r="A572" s="5">
        <v>5.0</v>
      </c>
      <c r="B572" s="108" t="s">
        <v>939</v>
      </c>
      <c r="C572" s="109" t="s">
        <v>133</v>
      </c>
      <c r="D572" s="113" t="s">
        <v>162</v>
      </c>
      <c r="E572" s="93"/>
      <c r="F572" s="93"/>
      <c r="G572" s="93"/>
      <c r="H572" s="93"/>
      <c r="I572" s="94" t="str">
        <f t="shared" si="1"/>
        <v>43615060E</v>
      </c>
      <c r="J572" s="3"/>
      <c r="K572" s="3"/>
      <c r="L572" s="94" t="s">
        <v>948</v>
      </c>
      <c r="M572" s="110">
        <v>2.0</v>
      </c>
      <c r="N572" s="3"/>
      <c r="O572" s="108" t="s">
        <v>962</v>
      </c>
      <c r="P572" s="3"/>
      <c r="Q572" s="111" t="s">
        <v>942</v>
      </c>
      <c r="R572" s="3"/>
      <c r="S572" s="3"/>
      <c r="T572" s="3"/>
      <c r="U572" s="112">
        <v>1.0</v>
      </c>
      <c r="V572" s="3"/>
      <c r="W572" s="112" t="s">
        <v>160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97"/>
      <c r="BO572" s="3"/>
      <c r="BP572" s="3"/>
      <c r="BQ572" s="10"/>
    </row>
    <row r="573">
      <c r="A573" s="5">
        <v>5.0</v>
      </c>
      <c r="B573" s="108" t="s">
        <v>939</v>
      </c>
      <c r="C573" s="109" t="s">
        <v>133</v>
      </c>
      <c r="D573" s="113" t="s">
        <v>166</v>
      </c>
      <c r="E573" s="93"/>
      <c r="F573" s="93"/>
      <c r="G573" s="93"/>
      <c r="H573" s="93"/>
      <c r="I573" s="94" t="str">
        <f t="shared" si="1"/>
        <v>43615060F</v>
      </c>
      <c r="J573" s="3"/>
      <c r="K573" s="3"/>
      <c r="L573" s="94" t="s">
        <v>948</v>
      </c>
      <c r="M573" s="110">
        <v>2.0</v>
      </c>
      <c r="N573" s="3"/>
      <c r="O573" s="108" t="s">
        <v>963</v>
      </c>
      <c r="P573" s="3"/>
      <c r="Q573" s="111" t="s">
        <v>942</v>
      </c>
      <c r="R573" s="3"/>
      <c r="S573" s="3"/>
      <c r="T573" s="3"/>
      <c r="U573" s="112">
        <v>1.0</v>
      </c>
      <c r="V573" s="3"/>
      <c r="W573" s="112" t="s">
        <v>160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97"/>
      <c r="BO573" s="3"/>
      <c r="BP573" s="3"/>
      <c r="BQ573" s="10"/>
    </row>
    <row r="574">
      <c r="A574" s="5">
        <v>5.0</v>
      </c>
      <c r="B574" s="108" t="s">
        <v>939</v>
      </c>
      <c r="C574" s="109" t="s">
        <v>133</v>
      </c>
      <c r="D574" s="113" t="s">
        <v>170</v>
      </c>
      <c r="E574" s="93"/>
      <c r="F574" s="93"/>
      <c r="G574" s="93"/>
      <c r="H574" s="93"/>
      <c r="I574" s="94" t="str">
        <f t="shared" si="1"/>
        <v>43615060G</v>
      </c>
      <c r="J574" s="3"/>
      <c r="K574" s="3"/>
      <c r="L574" s="94" t="s">
        <v>948</v>
      </c>
      <c r="M574" s="110">
        <v>2.0</v>
      </c>
      <c r="N574" s="3"/>
      <c r="O574" s="108" t="s">
        <v>964</v>
      </c>
      <c r="P574" s="3"/>
      <c r="Q574" s="111" t="s">
        <v>942</v>
      </c>
      <c r="R574" s="3"/>
      <c r="S574" s="3"/>
      <c r="T574" s="3"/>
      <c r="U574" s="112">
        <v>1.0</v>
      </c>
      <c r="V574" s="3"/>
      <c r="W574" s="112" t="s">
        <v>160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97"/>
      <c r="BO574" s="3"/>
      <c r="BP574" s="3"/>
      <c r="BQ574" s="10"/>
    </row>
    <row r="575">
      <c r="A575" s="5">
        <v>5.0</v>
      </c>
      <c r="B575" s="108" t="s">
        <v>939</v>
      </c>
      <c r="C575" s="109" t="s">
        <v>133</v>
      </c>
      <c r="D575" s="113" t="s">
        <v>173</v>
      </c>
      <c r="E575" s="93"/>
      <c r="F575" s="93"/>
      <c r="G575" s="93"/>
      <c r="H575" s="93"/>
      <c r="I575" s="94" t="str">
        <f t="shared" si="1"/>
        <v>43615060H</v>
      </c>
      <c r="J575" s="3"/>
      <c r="K575" s="3"/>
      <c r="L575" s="94" t="s">
        <v>948</v>
      </c>
      <c r="M575" s="110">
        <v>2.0</v>
      </c>
      <c r="N575" s="3"/>
      <c r="O575" s="108" t="s">
        <v>965</v>
      </c>
      <c r="P575" s="3"/>
      <c r="Q575" s="111" t="s">
        <v>942</v>
      </c>
      <c r="R575" s="3"/>
      <c r="S575" s="3"/>
      <c r="T575" s="3"/>
      <c r="U575" s="112">
        <v>1.0</v>
      </c>
      <c r="V575" s="3"/>
      <c r="W575" s="112" t="s">
        <v>160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97"/>
      <c r="BO575" s="3"/>
      <c r="BP575" s="3"/>
      <c r="BQ575" s="10"/>
    </row>
    <row r="576">
      <c r="A576" s="5">
        <v>5.0</v>
      </c>
      <c r="B576" s="108" t="s">
        <v>939</v>
      </c>
      <c r="C576" s="109" t="s">
        <v>133</v>
      </c>
      <c r="D576" s="113" t="s">
        <v>179</v>
      </c>
      <c r="E576" s="93"/>
      <c r="F576" s="93"/>
      <c r="G576" s="93"/>
      <c r="H576" s="93"/>
      <c r="I576" s="94" t="str">
        <f t="shared" si="1"/>
        <v>43615060J</v>
      </c>
      <c r="J576" s="3"/>
      <c r="K576" s="3"/>
      <c r="L576" s="94" t="s">
        <v>948</v>
      </c>
      <c r="M576" s="110">
        <v>2.0</v>
      </c>
      <c r="N576" s="3"/>
      <c r="O576" s="108" t="s">
        <v>966</v>
      </c>
      <c r="P576" s="3"/>
      <c r="Q576" s="111" t="s">
        <v>942</v>
      </c>
      <c r="R576" s="3"/>
      <c r="S576" s="3"/>
      <c r="T576" s="3"/>
      <c r="U576" s="112">
        <v>1.0</v>
      </c>
      <c r="V576" s="3"/>
      <c r="W576" s="112" t="s">
        <v>160</v>
      </c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97"/>
      <c r="BO576" s="3"/>
      <c r="BP576" s="3"/>
      <c r="BQ576" s="10"/>
    </row>
    <row r="577">
      <c r="A577" s="5">
        <v>5.0</v>
      </c>
      <c r="B577" s="108" t="s">
        <v>939</v>
      </c>
      <c r="C577" s="109" t="s">
        <v>133</v>
      </c>
      <c r="D577" s="113" t="s">
        <v>183</v>
      </c>
      <c r="E577" s="93"/>
      <c r="F577" s="93"/>
      <c r="G577" s="93"/>
      <c r="H577" s="93"/>
      <c r="I577" s="94" t="str">
        <f t="shared" si="1"/>
        <v>43615060K</v>
      </c>
      <c r="J577" s="3"/>
      <c r="K577" s="3"/>
      <c r="L577" s="94" t="s">
        <v>948</v>
      </c>
      <c r="M577" s="110">
        <v>2.0</v>
      </c>
      <c r="N577" s="3"/>
      <c r="O577" s="108" t="s">
        <v>967</v>
      </c>
      <c r="P577" s="3"/>
      <c r="Q577" s="111" t="s">
        <v>942</v>
      </c>
      <c r="R577" s="3"/>
      <c r="S577" s="3"/>
      <c r="T577" s="3"/>
      <c r="U577" s="112">
        <v>1.0</v>
      </c>
      <c r="V577" s="3"/>
      <c r="W577" s="112" t="s">
        <v>160</v>
      </c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97"/>
      <c r="BO577" s="3"/>
      <c r="BP577" s="3"/>
      <c r="BQ577" s="10"/>
    </row>
    <row r="578">
      <c r="A578" s="5">
        <v>5.0</v>
      </c>
      <c r="B578" s="108" t="s">
        <v>939</v>
      </c>
      <c r="C578" s="109" t="s">
        <v>133</v>
      </c>
      <c r="D578" s="113" t="s">
        <v>187</v>
      </c>
      <c r="E578" s="93"/>
      <c r="F578" s="93"/>
      <c r="G578" s="93"/>
      <c r="H578" s="93"/>
      <c r="I578" s="94" t="str">
        <f t="shared" si="1"/>
        <v>43615060L</v>
      </c>
      <c r="J578" s="3"/>
      <c r="K578" s="3"/>
      <c r="L578" s="94" t="s">
        <v>948</v>
      </c>
      <c r="M578" s="110">
        <v>2.0</v>
      </c>
      <c r="N578" s="3"/>
      <c r="O578" s="108" t="s">
        <v>968</v>
      </c>
      <c r="P578" s="3"/>
      <c r="Q578" s="111" t="s">
        <v>942</v>
      </c>
      <c r="R578" s="3"/>
      <c r="S578" s="3"/>
      <c r="T578" s="3"/>
      <c r="U578" s="112">
        <v>1.0</v>
      </c>
      <c r="V578" s="3"/>
      <c r="W578" s="112" t="s">
        <v>160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97"/>
      <c r="BO578" s="3"/>
      <c r="BP578" s="3"/>
      <c r="BQ578" s="10"/>
    </row>
    <row r="579">
      <c r="A579" s="5">
        <v>5.0</v>
      </c>
      <c r="B579" s="108" t="s">
        <v>939</v>
      </c>
      <c r="C579" s="109" t="s">
        <v>133</v>
      </c>
      <c r="D579" s="113" t="s">
        <v>191</v>
      </c>
      <c r="E579" s="93"/>
      <c r="F579" s="93"/>
      <c r="G579" s="93"/>
      <c r="H579" s="93"/>
      <c r="I579" s="94" t="str">
        <f t="shared" si="1"/>
        <v>43615060M</v>
      </c>
      <c r="J579" s="3"/>
      <c r="K579" s="3"/>
      <c r="L579" s="94" t="s">
        <v>948</v>
      </c>
      <c r="M579" s="110">
        <v>2.0</v>
      </c>
      <c r="N579" s="3"/>
      <c r="O579" s="108" t="s">
        <v>969</v>
      </c>
      <c r="P579" s="3"/>
      <c r="Q579" s="111" t="s">
        <v>942</v>
      </c>
      <c r="R579" s="3"/>
      <c r="S579" s="3"/>
      <c r="T579" s="3"/>
      <c r="U579" s="112">
        <v>1.0</v>
      </c>
      <c r="V579" s="3"/>
      <c r="W579" s="112" t="s">
        <v>160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97"/>
      <c r="BO579" s="3"/>
      <c r="BP579" s="3"/>
      <c r="BQ579" s="10"/>
    </row>
    <row r="580">
      <c r="A580" s="5">
        <v>5.0</v>
      </c>
      <c r="B580" s="108" t="s">
        <v>939</v>
      </c>
      <c r="C580" s="109" t="s">
        <v>133</v>
      </c>
      <c r="D580" s="113" t="s">
        <v>193</v>
      </c>
      <c r="E580" s="93"/>
      <c r="F580" s="93"/>
      <c r="G580" s="93"/>
      <c r="H580" s="93"/>
      <c r="I580" s="94" t="str">
        <f t="shared" si="1"/>
        <v>43615060N</v>
      </c>
      <c r="J580" s="3"/>
      <c r="K580" s="3"/>
      <c r="L580" s="94" t="s">
        <v>948</v>
      </c>
      <c r="M580" s="110">
        <v>2.0</v>
      </c>
      <c r="N580" s="3"/>
      <c r="O580" s="108" t="s">
        <v>970</v>
      </c>
      <c r="P580" s="3"/>
      <c r="Q580" s="111" t="s">
        <v>942</v>
      </c>
      <c r="R580" s="3"/>
      <c r="S580" s="3"/>
      <c r="T580" s="3"/>
      <c r="U580" s="112">
        <v>1.0</v>
      </c>
      <c r="V580" s="3"/>
      <c r="W580" s="112" t="s">
        <v>160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97"/>
      <c r="BO580" s="3"/>
      <c r="BP580" s="3"/>
      <c r="BQ580" s="10"/>
    </row>
    <row r="581">
      <c r="A581" s="5">
        <v>5.0</v>
      </c>
      <c r="B581" s="108" t="s">
        <v>939</v>
      </c>
      <c r="C581" s="109" t="s">
        <v>133</v>
      </c>
      <c r="D581" s="113" t="s">
        <v>198</v>
      </c>
      <c r="E581" s="93"/>
      <c r="F581" s="93"/>
      <c r="G581" s="93"/>
      <c r="H581" s="93"/>
      <c r="I581" s="94" t="str">
        <f t="shared" si="1"/>
        <v>43615060P</v>
      </c>
      <c r="J581" s="3"/>
      <c r="K581" s="3"/>
      <c r="L581" s="94" t="s">
        <v>948</v>
      </c>
      <c r="M581" s="110">
        <v>2.0</v>
      </c>
      <c r="N581" s="3"/>
      <c r="O581" s="108" t="s">
        <v>971</v>
      </c>
      <c r="P581" s="3"/>
      <c r="Q581" s="111" t="s">
        <v>942</v>
      </c>
      <c r="R581" s="3"/>
      <c r="S581" s="3"/>
      <c r="T581" s="3"/>
      <c r="U581" s="112">
        <v>1.0</v>
      </c>
      <c r="V581" s="3"/>
      <c r="W581" s="112" t="s">
        <v>160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97"/>
      <c r="BO581" s="3"/>
      <c r="BP581" s="3"/>
      <c r="BQ581" s="10"/>
    </row>
    <row r="582">
      <c r="A582" s="5">
        <v>5.0</v>
      </c>
      <c r="B582" s="108" t="s">
        <v>939</v>
      </c>
      <c r="C582" s="109" t="s">
        <v>133</v>
      </c>
      <c r="D582" s="113" t="s">
        <v>200</v>
      </c>
      <c r="E582" s="93"/>
      <c r="F582" s="93"/>
      <c r="G582" s="93"/>
      <c r="H582" s="93"/>
      <c r="I582" s="94" t="str">
        <f t="shared" si="1"/>
        <v>43615060Q</v>
      </c>
      <c r="J582" s="3"/>
      <c r="K582" s="3"/>
      <c r="L582" s="94" t="s">
        <v>948</v>
      </c>
      <c r="M582" s="110">
        <v>2.0</v>
      </c>
      <c r="N582" s="3"/>
      <c r="O582" s="108" t="s">
        <v>972</v>
      </c>
      <c r="P582" s="3"/>
      <c r="Q582" s="111" t="s">
        <v>942</v>
      </c>
      <c r="R582" s="3"/>
      <c r="S582" s="3"/>
      <c r="T582" s="3"/>
      <c r="U582" s="112">
        <v>1.0</v>
      </c>
      <c r="V582" s="3"/>
      <c r="W582" s="112" t="s">
        <v>160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97"/>
      <c r="BO582" s="3"/>
      <c r="BP582" s="3"/>
      <c r="BQ582" s="10"/>
    </row>
    <row r="583">
      <c r="A583" s="5">
        <v>5.0</v>
      </c>
      <c r="B583" s="108" t="s">
        <v>939</v>
      </c>
      <c r="C583" s="109" t="s">
        <v>133</v>
      </c>
      <c r="D583" s="113" t="s">
        <v>202</v>
      </c>
      <c r="E583" s="93"/>
      <c r="F583" s="93"/>
      <c r="G583" s="93"/>
      <c r="H583" s="93"/>
      <c r="I583" s="94" t="str">
        <f t="shared" si="1"/>
        <v>43615060R</v>
      </c>
      <c r="J583" s="3"/>
      <c r="K583" s="3"/>
      <c r="L583" s="94" t="s">
        <v>948</v>
      </c>
      <c r="M583" s="110">
        <v>2.0</v>
      </c>
      <c r="N583" s="3"/>
      <c r="O583" s="108" t="s">
        <v>973</v>
      </c>
      <c r="P583" s="3"/>
      <c r="Q583" s="111" t="s">
        <v>942</v>
      </c>
      <c r="R583" s="3"/>
      <c r="S583" s="3"/>
      <c r="T583" s="3"/>
      <c r="U583" s="112">
        <v>1.0</v>
      </c>
      <c r="V583" s="3"/>
      <c r="W583" s="112" t="s">
        <v>160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97"/>
      <c r="BO583" s="3"/>
      <c r="BP583" s="3"/>
      <c r="BQ583" s="10"/>
    </row>
    <row r="584">
      <c r="A584" s="5">
        <v>5.0</v>
      </c>
      <c r="B584" s="108" t="s">
        <v>939</v>
      </c>
      <c r="C584" s="109" t="s">
        <v>133</v>
      </c>
      <c r="D584" s="113" t="s">
        <v>206</v>
      </c>
      <c r="E584" s="93"/>
      <c r="F584" s="93"/>
      <c r="G584" s="93"/>
      <c r="H584" s="93"/>
      <c r="I584" s="94" t="str">
        <f t="shared" si="1"/>
        <v>43615060S</v>
      </c>
      <c r="J584" s="3"/>
      <c r="K584" s="3"/>
      <c r="L584" s="94" t="s">
        <v>948</v>
      </c>
      <c r="M584" s="110">
        <v>2.0</v>
      </c>
      <c r="N584" s="3"/>
      <c r="O584" s="108" t="s">
        <v>974</v>
      </c>
      <c r="P584" s="3"/>
      <c r="Q584" s="111" t="s">
        <v>942</v>
      </c>
      <c r="R584" s="3"/>
      <c r="S584" s="3"/>
      <c r="T584" s="3"/>
      <c r="U584" s="112">
        <v>1.0</v>
      </c>
      <c r="V584" s="3"/>
      <c r="W584" s="112" t="s">
        <v>160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97"/>
      <c r="BO584" s="3"/>
      <c r="BP584" s="3"/>
      <c r="BQ584" s="10"/>
    </row>
    <row r="585">
      <c r="A585" s="5">
        <v>5.0</v>
      </c>
      <c r="B585" s="108" t="s">
        <v>939</v>
      </c>
      <c r="C585" s="109" t="s">
        <v>133</v>
      </c>
      <c r="D585" s="113" t="s">
        <v>211</v>
      </c>
      <c r="E585" s="93"/>
      <c r="F585" s="93"/>
      <c r="G585" s="93"/>
      <c r="H585" s="93"/>
      <c r="I585" s="94" t="str">
        <f t="shared" si="1"/>
        <v>43615060T</v>
      </c>
      <c r="J585" s="3"/>
      <c r="K585" s="3"/>
      <c r="L585" s="94" t="s">
        <v>948</v>
      </c>
      <c r="M585" s="110">
        <v>2.0</v>
      </c>
      <c r="N585" s="3"/>
      <c r="O585" s="108" t="s">
        <v>975</v>
      </c>
      <c r="P585" s="3"/>
      <c r="Q585" s="111" t="s">
        <v>942</v>
      </c>
      <c r="R585" s="3"/>
      <c r="S585" s="3"/>
      <c r="T585" s="3"/>
      <c r="U585" s="112">
        <v>1.0</v>
      </c>
      <c r="V585" s="3"/>
      <c r="W585" s="112" t="s">
        <v>160</v>
      </c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97"/>
      <c r="BO585" s="3"/>
      <c r="BP585" s="3"/>
      <c r="BQ585" s="10"/>
    </row>
    <row r="586">
      <c r="A586" s="5">
        <v>5.0</v>
      </c>
      <c r="B586" s="108" t="s">
        <v>939</v>
      </c>
      <c r="C586" s="109" t="s">
        <v>133</v>
      </c>
      <c r="D586" s="113" t="s">
        <v>215</v>
      </c>
      <c r="E586" s="93"/>
      <c r="F586" s="93"/>
      <c r="G586" s="93"/>
      <c r="H586" s="93"/>
      <c r="I586" s="94" t="str">
        <f t="shared" si="1"/>
        <v>43615060U</v>
      </c>
      <c r="J586" s="3"/>
      <c r="K586" s="3"/>
      <c r="L586" s="94" t="s">
        <v>948</v>
      </c>
      <c r="M586" s="110">
        <v>2.0</v>
      </c>
      <c r="N586" s="3"/>
      <c r="O586" s="108" t="s">
        <v>976</v>
      </c>
      <c r="P586" s="3"/>
      <c r="Q586" s="111" t="s">
        <v>942</v>
      </c>
      <c r="R586" s="3"/>
      <c r="S586" s="3"/>
      <c r="T586" s="3"/>
      <c r="U586" s="112">
        <v>1.0</v>
      </c>
      <c r="V586" s="3"/>
      <c r="W586" s="112" t="s">
        <v>160</v>
      </c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97"/>
      <c r="BO586" s="3"/>
      <c r="BP586" s="3"/>
      <c r="BQ586" s="10"/>
    </row>
    <row r="587">
      <c r="A587" s="5">
        <v>5.0</v>
      </c>
      <c r="B587" s="108" t="s">
        <v>939</v>
      </c>
      <c r="C587" s="109" t="s">
        <v>133</v>
      </c>
      <c r="D587" s="113" t="s">
        <v>581</v>
      </c>
      <c r="E587" s="93"/>
      <c r="F587" s="93"/>
      <c r="G587" s="93"/>
      <c r="H587" s="93"/>
      <c r="I587" s="94" t="str">
        <f t="shared" si="1"/>
        <v>43615060V</v>
      </c>
      <c r="J587" s="3"/>
      <c r="K587" s="3"/>
      <c r="L587" s="94" t="s">
        <v>948</v>
      </c>
      <c r="M587" s="110">
        <v>2.0</v>
      </c>
      <c r="N587" s="3"/>
      <c r="O587" s="108" t="s">
        <v>977</v>
      </c>
      <c r="P587" s="3"/>
      <c r="Q587" s="111" t="s">
        <v>942</v>
      </c>
      <c r="R587" s="3"/>
      <c r="S587" s="3"/>
      <c r="T587" s="3"/>
      <c r="U587" s="112">
        <v>1.0</v>
      </c>
      <c r="V587" s="3"/>
      <c r="W587" s="112" t="s">
        <v>160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97"/>
      <c r="BO587" s="3"/>
      <c r="BP587" s="3"/>
      <c r="BQ587" s="10"/>
    </row>
    <row r="588">
      <c r="A588" s="5">
        <v>5.0</v>
      </c>
      <c r="B588" s="108" t="s">
        <v>939</v>
      </c>
      <c r="C588" s="109" t="s">
        <v>133</v>
      </c>
      <c r="D588" s="113" t="s">
        <v>583</v>
      </c>
      <c r="E588" s="93"/>
      <c r="F588" s="93"/>
      <c r="G588" s="93"/>
      <c r="H588" s="93"/>
      <c r="I588" s="94" t="str">
        <f t="shared" si="1"/>
        <v>43615060W</v>
      </c>
      <c r="J588" s="3"/>
      <c r="K588" s="3"/>
      <c r="L588" s="94" t="s">
        <v>948</v>
      </c>
      <c r="M588" s="110">
        <v>2.0</v>
      </c>
      <c r="N588" s="3"/>
      <c r="O588" s="108" t="s">
        <v>978</v>
      </c>
      <c r="P588" s="3"/>
      <c r="Q588" s="111" t="s">
        <v>942</v>
      </c>
      <c r="R588" s="3"/>
      <c r="S588" s="3"/>
      <c r="T588" s="3"/>
      <c r="U588" s="112">
        <v>1.0</v>
      </c>
      <c r="V588" s="3"/>
      <c r="W588" s="112" t="s">
        <v>160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97"/>
      <c r="BO588" s="3"/>
      <c r="BP588" s="3"/>
      <c r="BQ588" s="10"/>
    </row>
    <row r="589">
      <c r="A589" s="5">
        <v>5.0</v>
      </c>
      <c r="B589" s="108" t="s">
        <v>939</v>
      </c>
      <c r="C589" s="109" t="s">
        <v>133</v>
      </c>
      <c r="D589" s="113" t="s">
        <v>585</v>
      </c>
      <c r="E589" s="93"/>
      <c r="F589" s="93"/>
      <c r="G589" s="93"/>
      <c r="H589" s="93"/>
      <c r="I589" s="94" t="str">
        <f t="shared" si="1"/>
        <v>43615060X</v>
      </c>
      <c r="J589" s="3"/>
      <c r="K589" s="3"/>
      <c r="L589" s="94" t="s">
        <v>948</v>
      </c>
      <c r="M589" s="110">
        <v>2.0</v>
      </c>
      <c r="N589" s="3"/>
      <c r="O589" s="108" t="s">
        <v>979</v>
      </c>
      <c r="P589" s="3"/>
      <c r="Q589" s="111" t="s">
        <v>942</v>
      </c>
      <c r="R589" s="3"/>
      <c r="S589" s="3"/>
      <c r="T589" s="3"/>
      <c r="U589" s="112">
        <v>1.0</v>
      </c>
      <c r="V589" s="3"/>
      <c r="W589" s="112" t="s">
        <v>160</v>
      </c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97"/>
      <c r="BO589" s="3"/>
      <c r="BP589" s="3"/>
      <c r="BQ589" s="10"/>
    </row>
    <row r="590">
      <c r="A590" s="5">
        <v>5.0</v>
      </c>
      <c r="B590" s="108" t="s">
        <v>939</v>
      </c>
      <c r="C590" s="109" t="s">
        <v>133</v>
      </c>
      <c r="D590" s="113" t="s">
        <v>587</v>
      </c>
      <c r="E590" s="93"/>
      <c r="F590" s="93"/>
      <c r="G590" s="93"/>
      <c r="H590" s="93"/>
      <c r="I590" s="94" t="str">
        <f t="shared" si="1"/>
        <v>43615060Y</v>
      </c>
      <c r="J590" s="3"/>
      <c r="K590" s="3"/>
      <c r="L590" s="94" t="s">
        <v>948</v>
      </c>
      <c r="M590" s="110">
        <v>2.0</v>
      </c>
      <c r="N590" s="3"/>
      <c r="O590" s="108" t="s">
        <v>980</v>
      </c>
      <c r="P590" s="3"/>
      <c r="Q590" s="111" t="s">
        <v>942</v>
      </c>
      <c r="R590" s="3"/>
      <c r="S590" s="3"/>
      <c r="T590" s="3"/>
      <c r="U590" s="112">
        <v>1.0</v>
      </c>
      <c r="V590" s="3"/>
      <c r="W590" s="112" t="s">
        <v>160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97"/>
      <c r="BO590" s="3"/>
      <c r="BP590" s="3"/>
      <c r="BQ590" s="10"/>
    </row>
    <row r="591">
      <c r="A591" s="5">
        <v>5.0</v>
      </c>
      <c r="B591" s="108" t="s">
        <v>939</v>
      </c>
      <c r="C591" s="109" t="s">
        <v>133</v>
      </c>
      <c r="D591" s="113" t="s">
        <v>589</v>
      </c>
      <c r="E591" s="93"/>
      <c r="F591" s="93"/>
      <c r="G591" s="93"/>
      <c r="H591" s="93"/>
      <c r="I591" s="94" t="str">
        <f t="shared" si="1"/>
        <v>43615060Z</v>
      </c>
      <c r="J591" s="3"/>
      <c r="K591" s="3"/>
      <c r="L591" s="94" t="s">
        <v>948</v>
      </c>
      <c r="M591" s="110">
        <v>2.0</v>
      </c>
      <c r="N591" s="3"/>
      <c r="O591" s="108" t="s">
        <v>981</v>
      </c>
      <c r="P591" s="3"/>
      <c r="Q591" s="111" t="s">
        <v>942</v>
      </c>
      <c r="R591" s="3"/>
      <c r="S591" s="3"/>
      <c r="T591" s="3"/>
      <c r="U591" s="112">
        <v>1.0</v>
      </c>
      <c r="V591" s="3"/>
      <c r="W591" s="112" t="s">
        <v>160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97"/>
      <c r="BO591" s="3"/>
      <c r="BP591" s="3"/>
      <c r="BQ591" s="10"/>
    </row>
    <row r="592">
      <c r="A592" s="5">
        <v>5.0</v>
      </c>
      <c r="B592" s="108" t="s">
        <v>939</v>
      </c>
      <c r="C592" s="109" t="s">
        <v>133</v>
      </c>
      <c r="D592" s="113" t="s">
        <v>591</v>
      </c>
      <c r="E592" s="93"/>
      <c r="F592" s="93"/>
      <c r="G592" s="93"/>
      <c r="H592" s="93"/>
      <c r="I592" s="94" t="str">
        <f t="shared" si="1"/>
        <v>436150610</v>
      </c>
      <c r="J592" s="3"/>
      <c r="K592" s="3"/>
      <c r="L592" s="94" t="s">
        <v>948</v>
      </c>
      <c r="M592" s="110">
        <v>2.0</v>
      </c>
      <c r="N592" s="3"/>
      <c r="O592" s="108" t="s">
        <v>982</v>
      </c>
      <c r="P592" s="3"/>
      <c r="Q592" s="111" t="s">
        <v>942</v>
      </c>
      <c r="R592" s="3"/>
      <c r="S592" s="3"/>
      <c r="T592" s="3"/>
      <c r="U592" s="112">
        <v>1.0</v>
      </c>
      <c r="V592" s="3"/>
      <c r="W592" s="112" t="s">
        <v>160</v>
      </c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97"/>
      <c r="BO592" s="3"/>
      <c r="BP592" s="3"/>
      <c r="BQ592" s="10"/>
    </row>
    <row r="593">
      <c r="A593" s="5">
        <v>5.0</v>
      </c>
      <c r="B593" s="108" t="s">
        <v>939</v>
      </c>
      <c r="C593" s="109" t="s">
        <v>133</v>
      </c>
      <c r="D593" s="113" t="s">
        <v>593</v>
      </c>
      <c r="E593" s="93"/>
      <c r="F593" s="93"/>
      <c r="G593" s="93"/>
      <c r="H593" s="93"/>
      <c r="I593" s="94" t="str">
        <f t="shared" si="1"/>
        <v>436150611</v>
      </c>
      <c r="J593" s="3"/>
      <c r="K593" s="3"/>
      <c r="L593" s="94" t="s">
        <v>983</v>
      </c>
      <c r="M593" s="110">
        <v>2.0</v>
      </c>
      <c r="N593" s="3"/>
      <c r="O593" s="108" t="s">
        <v>984</v>
      </c>
      <c r="P593" s="3"/>
      <c r="Q593" s="111" t="s">
        <v>942</v>
      </c>
      <c r="R593" s="3"/>
      <c r="S593" s="3"/>
      <c r="T593" s="3"/>
      <c r="U593" s="112">
        <v>1.0</v>
      </c>
      <c r="V593" s="3"/>
      <c r="W593" s="112" t="s">
        <v>160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97"/>
      <c r="BO593" s="3"/>
      <c r="BP593" s="3"/>
      <c r="BQ593" s="10"/>
    </row>
    <row r="594">
      <c r="A594" s="5">
        <v>5.0</v>
      </c>
      <c r="B594" s="108" t="s">
        <v>939</v>
      </c>
      <c r="C594" s="109" t="s">
        <v>133</v>
      </c>
      <c r="D594" s="113" t="s">
        <v>595</v>
      </c>
      <c r="E594" s="93"/>
      <c r="F594" s="93"/>
      <c r="G594" s="93"/>
      <c r="H594" s="93"/>
      <c r="I594" s="94" t="str">
        <f t="shared" si="1"/>
        <v>436150612</v>
      </c>
      <c r="J594" s="3"/>
      <c r="K594" s="3"/>
      <c r="L594" s="94" t="s">
        <v>983</v>
      </c>
      <c r="M594" s="110">
        <v>2.0</v>
      </c>
      <c r="N594" s="3"/>
      <c r="O594" s="108" t="s">
        <v>985</v>
      </c>
      <c r="P594" s="3"/>
      <c r="Q594" s="111" t="s">
        <v>942</v>
      </c>
      <c r="R594" s="3"/>
      <c r="S594" s="3"/>
      <c r="T594" s="3"/>
      <c r="U594" s="112">
        <v>1.0</v>
      </c>
      <c r="V594" s="3"/>
      <c r="W594" s="112" t="s">
        <v>160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97"/>
      <c r="BO594" s="3"/>
      <c r="BP594" s="3"/>
      <c r="BQ594" s="10"/>
    </row>
    <row r="595">
      <c r="A595" s="5">
        <v>5.0</v>
      </c>
      <c r="B595" s="108" t="s">
        <v>939</v>
      </c>
      <c r="C595" s="109" t="s">
        <v>133</v>
      </c>
      <c r="D595" s="113" t="s">
        <v>597</v>
      </c>
      <c r="E595" s="93"/>
      <c r="F595" s="93"/>
      <c r="G595" s="93"/>
      <c r="H595" s="93"/>
      <c r="I595" s="94" t="str">
        <f t="shared" si="1"/>
        <v>436150613</v>
      </c>
      <c r="J595" s="3"/>
      <c r="K595" s="3"/>
      <c r="L595" s="94" t="s">
        <v>983</v>
      </c>
      <c r="M595" s="110">
        <v>2.0</v>
      </c>
      <c r="N595" s="3"/>
      <c r="O595" s="108" t="s">
        <v>986</v>
      </c>
      <c r="P595" s="3"/>
      <c r="Q595" s="111" t="s">
        <v>942</v>
      </c>
      <c r="R595" s="3"/>
      <c r="S595" s="3"/>
      <c r="T595" s="3"/>
      <c r="U595" s="112">
        <v>1.0</v>
      </c>
      <c r="V595" s="3"/>
      <c r="W595" s="112" t="s">
        <v>160</v>
      </c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97"/>
      <c r="BO595" s="3"/>
      <c r="BP595" s="3"/>
      <c r="BQ595" s="10"/>
    </row>
    <row r="596">
      <c r="A596" s="5">
        <v>5.0</v>
      </c>
      <c r="B596" s="108" t="s">
        <v>939</v>
      </c>
      <c r="C596" s="109" t="s">
        <v>133</v>
      </c>
      <c r="D596" s="113" t="s">
        <v>599</v>
      </c>
      <c r="E596" s="93"/>
      <c r="F596" s="93"/>
      <c r="G596" s="93"/>
      <c r="H596" s="93"/>
      <c r="I596" s="94" t="str">
        <f t="shared" si="1"/>
        <v>436150614</v>
      </c>
      <c r="J596" s="3"/>
      <c r="K596" s="3"/>
      <c r="L596" s="94" t="s">
        <v>983</v>
      </c>
      <c r="M596" s="110">
        <v>2.0</v>
      </c>
      <c r="N596" s="3"/>
      <c r="O596" s="108" t="s">
        <v>987</v>
      </c>
      <c r="P596" s="3"/>
      <c r="Q596" s="111" t="s">
        <v>942</v>
      </c>
      <c r="R596" s="3"/>
      <c r="S596" s="3"/>
      <c r="T596" s="3"/>
      <c r="U596" s="112">
        <v>1.0</v>
      </c>
      <c r="V596" s="3"/>
      <c r="W596" s="112" t="s">
        <v>160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97"/>
      <c r="BO596" s="3"/>
      <c r="BP596" s="3"/>
      <c r="BQ596" s="10"/>
    </row>
    <row r="597">
      <c r="A597" s="45">
        <v>3.0</v>
      </c>
      <c r="B597" s="46" t="s">
        <v>988</v>
      </c>
      <c r="C597" s="47"/>
      <c r="D597" s="47"/>
      <c r="E597" s="47"/>
      <c r="F597" s="47"/>
      <c r="G597" s="47"/>
      <c r="H597" s="47"/>
      <c r="I597" s="48" t="str">
        <f t="shared" si="1"/>
        <v>43616</v>
      </c>
      <c r="J597" s="49"/>
      <c r="K597" s="49"/>
      <c r="L597" s="48" t="s">
        <v>989</v>
      </c>
      <c r="M597" s="50">
        <v>1.0</v>
      </c>
      <c r="N597" s="51"/>
      <c r="O597" s="47"/>
      <c r="P597" s="51"/>
      <c r="Q597" s="51"/>
      <c r="R597" s="51"/>
      <c r="S597" s="51"/>
      <c r="T597" s="49"/>
      <c r="U597" s="52">
        <v>1.0</v>
      </c>
      <c r="V597" s="49"/>
      <c r="W597" s="52" t="s">
        <v>70</v>
      </c>
      <c r="X597" s="49"/>
      <c r="Y597" s="49"/>
      <c r="Z597" s="49"/>
      <c r="AA597" s="107" t="s">
        <v>79</v>
      </c>
      <c r="AB597" s="107" t="s">
        <v>79</v>
      </c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52" t="s">
        <v>80</v>
      </c>
      <c r="AQ597" s="51"/>
      <c r="AR597" s="51"/>
      <c r="AS597" s="51"/>
      <c r="AT597" s="51"/>
      <c r="AU597" s="51"/>
      <c r="AV597" s="49"/>
      <c r="AW597" s="49"/>
      <c r="AX597" s="49"/>
      <c r="AY597" s="49"/>
      <c r="AZ597" s="49"/>
      <c r="BA597" s="49"/>
      <c r="BB597" s="49"/>
      <c r="BC597" s="49"/>
      <c r="BD597" s="49"/>
      <c r="BE597" s="49"/>
      <c r="BF597" s="49"/>
      <c r="BG597" s="49"/>
      <c r="BH597" s="51"/>
      <c r="BI597" s="51"/>
      <c r="BJ597" s="51"/>
      <c r="BK597" s="51"/>
      <c r="BL597" s="51"/>
      <c r="BM597" s="49"/>
      <c r="BN597" s="53"/>
      <c r="BO597" s="49"/>
      <c r="BP597" s="51"/>
      <c r="BQ597" s="10"/>
    </row>
    <row r="598">
      <c r="A598" s="1">
        <v>4.0</v>
      </c>
      <c r="B598" s="2" t="s">
        <v>988</v>
      </c>
      <c r="C598" s="2" t="s">
        <v>76</v>
      </c>
      <c r="D598" s="93"/>
      <c r="E598" s="93"/>
      <c r="F598" s="93"/>
      <c r="G598" s="93"/>
      <c r="H598" s="93"/>
      <c r="I598" s="3" t="str">
        <f t="shared" si="1"/>
        <v>4361601</v>
      </c>
      <c r="J598" s="3"/>
      <c r="K598" s="3"/>
      <c r="L598" s="94" t="s">
        <v>990</v>
      </c>
      <c r="M598" s="4">
        <v>2.0</v>
      </c>
      <c r="N598" s="3"/>
      <c r="O598" s="93"/>
      <c r="P598" s="3"/>
      <c r="Q598" s="3"/>
      <c r="R598" s="3"/>
      <c r="S598" s="3"/>
      <c r="T598" s="3"/>
      <c r="U598" s="6" t="s">
        <v>79</v>
      </c>
      <c r="V598" s="3"/>
      <c r="W598" s="6" t="s">
        <v>160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97"/>
      <c r="BO598" s="3"/>
      <c r="BP598" s="3"/>
      <c r="BQ598" s="10"/>
    </row>
    <row r="599">
      <c r="A599" s="1">
        <v>4.0</v>
      </c>
      <c r="B599" s="2" t="s">
        <v>988</v>
      </c>
      <c r="C599" s="2" t="s">
        <v>119</v>
      </c>
      <c r="D599" s="93"/>
      <c r="E599" s="93"/>
      <c r="F599" s="93"/>
      <c r="G599" s="93"/>
      <c r="H599" s="93"/>
      <c r="I599" s="3" t="str">
        <f t="shared" si="1"/>
        <v>4361602</v>
      </c>
      <c r="J599" s="3"/>
      <c r="K599" s="3"/>
      <c r="L599" s="94" t="s">
        <v>991</v>
      </c>
      <c r="M599" s="4">
        <v>2.0</v>
      </c>
      <c r="N599" s="3"/>
      <c r="O599" s="93"/>
      <c r="P599" s="3"/>
      <c r="Q599" s="3"/>
      <c r="R599" s="3"/>
      <c r="S599" s="3"/>
      <c r="T599" s="3"/>
      <c r="U599" s="6" t="s">
        <v>79</v>
      </c>
      <c r="V599" s="3"/>
      <c r="W599" s="6" t="s">
        <v>160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97"/>
      <c r="BO599" s="3"/>
      <c r="BP599" s="3"/>
      <c r="BQ599" s="10"/>
    </row>
    <row r="600">
      <c r="A600" s="1">
        <v>4.0</v>
      </c>
      <c r="B600" s="2" t="s">
        <v>988</v>
      </c>
      <c r="C600" s="2" t="s">
        <v>124</v>
      </c>
      <c r="D600" s="93"/>
      <c r="E600" s="93"/>
      <c r="F600" s="93"/>
      <c r="G600" s="93"/>
      <c r="H600" s="93"/>
      <c r="I600" s="3" t="str">
        <f t="shared" si="1"/>
        <v>4361603</v>
      </c>
      <c r="J600" s="3"/>
      <c r="K600" s="3"/>
      <c r="L600" s="94" t="s">
        <v>992</v>
      </c>
      <c r="M600" s="4">
        <v>2.0</v>
      </c>
      <c r="N600" s="3"/>
      <c r="O600" s="93"/>
      <c r="P600" s="3"/>
      <c r="Q600" s="3"/>
      <c r="R600" s="3"/>
      <c r="S600" s="3"/>
      <c r="T600" s="3"/>
      <c r="U600" s="6" t="s">
        <v>79</v>
      </c>
      <c r="V600" s="3"/>
      <c r="W600" s="6" t="s">
        <v>160</v>
      </c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97"/>
      <c r="BO600" s="3"/>
      <c r="BP600" s="3"/>
      <c r="BQ600" s="10"/>
    </row>
    <row r="601">
      <c r="A601" s="45">
        <v>3.0</v>
      </c>
      <c r="B601" s="46" t="s">
        <v>993</v>
      </c>
      <c r="C601" s="47"/>
      <c r="D601" s="47"/>
      <c r="E601" s="47"/>
      <c r="F601" s="47"/>
      <c r="G601" s="47"/>
      <c r="H601" s="47"/>
      <c r="I601" s="48" t="str">
        <f t="shared" si="1"/>
        <v>43617</v>
      </c>
      <c r="J601" s="49"/>
      <c r="K601" s="49"/>
      <c r="L601" s="48" t="s">
        <v>994</v>
      </c>
      <c r="M601" s="50">
        <v>1.0</v>
      </c>
      <c r="N601" s="51"/>
      <c r="O601" s="47"/>
      <c r="P601" s="51"/>
      <c r="Q601" s="51"/>
      <c r="R601" s="51"/>
      <c r="S601" s="51"/>
      <c r="T601" s="49"/>
      <c r="U601" s="52">
        <v>1.0</v>
      </c>
      <c r="V601" s="49"/>
      <c r="W601" s="52" t="s">
        <v>70</v>
      </c>
      <c r="X601" s="49"/>
      <c r="Y601" s="49"/>
      <c r="Z601" s="49"/>
      <c r="AA601" s="107" t="s">
        <v>79</v>
      </c>
      <c r="AB601" s="107" t="s">
        <v>79</v>
      </c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52" t="s">
        <v>80</v>
      </c>
      <c r="AQ601" s="51"/>
      <c r="AR601" s="51"/>
      <c r="AS601" s="51"/>
      <c r="AT601" s="51"/>
      <c r="AU601" s="51"/>
      <c r="AV601" s="49"/>
      <c r="AW601" s="49"/>
      <c r="AX601" s="49"/>
      <c r="AY601" s="49"/>
      <c r="AZ601" s="49"/>
      <c r="BA601" s="49"/>
      <c r="BB601" s="49"/>
      <c r="BC601" s="49"/>
      <c r="BD601" s="49"/>
      <c r="BE601" s="49"/>
      <c r="BF601" s="49"/>
      <c r="BG601" s="49"/>
      <c r="BH601" s="51"/>
      <c r="BI601" s="51"/>
      <c r="BJ601" s="51"/>
      <c r="BK601" s="51"/>
      <c r="BL601" s="51"/>
      <c r="BM601" s="49"/>
      <c r="BN601" s="53"/>
      <c r="BO601" s="49"/>
      <c r="BP601" s="51"/>
      <c r="BQ601" s="10"/>
    </row>
    <row r="602">
      <c r="A602" s="45">
        <v>3.0</v>
      </c>
      <c r="B602" s="46" t="s">
        <v>995</v>
      </c>
      <c r="C602" s="47"/>
      <c r="D602" s="47"/>
      <c r="E602" s="47"/>
      <c r="F602" s="47"/>
      <c r="G602" s="47"/>
      <c r="H602" s="47"/>
      <c r="I602" s="48" t="str">
        <f t="shared" si="1"/>
        <v>43618</v>
      </c>
      <c r="J602" s="49"/>
      <c r="K602" s="49"/>
      <c r="L602" s="48" t="s">
        <v>996</v>
      </c>
      <c r="M602" s="50">
        <v>1.0</v>
      </c>
      <c r="N602" s="51"/>
      <c r="O602" s="47"/>
      <c r="P602" s="51"/>
      <c r="Q602" s="51"/>
      <c r="R602" s="51"/>
      <c r="S602" s="51"/>
      <c r="T602" s="49"/>
      <c r="U602" s="52">
        <v>1.0</v>
      </c>
      <c r="V602" s="49"/>
      <c r="W602" s="52" t="s">
        <v>70</v>
      </c>
      <c r="X602" s="49"/>
      <c r="Y602" s="49"/>
      <c r="Z602" s="49"/>
      <c r="AA602" s="107" t="s">
        <v>79</v>
      </c>
      <c r="AB602" s="107" t="s">
        <v>79</v>
      </c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52" t="s">
        <v>80</v>
      </c>
      <c r="AQ602" s="51"/>
      <c r="AR602" s="51"/>
      <c r="AS602" s="51"/>
      <c r="AT602" s="51"/>
      <c r="AU602" s="51"/>
      <c r="AV602" s="49"/>
      <c r="AW602" s="49"/>
      <c r="AX602" s="49"/>
      <c r="AY602" s="49"/>
      <c r="AZ602" s="49"/>
      <c r="BA602" s="49"/>
      <c r="BB602" s="49"/>
      <c r="BC602" s="49"/>
      <c r="BD602" s="49"/>
      <c r="BE602" s="49"/>
      <c r="BF602" s="49"/>
      <c r="BG602" s="49"/>
      <c r="BH602" s="51"/>
      <c r="BI602" s="51"/>
      <c r="BJ602" s="51"/>
      <c r="BK602" s="51"/>
      <c r="BL602" s="51"/>
      <c r="BM602" s="49"/>
      <c r="BN602" s="53"/>
      <c r="BO602" s="49"/>
      <c r="BP602" s="51"/>
      <c r="BQ602" s="10"/>
    </row>
    <row r="603">
      <c r="A603" s="45">
        <v>3.0</v>
      </c>
      <c r="B603" s="46" t="s">
        <v>997</v>
      </c>
      <c r="C603" s="47"/>
      <c r="D603" s="47"/>
      <c r="E603" s="47"/>
      <c r="F603" s="47"/>
      <c r="G603" s="47"/>
      <c r="H603" s="47"/>
      <c r="I603" s="48" t="str">
        <f t="shared" si="1"/>
        <v>43619</v>
      </c>
      <c r="J603" s="49"/>
      <c r="K603" s="49"/>
      <c r="L603" s="48" t="s">
        <v>998</v>
      </c>
      <c r="M603" s="50">
        <v>1.0</v>
      </c>
      <c r="N603" s="51"/>
      <c r="O603" s="47"/>
      <c r="P603" s="51"/>
      <c r="Q603" s="51"/>
      <c r="R603" s="51"/>
      <c r="S603" s="51"/>
      <c r="T603" s="49"/>
      <c r="U603" s="52">
        <v>1.0</v>
      </c>
      <c r="V603" s="49"/>
      <c r="W603" s="52" t="s">
        <v>70</v>
      </c>
      <c r="X603" s="49"/>
      <c r="Y603" s="49"/>
      <c r="Z603" s="49"/>
      <c r="AA603" s="107" t="s">
        <v>79</v>
      </c>
      <c r="AB603" s="107" t="s">
        <v>79</v>
      </c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52" t="s">
        <v>80</v>
      </c>
      <c r="AQ603" s="51"/>
      <c r="AR603" s="51"/>
      <c r="AS603" s="51"/>
      <c r="AT603" s="51"/>
      <c r="AU603" s="51"/>
      <c r="AV603" s="49"/>
      <c r="AW603" s="49"/>
      <c r="AX603" s="49"/>
      <c r="AY603" s="49"/>
      <c r="AZ603" s="49"/>
      <c r="BA603" s="49"/>
      <c r="BB603" s="49"/>
      <c r="BC603" s="49"/>
      <c r="BD603" s="49"/>
      <c r="BE603" s="49"/>
      <c r="BF603" s="49"/>
      <c r="BG603" s="49"/>
      <c r="BH603" s="51"/>
      <c r="BI603" s="51"/>
      <c r="BJ603" s="51"/>
      <c r="BK603" s="51"/>
      <c r="BL603" s="51"/>
      <c r="BM603" s="49"/>
      <c r="BN603" s="53"/>
      <c r="BO603" s="49"/>
      <c r="BP603" s="51"/>
      <c r="BQ603" s="10"/>
    </row>
    <row r="604">
      <c r="A604" s="28">
        <v>1.0</v>
      </c>
      <c r="B604" s="29" t="s">
        <v>999</v>
      </c>
      <c r="C604" s="30"/>
      <c r="D604" s="30"/>
      <c r="E604" s="30"/>
      <c r="F604" s="30"/>
      <c r="G604" s="30"/>
      <c r="H604" s="30"/>
      <c r="I604" s="31" t="str">
        <f t="shared" si="1"/>
        <v>43700</v>
      </c>
      <c r="J604" s="74"/>
      <c r="K604" s="74"/>
      <c r="L604" s="31" t="s">
        <v>1000</v>
      </c>
      <c r="M604" s="75">
        <v>1.0</v>
      </c>
      <c r="N604" s="32"/>
      <c r="O604" s="30"/>
      <c r="P604" s="32"/>
      <c r="Q604" s="32"/>
      <c r="R604" s="32"/>
      <c r="S604" s="32"/>
      <c r="T604" s="74"/>
      <c r="U604" s="34">
        <v>1.0</v>
      </c>
      <c r="V604" s="74"/>
      <c r="W604" s="34" t="s">
        <v>70</v>
      </c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32"/>
      <c r="AQ604" s="32"/>
      <c r="AR604" s="32"/>
      <c r="AS604" s="32"/>
      <c r="AT604" s="32"/>
      <c r="AU604" s="32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32"/>
      <c r="BI604" s="32"/>
      <c r="BJ604" s="32"/>
      <c r="BK604" s="32"/>
      <c r="BL604" s="32"/>
      <c r="BM604" s="74"/>
      <c r="BN604" s="76"/>
      <c r="BO604" s="74"/>
      <c r="BP604" s="32"/>
      <c r="BQ604" s="10"/>
    </row>
    <row r="605">
      <c r="A605" s="36">
        <v>2.0</v>
      </c>
      <c r="B605" s="37" t="s">
        <v>1001</v>
      </c>
      <c r="C605" s="38"/>
      <c r="D605" s="38"/>
      <c r="E605" s="38"/>
      <c r="F605" s="38"/>
      <c r="G605" s="38"/>
      <c r="H605" s="38"/>
      <c r="I605" s="39" t="str">
        <f t="shared" si="1"/>
        <v>43710</v>
      </c>
      <c r="J605" s="40"/>
      <c r="K605" s="40"/>
      <c r="L605" s="39" t="s">
        <v>1002</v>
      </c>
      <c r="M605" s="41">
        <v>1.0</v>
      </c>
      <c r="N605" s="42"/>
      <c r="O605" s="38"/>
      <c r="P605" s="42"/>
      <c r="Q605" s="42"/>
      <c r="R605" s="42"/>
      <c r="S605" s="42"/>
      <c r="T605" s="40"/>
      <c r="U605" s="43">
        <v>1.0</v>
      </c>
      <c r="V605" s="40"/>
      <c r="W605" s="43" t="s">
        <v>70</v>
      </c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2"/>
      <c r="AQ605" s="42"/>
      <c r="AR605" s="42"/>
      <c r="AS605" s="42"/>
      <c r="AT605" s="42"/>
      <c r="AU605" s="42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2"/>
      <c r="BI605" s="42"/>
      <c r="BJ605" s="42"/>
      <c r="BK605" s="42"/>
      <c r="BL605" s="42"/>
      <c r="BM605" s="40"/>
      <c r="BN605" s="44"/>
      <c r="BO605" s="40"/>
      <c r="BP605" s="42"/>
      <c r="BQ605" s="10"/>
    </row>
    <row r="606">
      <c r="A606" s="45">
        <v>3.0</v>
      </c>
      <c r="B606" s="46" t="s">
        <v>1003</v>
      </c>
      <c r="C606" s="47"/>
      <c r="D606" s="47"/>
      <c r="E606" s="47"/>
      <c r="F606" s="47"/>
      <c r="G606" s="47"/>
      <c r="H606" s="47"/>
      <c r="I606" s="48" t="str">
        <f t="shared" si="1"/>
        <v>43711</v>
      </c>
      <c r="J606" s="49"/>
      <c r="K606" s="49"/>
      <c r="L606" s="48" t="s">
        <v>1004</v>
      </c>
      <c r="M606" s="50">
        <v>1.0</v>
      </c>
      <c r="N606" s="51"/>
      <c r="O606" s="47"/>
      <c r="P606" s="51"/>
      <c r="Q606" s="51"/>
      <c r="R606" s="51"/>
      <c r="S606" s="51"/>
      <c r="T606" s="49"/>
      <c r="U606" s="52">
        <v>1.0</v>
      </c>
      <c r="V606" s="49"/>
      <c r="W606" s="52" t="s">
        <v>70</v>
      </c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51"/>
      <c r="AQ606" s="51"/>
      <c r="AR606" s="51"/>
      <c r="AS606" s="51"/>
      <c r="AT606" s="51"/>
      <c r="AU606" s="51"/>
      <c r="AV606" s="49"/>
      <c r="AW606" s="49"/>
      <c r="AX606" s="49"/>
      <c r="AY606" s="49"/>
      <c r="AZ606" s="49"/>
      <c r="BA606" s="49"/>
      <c r="BB606" s="49"/>
      <c r="BC606" s="49"/>
      <c r="BD606" s="49"/>
      <c r="BE606" s="49"/>
      <c r="BF606" s="49"/>
      <c r="BG606" s="49"/>
      <c r="BH606" s="51"/>
      <c r="BI606" s="51"/>
      <c r="BJ606" s="51"/>
      <c r="BK606" s="51"/>
      <c r="BL606" s="51"/>
      <c r="BM606" s="49"/>
      <c r="BN606" s="53"/>
      <c r="BO606" s="49"/>
      <c r="BP606" s="51"/>
      <c r="BQ606" s="10"/>
    </row>
    <row r="607">
      <c r="A607" s="1">
        <v>4.0</v>
      </c>
      <c r="B607" s="2" t="s">
        <v>1003</v>
      </c>
      <c r="C607" s="2" t="s">
        <v>76</v>
      </c>
      <c r="D607" s="93"/>
      <c r="E607" s="93"/>
      <c r="F607" s="93"/>
      <c r="G607" s="93"/>
      <c r="H607" s="93"/>
      <c r="I607" s="3" t="str">
        <f t="shared" si="1"/>
        <v>4371101</v>
      </c>
      <c r="J607" s="3"/>
      <c r="K607" s="3"/>
      <c r="L607" s="94" t="s">
        <v>1005</v>
      </c>
      <c r="M607" s="4">
        <v>1.0</v>
      </c>
      <c r="N607" s="3"/>
      <c r="O607" s="93"/>
      <c r="P607" s="3"/>
      <c r="Q607" s="3"/>
      <c r="R607" s="3"/>
      <c r="S607" s="3"/>
      <c r="T607" s="3"/>
      <c r="U607" s="6">
        <v>1.0</v>
      </c>
      <c r="V607" s="3"/>
      <c r="W607" s="6" t="s">
        <v>304</v>
      </c>
      <c r="X607" s="3"/>
      <c r="Y607" s="3"/>
      <c r="Z607" s="3"/>
      <c r="AA607" s="96" t="s">
        <v>79</v>
      </c>
      <c r="AB607" s="96" t="s">
        <v>79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6" t="s">
        <v>80</v>
      </c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97"/>
      <c r="BO607" s="3"/>
      <c r="BP607" s="3"/>
      <c r="BQ607" s="10"/>
    </row>
    <row r="608">
      <c r="A608" s="1">
        <v>4.0</v>
      </c>
      <c r="B608" s="2" t="s">
        <v>1003</v>
      </c>
      <c r="C608" s="2" t="s">
        <v>119</v>
      </c>
      <c r="D608" s="93"/>
      <c r="E608" s="93"/>
      <c r="F608" s="93"/>
      <c r="G608" s="93"/>
      <c r="H608" s="93"/>
      <c r="I608" s="3" t="str">
        <f t="shared" si="1"/>
        <v>4371102</v>
      </c>
      <c r="J608" s="3"/>
      <c r="K608" s="3"/>
      <c r="L608" s="94" t="s">
        <v>1006</v>
      </c>
      <c r="M608" s="4">
        <v>1.0</v>
      </c>
      <c r="N608" s="3"/>
      <c r="O608" s="93"/>
      <c r="P608" s="3"/>
      <c r="Q608" s="3"/>
      <c r="R608" s="3"/>
      <c r="S608" s="3"/>
      <c r="T608" s="3"/>
      <c r="U608" s="6">
        <v>1.0</v>
      </c>
      <c r="V608" s="3"/>
      <c r="W608" s="6" t="s">
        <v>78</v>
      </c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97"/>
      <c r="BO608" s="3"/>
      <c r="BP608" s="3"/>
      <c r="BQ608" s="10"/>
    </row>
    <row r="609">
      <c r="A609" s="1">
        <v>4.0</v>
      </c>
      <c r="B609" s="2" t="s">
        <v>1003</v>
      </c>
      <c r="C609" s="2" t="s">
        <v>124</v>
      </c>
      <c r="D609" s="93"/>
      <c r="E609" s="93"/>
      <c r="F609" s="93"/>
      <c r="G609" s="93"/>
      <c r="H609" s="93"/>
      <c r="I609" s="3" t="str">
        <f t="shared" si="1"/>
        <v>4371103</v>
      </c>
      <c r="J609" s="3"/>
      <c r="K609" s="3"/>
      <c r="L609" s="94" t="s">
        <v>1007</v>
      </c>
      <c r="M609" s="4">
        <v>2.0</v>
      </c>
      <c r="N609" s="3"/>
      <c r="O609" s="93"/>
      <c r="P609" s="3"/>
      <c r="Q609" s="3"/>
      <c r="R609" s="3"/>
      <c r="S609" s="3"/>
      <c r="T609" s="3"/>
      <c r="U609" s="6">
        <v>1.0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97"/>
      <c r="BO609" s="3"/>
      <c r="BP609" s="3"/>
      <c r="BQ609" s="10"/>
    </row>
    <row r="610">
      <c r="A610" s="1">
        <v>4.0</v>
      </c>
      <c r="B610" s="2" t="s">
        <v>1003</v>
      </c>
      <c r="C610" s="2" t="s">
        <v>127</v>
      </c>
      <c r="D610" s="93"/>
      <c r="E610" s="93"/>
      <c r="F610" s="93"/>
      <c r="G610" s="93"/>
      <c r="H610" s="93"/>
      <c r="I610" s="3" t="str">
        <f t="shared" si="1"/>
        <v>4371104</v>
      </c>
      <c r="J610" s="3"/>
      <c r="K610" s="3"/>
      <c r="L610" s="94" t="s">
        <v>1008</v>
      </c>
      <c r="M610" s="4">
        <v>2.0</v>
      </c>
      <c r="N610" s="3"/>
      <c r="O610" s="93"/>
      <c r="P610" s="3"/>
      <c r="Q610" s="3"/>
      <c r="R610" s="3"/>
      <c r="S610" s="3"/>
      <c r="T610" s="3"/>
      <c r="U610" s="6">
        <v>1.0</v>
      </c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97"/>
      <c r="BO610" s="3"/>
      <c r="BP610" s="3"/>
      <c r="BQ610" s="10"/>
    </row>
    <row r="611">
      <c r="A611" s="36">
        <v>2.0</v>
      </c>
      <c r="B611" s="37" t="s">
        <v>1009</v>
      </c>
      <c r="C611" s="38"/>
      <c r="D611" s="38"/>
      <c r="E611" s="38"/>
      <c r="F611" s="38"/>
      <c r="G611" s="38"/>
      <c r="H611" s="38"/>
      <c r="I611" s="39" t="str">
        <f t="shared" si="1"/>
        <v>43730</v>
      </c>
      <c r="J611" s="40"/>
      <c r="K611" s="40"/>
      <c r="L611" s="39" t="s">
        <v>1010</v>
      </c>
      <c r="M611" s="41">
        <v>1.0</v>
      </c>
      <c r="N611" s="42"/>
      <c r="O611" s="38"/>
      <c r="P611" s="42"/>
      <c r="Q611" s="42"/>
      <c r="R611" s="42"/>
      <c r="S611" s="42"/>
      <c r="T611" s="40"/>
      <c r="U611" s="43">
        <v>1.0</v>
      </c>
      <c r="V611" s="40"/>
      <c r="W611" s="43" t="s">
        <v>70</v>
      </c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2"/>
      <c r="AQ611" s="42"/>
      <c r="AR611" s="42"/>
      <c r="AS611" s="42"/>
      <c r="AT611" s="42"/>
      <c r="AU611" s="42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2"/>
      <c r="BI611" s="42"/>
      <c r="BJ611" s="42"/>
      <c r="BK611" s="42"/>
      <c r="BL611" s="42"/>
      <c r="BM611" s="40"/>
      <c r="BN611" s="44"/>
      <c r="BO611" s="40"/>
      <c r="BP611" s="42"/>
      <c r="BQ611" s="10"/>
    </row>
    <row r="612">
      <c r="A612" s="45">
        <v>3.0</v>
      </c>
      <c r="B612" s="46" t="s">
        <v>1011</v>
      </c>
      <c r="C612" s="47"/>
      <c r="D612" s="47"/>
      <c r="E612" s="47"/>
      <c r="F612" s="47"/>
      <c r="G612" s="47"/>
      <c r="H612" s="47"/>
      <c r="I612" s="48" t="str">
        <f t="shared" si="1"/>
        <v>43731</v>
      </c>
      <c r="J612" s="49"/>
      <c r="K612" s="49"/>
      <c r="L612" s="48" t="s">
        <v>1012</v>
      </c>
      <c r="M612" s="50">
        <v>1.0</v>
      </c>
      <c r="N612" s="51"/>
      <c r="O612" s="47"/>
      <c r="P612" s="51"/>
      <c r="Q612" s="51"/>
      <c r="R612" s="51"/>
      <c r="S612" s="51"/>
      <c r="T612" s="49"/>
      <c r="U612" s="52">
        <v>1.0</v>
      </c>
      <c r="V612" s="49"/>
      <c r="W612" s="52" t="s">
        <v>70</v>
      </c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51"/>
      <c r="AQ612" s="51"/>
      <c r="AR612" s="51"/>
      <c r="AS612" s="51"/>
      <c r="AT612" s="51"/>
      <c r="AU612" s="51"/>
      <c r="AV612" s="49"/>
      <c r="AW612" s="49"/>
      <c r="AX612" s="49"/>
      <c r="AY612" s="49"/>
      <c r="AZ612" s="49"/>
      <c r="BA612" s="49"/>
      <c r="BB612" s="49"/>
      <c r="BC612" s="49"/>
      <c r="BD612" s="49"/>
      <c r="BE612" s="49"/>
      <c r="BF612" s="49"/>
      <c r="BG612" s="49"/>
      <c r="BH612" s="51"/>
      <c r="BI612" s="51"/>
      <c r="BJ612" s="51"/>
      <c r="BK612" s="51"/>
      <c r="BL612" s="51"/>
      <c r="BM612" s="49"/>
      <c r="BN612" s="53"/>
      <c r="BO612" s="49"/>
      <c r="BP612" s="51"/>
      <c r="BQ612" s="10"/>
    </row>
    <row r="613">
      <c r="A613" s="1">
        <v>4.0</v>
      </c>
      <c r="B613" s="2" t="s">
        <v>1011</v>
      </c>
      <c r="C613" s="2" t="s">
        <v>76</v>
      </c>
      <c r="D613" s="93"/>
      <c r="E613" s="93"/>
      <c r="F613" s="93"/>
      <c r="G613" s="93"/>
      <c r="H613" s="93"/>
      <c r="I613" s="3" t="str">
        <f t="shared" si="1"/>
        <v>4373101</v>
      </c>
      <c r="J613" s="3"/>
      <c r="K613" s="3"/>
      <c r="L613" s="94" t="s">
        <v>1013</v>
      </c>
      <c r="M613" s="4">
        <v>1.0</v>
      </c>
      <c r="N613" s="3"/>
      <c r="O613" s="93"/>
      <c r="P613" s="3"/>
      <c r="Q613" s="3"/>
      <c r="R613" s="3"/>
      <c r="S613" s="3"/>
      <c r="T613" s="3"/>
      <c r="U613" s="6">
        <v>1.0</v>
      </c>
      <c r="V613" s="3"/>
      <c r="W613" s="6" t="s">
        <v>78</v>
      </c>
      <c r="X613" s="3"/>
      <c r="Y613" s="3"/>
      <c r="Z613" s="3"/>
      <c r="AA613" s="96" t="s">
        <v>79</v>
      </c>
      <c r="AB613" s="96" t="s">
        <v>79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6" t="s">
        <v>80</v>
      </c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97"/>
      <c r="BO613" s="3"/>
      <c r="BP613" s="3"/>
      <c r="BQ613" s="10"/>
    </row>
    <row r="614">
      <c r="A614" s="1">
        <v>5.0</v>
      </c>
      <c r="B614" s="2" t="s">
        <v>1011</v>
      </c>
      <c r="C614" s="2" t="s">
        <v>76</v>
      </c>
      <c r="D614" s="2" t="s">
        <v>76</v>
      </c>
      <c r="E614" s="93"/>
      <c r="F614" s="93"/>
      <c r="G614" s="93"/>
      <c r="H614" s="93"/>
      <c r="I614" s="3" t="str">
        <f t="shared" si="1"/>
        <v>437310101</v>
      </c>
      <c r="J614" s="3"/>
      <c r="K614" s="3"/>
      <c r="L614" s="94" t="s">
        <v>846</v>
      </c>
      <c r="M614" s="4">
        <v>2.0</v>
      </c>
      <c r="N614" s="3"/>
      <c r="O614" s="93"/>
      <c r="P614" s="3"/>
      <c r="Q614" s="3"/>
      <c r="R614" s="3"/>
      <c r="S614" s="3"/>
      <c r="T614" s="3"/>
      <c r="U614" s="6">
        <v>1.0</v>
      </c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97"/>
      <c r="BO614" s="3"/>
      <c r="BP614" s="3"/>
      <c r="BQ614" s="10"/>
    </row>
    <row r="615">
      <c r="A615" s="28">
        <v>1.0</v>
      </c>
      <c r="B615" s="29" t="s">
        <v>1014</v>
      </c>
      <c r="C615" s="30"/>
      <c r="D615" s="30"/>
      <c r="E615" s="30"/>
      <c r="F615" s="30"/>
      <c r="G615" s="30"/>
      <c r="H615" s="30"/>
      <c r="I615" s="31" t="str">
        <f t="shared" si="1"/>
        <v>43800</v>
      </c>
      <c r="J615" s="74"/>
      <c r="K615" s="74"/>
      <c r="L615" s="31" t="s">
        <v>1015</v>
      </c>
      <c r="M615" s="75">
        <v>1.0</v>
      </c>
      <c r="N615" s="32"/>
      <c r="O615" s="30"/>
      <c r="P615" s="32"/>
      <c r="Q615" s="32"/>
      <c r="R615" s="32"/>
      <c r="S615" s="32"/>
      <c r="T615" s="74"/>
      <c r="U615" s="34">
        <v>1.0</v>
      </c>
      <c r="V615" s="74"/>
      <c r="W615" s="34" t="s">
        <v>70</v>
      </c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32"/>
      <c r="AQ615" s="32"/>
      <c r="AR615" s="32"/>
      <c r="AS615" s="32"/>
      <c r="AT615" s="32"/>
      <c r="AU615" s="32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32"/>
      <c r="BI615" s="32"/>
      <c r="BJ615" s="32"/>
      <c r="BK615" s="32"/>
      <c r="BL615" s="32"/>
      <c r="BM615" s="74"/>
      <c r="BN615" s="76"/>
      <c r="BO615" s="74"/>
      <c r="BP615" s="32"/>
      <c r="BQ615" s="10"/>
    </row>
    <row r="616">
      <c r="A616" s="36">
        <v>2.0</v>
      </c>
      <c r="B616" s="37" t="s">
        <v>1016</v>
      </c>
      <c r="C616" s="38"/>
      <c r="D616" s="38"/>
      <c r="E616" s="38"/>
      <c r="F616" s="38"/>
      <c r="G616" s="38"/>
      <c r="H616" s="38"/>
      <c r="I616" s="39" t="str">
        <f t="shared" si="1"/>
        <v>43810</v>
      </c>
      <c r="J616" s="40"/>
      <c r="K616" s="40"/>
      <c r="L616" s="39" t="s">
        <v>1017</v>
      </c>
      <c r="M616" s="41">
        <v>1.0</v>
      </c>
      <c r="N616" s="42"/>
      <c r="O616" s="38"/>
      <c r="P616" s="42"/>
      <c r="Q616" s="42"/>
      <c r="R616" s="42"/>
      <c r="S616" s="42"/>
      <c r="T616" s="40"/>
      <c r="U616" s="43">
        <v>1.0</v>
      </c>
      <c r="V616" s="40"/>
      <c r="W616" s="43" t="s">
        <v>70</v>
      </c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2"/>
      <c r="AQ616" s="42"/>
      <c r="AR616" s="42"/>
      <c r="AS616" s="42"/>
      <c r="AT616" s="42"/>
      <c r="AU616" s="42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2"/>
      <c r="BI616" s="42"/>
      <c r="BJ616" s="42"/>
      <c r="BK616" s="42"/>
      <c r="BL616" s="42"/>
      <c r="BM616" s="40"/>
      <c r="BN616" s="44"/>
      <c r="BO616" s="40"/>
      <c r="BP616" s="42"/>
      <c r="BQ616" s="10"/>
    </row>
    <row r="617">
      <c r="A617" s="45">
        <v>3.0</v>
      </c>
      <c r="B617" s="46" t="s">
        <v>1018</v>
      </c>
      <c r="C617" s="47"/>
      <c r="D617" s="47"/>
      <c r="E617" s="47"/>
      <c r="F617" s="47"/>
      <c r="G617" s="47"/>
      <c r="H617" s="47"/>
      <c r="I617" s="48" t="str">
        <f t="shared" si="1"/>
        <v>43811</v>
      </c>
      <c r="J617" s="49"/>
      <c r="K617" s="49"/>
      <c r="L617" s="48" t="s">
        <v>1019</v>
      </c>
      <c r="M617" s="50">
        <v>1.0</v>
      </c>
      <c r="N617" s="51"/>
      <c r="O617" s="47"/>
      <c r="P617" s="51"/>
      <c r="Q617" s="51"/>
      <c r="R617" s="51"/>
      <c r="S617" s="51"/>
      <c r="T617" s="49"/>
      <c r="U617" s="52">
        <v>1.0</v>
      </c>
      <c r="V617" s="49"/>
      <c r="W617" s="52" t="s">
        <v>70</v>
      </c>
      <c r="X617" s="49"/>
      <c r="Y617" s="49"/>
      <c r="Z617" s="49"/>
      <c r="AA617" s="107" t="s">
        <v>79</v>
      </c>
      <c r="AB617" s="107" t="s">
        <v>79</v>
      </c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52" t="s">
        <v>80</v>
      </c>
      <c r="AQ617" s="51"/>
      <c r="AR617" s="51"/>
      <c r="AS617" s="51"/>
      <c r="AT617" s="51"/>
      <c r="AU617" s="51"/>
      <c r="AV617" s="49"/>
      <c r="AW617" s="49"/>
      <c r="AX617" s="49"/>
      <c r="AY617" s="49"/>
      <c r="AZ617" s="49"/>
      <c r="BA617" s="49"/>
      <c r="BB617" s="49"/>
      <c r="BC617" s="49"/>
      <c r="BD617" s="49"/>
      <c r="BE617" s="49"/>
      <c r="BF617" s="49"/>
      <c r="BG617" s="49"/>
      <c r="BH617" s="51"/>
      <c r="BI617" s="51"/>
      <c r="BJ617" s="51"/>
      <c r="BK617" s="51"/>
      <c r="BL617" s="51"/>
      <c r="BM617" s="49"/>
      <c r="BN617" s="53"/>
      <c r="BO617" s="49"/>
      <c r="BP617" s="51"/>
      <c r="BQ617" s="10"/>
    </row>
    <row r="618">
      <c r="A618" s="1">
        <v>4.0</v>
      </c>
      <c r="B618" s="2" t="s">
        <v>1018</v>
      </c>
      <c r="C618" s="2" t="s">
        <v>76</v>
      </c>
      <c r="D618" s="93"/>
      <c r="E618" s="93"/>
      <c r="F618" s="93"/>
      <c r="G618" s="93"/>
      <c r="H618" s="93"/>
      <c r="I618" s="3" t="str">
        <f t="shared" si="1"/>
        <v>4381101</v>
      </c>
      <c r="J618" s="3"/>
      <c r="K618" s="3"/>
      <c r="L618" s="94" t="s">
        <v>1020</v>
      </c>
      <c r="M618" s="4">
        <v>2.0</v>
      </c>
      <c r="N618" s="3"/>
      <c r="O618" s="93"/>
      <c r="P618" s="3"/>
      <c r="Q618" s="3"/>
      <c r="R618" s="3"/>
      <c r="S618" s="3"/>
      <c r="T618" s="3"/>
      <c r="U618" s="6">
        <v>1.0</v>
      </c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97"/>
      <c r="BO618" s="3"/>
      <c r="BP618" s="3"/>
      <c r="BQ618" s="10"/>
    </row>
    <row r="619">
      <c r="A619" s="1">
        <v>4.0</v>
      </c>
      <c r="B619" s="2" t="s">
        <v>1018</v>
      </c>
      <c r="C619" s="2" t="s">
        <v>119</v>
      </c>
      <c r="D619" s="93"/>
      <c r="E619" s="93"/>
      <c r="F619" s="93"/>
      <c r="G619" s="93"/>
      <c r="H619" s="93"/>
      <c r="I619" s="3" t="str">
        <f t="shared" si="1"/>
        <v>4381102</v>
      </c>
      <c r="J619" s="3"/>
      <c r="K619" s="3"/>
      <c r="L619" s="94" t="s">
        <v>1021</v>
      </c>
      <c r="M619" s="4">
        <v>2.0</v>
      </c>
      <c r="N619" s="3"/>
      <c r="O619" s="93"/>
      <c r="P619" s="3"/>
      <c r="Q619" s="3"/>
      <c r="R619" s="3"/>
      <c r="S619" s="3"/>
      <c r="T619" s="3"/>
      <c r="U619" s="6">
        <v>1.0</v>
      </c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97"/>
      <c r="BO619" s="3"/>
      <c r="BP619" s="3"/>
      <c r="BQ619" s="10"/>
    </row>
    <row r="620">
      <c r="A620" s="1">
        <v>4.0</v>
      </c>
      <c r="B620" s="2" t="s">
        <v>1018</v>
      </c>
      <c r="C620" s="2" t="s">
        <v>124</v>
      </c>
      <c r="D620" s="93"/>
      <c r="E620" s="93"/>
      <c r="F620" s="93"/>
      <c r="G620" s="93"/>
      <c r="H620" s="93"/>
      <c r="I620" s="3" t="str">
        <f t="shared" si="1"/>
        <v>4381103</v>
      </c>
      <c r="J620" s="3"/>
      <c r="K620" s="3"/>
      <c r="L620" s="94" t="s">
        <v>1022</v>
      </c>
      <c r="M620" s="4">
        <v>2.0</v>
      </c>
      <c r="N620" s="3"/>
      <c r="O620" s="93"/>
      <c r="P620" s="3"/>
      <c r="Q620" s="3"/>
      <c r="R620" s="3"/>
      <c r="S620" s="3"/>
      <c r="T620" s="3"/>
      <c r="U620" s="6">
        <v>3.0</v>
      </c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97"/>
      <c r="BO620" s="3"/>
      <c r="BP620" s="3"/>
      <c r="BQ620" s="10"/>
    </row>
    <row r="621">
      <c r="A621" s="1">
        <v>5.0</v>
      </c>
      <c r="B621" s="2" t="s">
        <v>1018</v>
      </c>
      <c r="C621" s="2" t="s">
        <v>124</v>
      </c>
      <c r="D621" s="2" t="s">
        <v>76</v>
      </c>
      <c r="E621" s="93"/>
      <c r="F621" s="93"/>
      <c r="G621" s="93"/>
      <c r="H621" s="93"/>
      <c r="I621" s="3" t="str">
        <f t="shared" si="1"/>
        <v>438110301</v>
      </c>
      <c r="J621" s="3"/>
      <c r="K621" s="3"/>
      <c r="L621" s="94" t="s">
        <v>1023</v>
      </c>
      <c r="M621" s="4">
        <v>2.0</v>
      </c>
      <c r="N621" s="3"/>
      <c r="O621" s="93"/>
      <c r="P621" s="3"/>
      <c r="Q621" s="3"/>
      <c r="R621" s="3"/>
      <c r="S621" s="3"/>
      <c r="T621" s="3"/>
      <c r="U621" s="6" t="s">
        <v>79</v>
      </c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97"/>
      <c r="BO621" s="3"/>
      <c r="BP621" s="3"/>
      <c r="BQ621" s="10"/>
    </row>
    <row r="622">
      <c r="A622" s="1">
        <v>5.0</v>
      </c>
      <c r="B622" s="2" t="s">
        <v>1018</v>
      </c>
      <c r="C622" s="2" t="s">
        <v>124</v>
      </c>
      <c r="D622" s="2" t="s">
        <v>119</v>
      </c>
      <c r="E622" s="93"/>
      <c r="F622" s="93"/>
      <c r="G622" s="93"/>
      <c r="H622" s="93"/>
      <c r="I622" s="3" t="str">
        <f t="shared" si="1"/>
        <v>438110302</v>
      </c>
      <c r="J622" s="3"/>
      <c r="K622" s="3"/>
      <c r="L622" s="94" t="s">
        <v>1024</v>
      </c>
      <c r="M622" s="4">
        <v>2.0</v>
      </c>
      <c r="N622" s="3"/>
      <c r="O622" s="93"/>
      <c r="P622" s="3"/>
      <c r="Q622" s="3"/>
      <c r="R622" s="3"/>
      <c r="S622" s="3"/>
      <c r="T622" s="3"/>
      <c r="U622" s="6" t="s">
        <v>79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97"/>
      <c r="BO622" s="3"/>
      <c r="BP622" s="3"/>
      <c r="BQ622" s="10"/>
    </row>
    <row r="623">
      <c r="A623" s="1">
        <v>5.0</v>
      </c>
      <c r="B623" s="2" t="s">
        <v>1018</v>
      </c>
      <c r="C623" s="2" t="s">
        <v>124</v>
      </c>
      <c r="D623" s="2" t="s">
        <v>124</v>
      </c>
      <c r="E623" s="93"/>
      <c r="F623" s="93"/>
      <c r="G623" s="93"/>
      <c r="H623" s="93"/>
      <c r="I623" s="3" t="str">
        <f t="shared" si="1"/>
        <v>438110303</v>
      </c>
      <c r="J623" s="3"/>
      <c r="K623" s="3"/>
      <c r="L623" s="94" t="s">
        <v>1025</v>
      </c>
      <c r="M623" s="4">
        <v>2.0</v>
      </c>
      <c r="N623" s="3"/>
      <c r="O623" s="93"/>
      <c r="P623" s="3"/>
      <c r="Q623" s="3"/>
      <c r="R623" s="3"/>
      <c r="S623" s="3"/>
      <c r="T623" s="3"/>
      <c r="U623" s="6" t="s">
        <v>79</v>
      </c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97"/>
      <c r="BO623" s="3"/>
      <c r="BP623" s="3"/>
      <c r="BQ623" s="10"/>
    </row>
    <row r="624">
      <c r="A624" s="1">
        <v>5.0</v>
      </c>
      <c r="B624" s="2" t="s">
        <v>1018</v>
      </c>
      <c r="C624" s="2" t="s">
        <v>124</v>
      </c>
      <c r="D624" s="2" t="s">
        <v>127</v>
      </c>
      <c r="E624" s="93"/>
      <c r="F624" s="93"/>
      <c r="G624" s="93"/>
      <c r="H624" s="93"/>
      <c r="I624" s="3" t="str">
        <f t="shared" si="1"/>
        <v>438110304</v>
      </c>
      <c r="J624" s="3"/>
      <c r="K624" s="3"/>
      <c r="L624" s="94" t="s">
        <v>1026</v>
      </c>
      <c r="M624" s="4">
        <v>2.0</v>
      </c>
      <c r="N624" s="3"/>
      <c r="O624" s="93"/>
      <c r="P624" s="3"/>
      <c r="Q624" s="3"/>
      <c r="R624" s="3"/>
      <c r="S624" s="3"/>
      <c r="T624" s="3"/>
      <c r="U624" s="6" t="s">
        <v>79</v>
      </c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97"/>
      <c r="BO624" s="3"/>
      <c r="BP624" s="3"/>
      <c r="BQ624" s="10"/>
    </row>
    <row r="625">
      <c r="A625" s="1">
        <v>5.0</v>
      </c>
      <c r="B625" s="2" t="s">
        <v>1018</v>
      </c>
      <c r="C625" s="2" t="s">
        <v>124</v>
      </c>
      <c r="D625" s="2" t="s">
        <v>91</v>
      </c>
      <c r="E625" s="93"/>
      <c r="F625" s="93"/>
      <c r="G625" s="93"/>
      <c r="H625" s="93"/>
      <c r="I625" s="3" t="str">
        <f t="shared" si="1"/>
        <v>438110305</v>
      </c>
      <c r="J625" s="3"/>
      <c r="K625" s="3"/>
      <c r="L625" s="94" t="s">
        <v>1027</v>
      </c>
      <c r="M625" s="4">
        <v>2.0</v>
      </c>
      <c r="N625" s="3"/>
      <c r="O625" s="93"/>
      <c r="P625" s="3"/>
      <c r="Q625" s="3"/>
      <c r="R625" s="3"/>
      <c r="S625" s="3"/>
      <c r="T625" s="3"/>
      <c r="U625" s="6" t="s">
        <v>79</v>
      </c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97"/>
      <c r="BO625" s="3"/>
      <c r="BP625" s="3"/>
      <c r="BQ625" s="10"/>
    </row>
    <row r="626">
      <c r="A626" s="1">
        <v>5.0</v>
      </c>
      <c r="B626" s="2" t="s">
        <v>1018</v>
      </c>
      <c r="C626" s="2" t="s">
        <v>124</v>
      </c>
      <c r="D626" s="2" t="s">
        <v>133</v>
      </c>
      <c r="E626" s="93"/>
      <c r="F626" s="93"/>
      <c r="G626" s="93"/>
      <c r="H626" s="93"/>
      <c r="I626" s="3" t="str">
        <f t="shared" si="1"/>
        <v>438110306</v>
      </c>
      <c r="J626" s="3"/>
      <c r="K626" s="3"/>
      <c r="L626" s="94" t="s">
        <v>1028</v>
      </c>
      <c r="M626" s="4">
        <v>2.0</v>
      </c>
      <c r="N626" s="3"/>
      <c r="O626" s="93"/>
      <c r="P626" s="3"/>
      <c r="Q626" s="3"/>
      <c r="R626" s="3"/>
      <c r="S626" s="3"/>
      <c r="T626" s="3"/>
      <c r="U626" s="6" t="s">
        <v>79</v>
      </c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97"/>
      <c r="BO626" s="3"/>
      <c r="BP626" s="3"/>
      <c r="BQ626" s="10"/>
    </row>
    <row r="627">
      <c r="A627" s="1">
        <v>5.0</v>
      </c>
      <c r="B627" s="2" t="s">
        <v>1018</v>
      </c>
      <c r="C627" s="2" t="s">
        <v>124</v>
      </c>
      <c r="D627" s="2" t="s">
        <v>136</v>
      </c>
      <c r="E627" s="93"/>
      <c r="F627" s="93"/>
      <c r="G627" s="93"/>
      <c r="H627" s="93"/>
      <c r="I627" s="3" t="str">
        <f t="shared" si="1"/>
        <v>438110307</v>
      </c>
      <c r="J627" s="3"/>
      <c r="K627" s="3"/>
      <c r="L627" s="94" t="s">
        <v>1029</v>
      </c>
      <c r="M627" s="4">
        <v>2.0</v>
      </c>
      <c r="N627" s="3"/>
      <c r="O627" s="93"/>
      <c r="P627" s="3"/>
      <c r="Q627" s="3"/>
      <c r="R627" s="3"/>
      <c r="S627" s="3"/>
      <c r="T627" s="3"/>
      <c r="U627" s="6" t="s">
        <v>79</v>
      </c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97"/>
      <c r="BO627" s="3"/>
      <c r="BP627" s="3"/>
      <c r="BQ627" s="10"/>
    </row>
    <row r="628">
      <c r="A628" s="1">
        <v>5.0</v>
      </c>
      <c r="B628" s="2" t="s">
        <v>1018</v>
      </c>
      <c r="C628" s="2" t="s">
        <v>124</v>
      </c>
      <c r="D628" s="2" t="s">
        <v>138</v>
      </c>
      <c r="E628" s="93"/>
      <c r="F628" s="93"/>
      <c r="G628" s="93"/>
      <c r="H628" s="93"/>
      <c r="I628" s="3" t="str">
        <f t="shared" si="1"/>
        <v>438110308</v>
      </c>
      <c r="J628" s="3"/>
      <c r="K628" s="3"/>
      <c r="L628" s="94" t="s">
        <v>1030</v>
      </c>
      <c r="M628" s="4">
        <v>2.0</v>
      </c>
      <c r="N628" s="3"/>
      <c r="O628" s="93"/>
      <c r="P628" s="3"/>
      <c r="Q628" s="3"/>
      <c r="R628" s="3"/>
      <c r="S628" s="3"/>
      <c r="T628" s="3"/>
      <c r="U628" s="6" t="s">
        <v>79</v>
      </c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97"/>
      <c r="BO628" s="3"/>
      <c r="BP628" s="3"/>
      <c r="BQ628" s="10"/>
    </row>
    <row r="629">
      <c r="A629" s="28">
        <v>1.0</v>
      </c>
      <c r="B629" s="29" t="s">
        <v>1031</v>
      </c>
      <c r="C629" s="30"/>
      <c r="D629" s="30"/>
      <c r="E629" s="30"/>
      <c r="F629" s="30"/>
      <c r="G629" s="30"/>
      <c r="H629" s="30"/>
      <c r="I629" s="31" t="str">
        <f t="shared" si="1"/>
        <v>43900</v>
      </c>
      <c r="J629" s="74"/>
      <c r="K629" s="74"/>
      <c r="L629" s="31" t="s">
        <v>1032</v>
      </c>
      <c r="M629" s="75">
        <v>1.0</v>
      </c>
      <c r="N629" s="32"/>
      <c r="O629" s="30"/>
      <c r="P629" s="32"/>
      <c r="Q629" s="32"/>
      <c r="R629" s="32"/>
      <c r="S629" s="32"/>
      <c r="T629" s="74"/>
      <c r="U629" s="34">
        <v>1.0</v>
      </c>
      <c r="V629" s="74"/>
      <c r="W629" s="34" t="s">
        <v>70</v>
      </c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32"/>
      <c r="AQ629" s="32"/>
      <c r="AR629" s="32"/>
      <c r="AS629" s="32"/>
      <c r="AT629" s="32"/>
      <c r="AU629" s="32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32"/>
      <c r="BI629" s="32"/>
      <c r="BJ629" s="32"/>
      <c r="BK629" s="32"/>
      <c r="BL629" s="32"/>
      <c r="BM629" s="74"/>
      <c r="BN629" s="76"/>
      <c r="BO629" s="74"/>
      <c r="BP629" s="32"/>
      <c r="BQ629" s="10"/>
    </row>
    <row r="630">
      <c r="A630" s="36">
        <v>2.0</v>
      </c>
      <c r="B630" s="37" t="s">
        <v>1033</v>
      </c>
      <c r="C630" s="38"/>
      <c r="D630" s="38"/>
      <c r="E630" s="38"/>
      <c r="F630" s="38"/>
      <c r="G630" s="38"/>
      <c r="H630" s="38"/>
      <c r="I630" s="39" t="str">
        <f t="shared" si="1"/>
        <v>43910</v>
      </c>
      <c r="J630" s="40"/>
      <c r="K630" s="40"/>
      <c r="L630" s="39" t="s">
        <v>1034</v>
      </c>
      <c r="M630" s="41">
        <v>1.0</v>
      </c>
      <c r="N630" s="42"/>
      <c r="O630" s="38"/>
      <c r="P630" s="42"/>
      <c r="Q630" s="42"/>
      <c r="R630" s="42"/>
      <c r="S630" s="42"/>
      <c r="T630" s="40"/>
      <c r="U630" s="43">
        <v>1.0</v>
      </c>
      <c r="V630" s="40"/>
      <c r="W630" s="43" t="s">
        <v>70</v>
      </c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2"/>
      <c r="AQ630" s="42"/>
      <c r="AR630" s="42"/>
      <c r="AS630" s="42"/>
      <c r="AT630" s="42"/>
      <c r="AU630" s="42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2"/>
      <c r="BI630" s="42"/>
      <c r="BJ630" s="42"/>
      <c r="BK630" s="42"/>
      <c r="BL630" s="42"/>
      <c r="BM630" s="40"/>
      <c r="BN630" s="44"/>
      <c r="BO630" s="40"/>
      <c r="BP630" s="42"/>
      <c r="BQ630" s="10"/>
    </row>
    <row r="631">
      <c r="A631" s="45">
        <v>3.0</v>
      </c>
      <c r="B631" s="46" t="s">
        <v>1035</v>
      </c>
      <c r="C631" s="47"/>
      <c r="D631" s="47"/>
      <c r="E631" s="47"/>
      <c r="F631" s="47"/>
      <c r="G631" s="47"/>
      <c r="H631" s="47"/>
      <c r="I631" s="48" t="str">
        <f t="shared" si="1"/>
        <v>43911</v>
      </c>
      <c r="J631" s="49"/>
      <c r="K631" s="49"/>
      <c r="L631" s="48" t="s">
        <v>1036</v>
      </c>
      <c r="M631" s="50">
        <v>1.0</v>
      </c>
      <c r="N631" s="51"/>
      <c r="O631" s="47"/>
      <c r="P631" s="51"/>
      <c r="Q631" s="51"/>
      <c r="R631" s="51"/>
      <c r="S631" s="51"/>
      <c r="T631" s="49"/>
      <c r="U631" s="52">
        <v>1.0</v>
      </c>
      <c r="V631" s="49"/>
      <c r="W631" s="52" t="s">
        <v>70</v>
      </c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51"/>
      <c r="AQ631" s="51"/>
      <c r="AR631" s="51"/>
      <c r="AS631" s="51"/>
      <c r="AT631" s="51"/>
      <c r="AU631" s="51"/>
      <c r="AV631" s="49"/>
      <c r="AW631" s="49"/>
      <c r="AX631" s="49"/>
      <c r="AY631" s="49"/>
      <c r="AZ631" s="49"/>
      <c r="BA631" s="49"/>
      <c r="BB631" s="49"/>
      <c r="BC631" s="49"/>
      <c r="BD631" s="49"/>
      <c r="BE631" s="49"/>
      <c r="BF631" s="49"/>
      <c r="BG631" s="49"/>
      <c r="BH631" s="51"/>
      <c r="BI631" s="51"/>
      <c r="BJ631" s="51"/>
      <c r="BK631" s="51"/>
      <c r="BL631" s="51"/>
      <c r="BM631" s="49"/>
      <c r="BN631" s="53"/>
      <c r="BO631" s="49"/>
      <c r="BP631" s="51"/>
      <c r="BQ631" s="10"/>
    </row>
    <row r="632">
      <c r="A632" s="1">
        <v>4.0</v>
      </c>
      <c r="B632" s="2" t="s">
        <v>1035</v>
      </c>
      <c r="C632" s="2" t="s">
        <v>76</v>
      </c>
      <c r="D632" s="93"/>
      <c r="E632" s="93"/>
      <c r="F632" s="93"/>
      <c r="G632" s="93"/>
      <c r="H632" s="93"/>
      <c r="I632" s="3" t="str">
        <f t="shared" si="1"/>
        <v>4391101</v>
      </c>
      <c r="J632" s="3"/>
      <c r="K632" s="3"/>
      <c r="L632" s="94" t="s">
        <v>1037</v>
      </c>
      <c r="M632" s="4">
        <v>1.0</v>
      </c>
      <c r="N632" s="3"/>
      <c r="O632" s="93"/>
      <c r="P632" s="3"/>
      <c r="Q632" s="3"/>
      <c r="R632" s="3"/>
      <c r="S632" s="3"/>
      <c r="T632" s="3"/>
      <c r="U632" s="6">
        <v>1.0</v>
      </c>
      <c r="V632" s="3"/>
      <c r="W632" s="6" t="s">
        <v>304</v>
      </c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97"/>
      <c r="BO632" s="3"/>
      <c r="BP632" s="3"/>
      <c r="BQ632" s="10"/>
    </row>
    <row r="633">
      <c r="A633" s="36">
        <v>2.0</v>
      </c>
      <c r="B633" s="37" t="s">
        <v>1038</v>
      </c>
      <c r="C633" s="38"/>
      <c r="D633" s="38"/>
      <c r="E633" s="38"/>
      <c r="F633" s="38"/>
      <c r="G633" s="38"/>
      <c r="H633" s="38"/>
      <c r="I633" s="39" t="str">
        <f t="shared" si="1"/>
        <v>43920</v>
      </c>
      <c r="J633" s="40"/>
      <c r="K633" s="40"/>
      <c r="L633" s="39" t="s">
        <v>1039</v>
      </c>
      <c r="M633" s="41">
        <v>1.0</v>
      </c>
      <c r="N633" s="42"/>
      <c r="O633" s="38"/>
      <c r="P633" s="42"/>
      <c r="Q633" s="42"/>
      <c r="R633" s="42"/>
      <c r="S633" s="42"/>
      <c r="T633" s="40"/>
      <c r="U633" s="43">
        <v>1.0</v>
      </c>
      <c r="V633" s="40"/>
      <c r="W633" s="43" t="s">
        <v>70</v>
      </c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2"/>
      <c r="AQ633" s="42"/>
      <c r="AR633" s="42"/>
      <c r="AS633" s="42"/>
      <c r="AT633" s="42"/>
      <c r="AU633" s="42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2"/>
      <c r="BI633" s="42"/>
      <c r="BJ633" s="42"/>
      <c r="BK633" s="42"/>
      <c r="BL633" s="42"/>
      <c r="BM633" s="40"/>
      <c r="BN633" s="44"/>
      <c r="BO633" s="40"/>
      <c r="BP633" s="42"/>
      <c r="BQ633" s="10"/>
    </row>
    <row r="634">
      <c r="A634" s="45">
        <v>3.0</v>
      </c>
      <c r="B634" s="46" t="s">
        <v>1040</v>
      </c>
      <c r="C634" s="47"/>
      <c r="D634" s="47"/>
      <c r="E634" s="47"/>
      <c r="F634" s="47"/>
      <c r="G634" s="47"/>
      <c r="H634" s="47"/>
      <c r="I634" s="48" t="str">
        <f t="shared" si="1"/>
        <v>43921</v>
      </c>
      <c r="J634" s="49"/>
      <c r="K634" s="49"/>
      <c r="L634" s="48" t="s">
        <v>1041</v>
      </c>
      <c r="M634" s="50">
        <v>1.0</v>
      </c>
      <c r="N634" s="51"/>
      <c r="O634" s="47"/>
      <c r="P634" s="51"/>
      <c r="Q634" s="51"/>
      <c r="R634" s="51"/>
      <c r="S634" s="51"/>
      <c r="T634" s="49"/>
      <c r="U634" s="52">
        <v>1.0</v>
      </c>
      <c r="V634" s="49"/>
      <c r="W634" s="52" t="s">
        <v>70</v>
      </c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51"/>
      <c r="AQ634" s="51"/>
      <c r="AR634" s="51"/>
      <c r="AS634" s="51"/>
      <c r="AT634" s="51"/>
      <c r="AU634" s="51"/>
      <c r="AV634" s="49"/>
      <c r="AW634" s="49"/>
      <c r="AX634" s="49"/>
      <c r="AY634" s="49"/>
      <c r="AZ634" s="49"/>
      <c r="BA634" s="49"/>
      <c r="BB634" s="49"/>
      <c r="BC634" s="49"/>
      <c r="BD634" s="49"/>
      <c r="BE634" s="49"/>
      <c r="BF634" s="49"/>
      <c r="BG634" s="49"/>
      <c r="BH634" s="51"/>
      <c r="BI634" s="51"/>
      <c r="BJ634" s="51"/>
      <c r="BK634" s="51"/>
      <c r="BL634" s="51"/>
      <c r="BM634" s="49"/>
      <c r="BN634" s="53"/>
      <c r="BO634" s="49"/>
      <c r="BP634" s="51"/>
      <c r="BQ634" s="10"/>
    </row>
    <row r="635">
      <c r="A635" s="1">
        <v>4.0</v>
      </c>
      <c r="B635" s="2" t="s">
        <v>1040</v>
      </c>
      <c r="C635" s="2" t="s">
        <v>76</v>
      </c>
      <c r="D635" s="93"/>
      <c r="E635" s="93"/>
      <c r="F635" s="93"/>
      <c r="G635" s="93"/>
      <c r="H635" s="93"/>
      <c r="I635" s="3" t="str">
        <f t="shared" si="1"/>
        <v>4392101</v>
      </c>
      <c r="J635" s="3"/>
      <c r="K635" s="3"/>
      <c r="L635" s="94" t="s">
        <v>1042</v>
      </c>
      <c r="M635" s="4">
        <v>1.0</v>
      </c>
      <c r="N635" s="3"/>
      <c r="O635" s="93"/>
      <c r="P635" s="3"/>
      <c r="Q635" s="3"/>
      <c r="R635" s="3"/>
      <c r="S635" s="3"/>
      <c r="T635" s="3"/>
      <c r="U635" s="6">
        <v>1.0</v>
      </c>
      <c r="V635" s="3"/>
      <c r="W635" s="6" t="s">
        <v>304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97"/>
      <c r="BO635" s="3"/>
      <c r="BP635" s="3"/>
      <c r="BQ635" s="10"/>
    </row>
    <row r="636">
      <c r="A636" s="1">
        <v>5.0</v>
      </c>
      <c r="B636" s="2" t="s">
        <v>1040</v>
      </c>
      <c r="C636" s="2" t="s">
        <v>76</v>
      </c>
      <c r="D636" s="2" t="s">
        <v>76</v>
      </c>
      <c r="E636" s="93"/>
      <c r="F636" s="93"/>
      <c r="G636" s="93"/>
      <c r="H636" s="93"/>
      <c r="I636" s="3" t="str">
        <f t="shared" si="1"/>
        <v>439210101</v>
      </c>
      <c r="J636" s="3"/>
      <c r="K636" s="3"/>
      <c r="L636" s="94" t="s">
        <v>1043</v>
      </c>
      <c r="M636" s="4">
        <v>2.0</v>
      </c>
      <c r="N636" s="3"/>
      <c r="O636" s="93"/>
      <c r="P636" s="3"/>
      <c r="Q636" s="3"/>
      <c r="R636" s="3"/>
      <c r="S636" s="3"/>
      <c r="T636" s="3"/>
      <c r="U636" s="6">
        <v>1.0</v>
      </c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97"/>
      <c r="BO636" s="3"/>
      <c r="BP636" s="3"/>
      <c r="BQ636" s="10"/>
    </row>
    <row r="637">
      <c r="A637" s="1">
        <v>5.0</v>
      </c>
      <c r="B637" s="2" t="s">
        <v>1040</v>
      </c>
      <c r="C637" s="2" t="s">
        <v>76</v>
      </c>
      <c r="D637" s="2" t="s">
        <v>119</v>
      </c>
      <c r="E637" s="93"/>
      <c r="F637" s="93"/>
      <c r="G637" s="93"/>
      <c r="H637" s="93"/>
      <c r="I637" s="3" t="str">
        <f t="shared" si="1"/>
        <v>439210102</v>
      </c>
      <c r="J637" s="3"/>
      <c r="K637" s="3"/>
      <c r="L637" s="94" t="s">
        <v>1044</v>
      </c>
      <c r="M637" s="4">
        <v>2.0</v>
      </c>
      <c r="N637" s="3"/>
      <c r="O637" s="93"/>
      <c r="P637" s="3"/>
      <c r="Q637" s="3"/>
      <c r="R637" s="3"/>
      <c r="S637" s="3"/>
      <c r="T637" s="3"/>
      <c r="U637" s="6">
        <v>1.0</v>
      </c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97"/>
      <c r="BO637" s="3"/>
      <c r="BP637" s="3"/>
      <c r="BQ637" s="10"/>
    </row>
    <row r="638">
      <c r="A638" s="1">
        <v>5.0</v>
      </c>
      <c r="B638" s="2" t="s">
        <v>1040</v>
      </c>
      <c r="C638" s="2" t="s">
        <v>76</v>
      </c>
      <c r="D638" s="2" t="s">
        <v>124</v>
      </c>
      <c r="E638" s="93"/>
      <c r="F638" s="93"/>
      <c r="G638" s="93"/>
      <c r="H638" s="93"/>
      <c r="I638" s="3" t="str">
        <f t="shared" si="1"/>
        <v>439210103</v>
      </c>
      <c r="J638" s="3"/>
      <c r="K638" s="3"/>
      <c r="L638" s="94" t="s">
        <v>1045</v>
      </c>
      <c r="M638" s="4">
        <v>2.0</v>
      </c>
      <c r="N638" s="3"/>
      <c r="O638" s="93"/>
      <c r="P638" s="3"/>
      <c r="Q638" s="3"/>
      <c r="R638" s="3"/>
      <c r="S638" s="3"/>
      <c r="T638" s="3"/>
      <c r="U638" s="6">
        <v>1.0</v>
      </c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97"/>
      <c r="BO638" s="3"/>
      <c r="BP638" s="3"/>
      <c r="BQ638" s="10"/>
    </row>
    <row r="639">
      <c r="A639" s="1">
        <v>4.0</v>
      </c>
      <c r="B639" s="2" t="s">
        <v>1040</v>
      </c>
      <c r="C639" s="2" t="s">
        <v>119</v>
      </c>
      <c r="D639" s="93"/>
      <c r="E639" s="93"/>
      <c r="F639" s="93"/>
      <c r="G639" s="93"/>
      <c r="H639" s="93"/>
      <c r="I639" s="3" t="str">
        <f t="shared" si="1"/>
        <v>4392102</v>
      </c>
      <c r="J639" s="3"/>
      <c r="K639" s="3"/>
      <c r="L639" s="94" t="s">
        <v>1046</v>
      </c>
      <c r="M639" s="4">
        <v>2.0</v>
      </c>
      <c r="N639" s="3"/>
      <c r="O639" s="93"/>
      <c r="P639" s="3"/>
      <c r="Q639" s="3"/>
      <c r="R639" s="3"/>
      <c r="S639" s="3"/>
      <c r="T639" s="3"/>
      <c r="U639" s="6">
        <v>1.0</v>
      </c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97"/>
      <c r="BO639" s="3"/>
      <c r="BP639" s="3"/>
      <c r="BQ639" s="10"/>
    </row>
    <row r="640">
      <c r="A640" s="20">
        <v>1.0</v>
      </c>
      <c r="B640" s="21" t="s">
        <v>1047</v>
      </c>
      <c r="C640" s="22"/>
      <c r="D640" s="22"/>
      <c r="E640" s="22"/>
      <c r="F640" s="22"/>
      <c r="G640" s="22"/>
      <c r="H640" s="22"/>
      <c r="I640" s="23" t="str">
        <f t="shared" si="1"/>
        <v>44000</v>
      </c>
      <c r="J640" s="24"/>
      <c r="K640" s="24"/>
      <c r="L640" s="23" t="s">
        <v>1048</v>
      </c>
      <c r="M640" s="25">
        <v>1.0</v>
      </c>
      <c r="N640" s="24"/>
      <c r="O640" s="22"/>
      <c r="P640" s="24"/>
      <c r="Q640" s="24"/>
      <c r="R640" s="24"/>
      <c r="S640" s="24"/>
      <c r="T640" s="24"/>
      <c r="U640" s="26">
        <v>1.0</v>
      </c>
      <c r="V640" s="24"/>
      <c r="W640" s="26" t="s">
        <v>70</v>
      </c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7"/>
      <c r="BO640" s="24"/>
      <c r="BP640" s="24"/>
      <c r="BQ640" s="10"/>
    </row>
    <row r="641">
      <c r="A641" s="28">
        <v>1.0</v>
      </c>
      <c r="B641" s="29" t="s">
        <v>1049</v>
      </c>
      <c r="C641" s="30"/>
      <c r="D641" s="30"/>
      <c r="E641" s="30"/>
      <c r="F641" s="30"/>
      <c r="G641" s="30"/>
      <c r="H641" s="30"/>
      <c r="I641" s="31" t="str">
        <f t="shared" si="1"/>
        <v>44100</v>
      </c>
      <c r="J641" s="74"/>
      <c r="K641" s="74"/>
      <c r="L641" s="31" t="s">
        <v>1050</v>
      </c>
      <c r="M641" s="75">
        <v>1.0</v>
      </c>
      <c r="N641" s="32"/>
      <c r="O641" s="30"/>
      <c r="P641" s="32"/>
      <c r="Q641" s="32"/>
      <c r="R641" s="32"/>
      <c r="S641" s="32"/>
      <c r="T641" s="74"/>
      <c r="U641" s="34">
        <v>1.0</v>
      </c>
      <c r="V641" s="74"/>
      <c r="W641" s="34" t="s">
        <v>70</v>
      </c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32"/>
      <c r="AQ641" s="32"/>
      <c r="AR641" s="32"/>
      <c r="AS641" s="32"/>
      <c r="AT641" s="32"/>
      <c r="AU641" s="32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32"/>
      <c r="BI641" s="32"/>
      <c r="BJ641" s="32"/>
      <c r="BK641" s="32"/>
      <c r="BL641" s="32"/>
      <c r="BM641" s="74"/>
      <c r="BN641" s="76"/>
      <c r="BO641" s="74"/>
      <c r="BP641" s="32"/>
      <c r="BQ641" s="10"/>
    </row>
    <row r="642">
      <c r="A642" s="36">
        <v>2.0</v>
      </c>
      <c r="B642" s="37" t="s">
        <v>1051</v>
      </c>
      <c r="C642" s="38"/>
      <c r="D642" s="38"/>
      <c r="E642" s="38"/>
      <c r="F642" s="38"/>
      <c r="G642" s="38"/>
      <c r="H642" s="38"/>
      <c r="I642" s="39" t="str">
        <f t="shared" si="1"/>
        <v>44110</v>
      </c>
      <c r="J642" s="40"/>
      <c r="K642" s="40"/>
      <c r="L642" s="39" t="s">
        <v>1052</v>
      </c>
      <c r="M642" s="41">
        <v>1.0</v>
      </c>
      <c r="N642" s="42"/>
      <c r="O642" s="38"/>
      <c r="P642" s="42"/>
      <c r="Q642" s="42"/>
      <c r="R642" s="42"/>
      <c r="S642" s="42"/>
      <c r="T642" s="40"/>
      <c r="U642" s="43">
        <v>1.0</v>
      </c>
      <c r="V642" s="40"/>
      <c r="W642" s="43" t="s">
        <v>70</v>
      </c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2"/>
      <c r="AQ642" s="42"/>
      <c r="AR642" s="42"/>
      <c r="AS642" s="42"/>
      <c r="AT642" s="42"/>
      <c r="AU642" s="42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2"/>
      <c r="BI642" s="42"/>
      <c r="BJ642" s="42"/>
      <c r="BK642" s="42"/>
      <c r="BL642" s="42"/>
      <c r="BM642" s="40"/>
      <c r="BN642" s="44"/>
      <c r="BO642" s="40"/>
      <c r="BP642" s="42"/>
      <c r="BQ642" s="10"/>
    </row>
    <row r="643">
      <c r="A643" s="45">
        <v>3.0</v>
      </c>
      <c r="B643" s="46" t="s">
        <v>1053</v>
      </c>
      <c r="C643" s="47"/>
      <c r="D643" s="47"/>
      <c r="E643" s="47"/>
      <c r="F643" s="47"/>
      <c r="G643" s="47"/>
      <c r="H643" s="47"/>
      <c r="I643" s="48" t="str">
        <f t="shared" si="1"/>
        <v>44111</v>
      </c>
      <c r="J643" s="49"/>
      <c r="K643" s="49"/>
      <c r="L643" s="48" t="s">
        <v>1054</v>
      </c>
      <c r="M643" s="50">
        <v>1.0</v>
      </c>
      <c r="N643" s="51"/>
      <c r="O643" s="47"/>
      <c r="P643" s="51"/>
      <c r="Q643" s="51"/>
      <c r="R643" s="51"/>
      <c r="S643" s="51"/>
      <c r="T643" s="49"/>
      <c r="U643" s="52">
        <v>1.0</v>
      </c>
      <c r="V643" s="49"/>
      <c r="W643" s="52" t="s">
        <v>70</v>
      </c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51"/>
      <c r="AQ643" s="51"/>
      <c r="AR643" s="51"/>
      <c r="AS643" s="51"/>
      <c r="AT643" s="51"/>
      <c r="AU643" s="51"/>
      <c r="AV643" s="49"/>
      <c r="AW643" s="49"/>
      <c r="AX643" s="49"/>
      <c r="AY643" s="49"/>
      <c r="AZ643" s="49"/>
      <c r="BA643" s="49"/>
      <c r="BB643" s="49"/>
      <c r="BC643" s="49"/>
      <c r="BD643" s="49"/>
      <c r="BE643" s="49"/>
      <c r="BF643" s="49"/>
      <c r="BG643" s="49"/>
      <c r="BH643" s="51"/>
      <c r="BI643" s="51"/>
      <c r="BJ643" s="51"/>
      <c r="BK643" s="51"/>
      <c r="BL643" s="51"/>
      <c r="BM643" s="49"/>
      <c r="BN643" s="53"/>
      <c r="BO643" s="49"/>
      <c r="BP643" s="51"/>
      <c r="BQ643" s="10"/>
    </row>
    <row r="644">
      <c r="A644" s="1">
        <v>4.0</v>
      </c>
      <c r="B644" s="2" t="s">
        <v>1053</v>
      </c>
      <c r="C644" s="2" t="s">
        <v>76</v>
      </c>
      <c r="D644" s="93"/>
      <c r="E644" s="93"/>
      <c r="F644" s="93"/>
      <c r="G644" s="93"/>
      <c r="H644" s="93"/>
      <c r="I644" s="3" t="str">
        <f t="shared" si="1"/>
        <v>4411101</v>
      </c>
      <c r="J644" s="3"/>
      <c r="K644" s="3"/>
      <c r="L644" s="94" t="s">
        <v>1055</v>
      </c>
      <c r="M644" s="4">
        <v>1.0</v>
      </c>
      <c r="N644" s="3"/>
      <c r="O644" s="93"/>
      <c r="P644" s="3"/>
      <c r="Q644" s="3"/>
      <c r="R644" s="3"/>
      <c r="S644" s="3"/>
      <c r="T644" s="3"/>
      <c r="U644" s="6">
        <v>1.0</v>
      </c>
      <c r="V644" s="3"/>
      <c r="W644" s="6" t="s">
        <v>78</v>
      </c>
      <c r="X644" s="3"/>
      <c r="Y644" s="3"/>
      <c r="Z644" s="3"/>
      <c r="AA644" s="96" t="s">
        <v>79</v>
      </c>
      <c r="AB644" s="96" t="s">
        <v>79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6" t="s">
        <v>80</v>
      </c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97"/>
      <c r="BO644" s="3"/>
      <c r="BP644" s="3"/>
      <c r="BQ644" s="10"/>
    </row>
    <row r="645">
      <c r="A645" s="1">
        <v>4.0</v>
      </c>
      <c r="B645" s="2" t="s">
        <v>1053</v>
      </c>
      <c r="C645" s="2" t="s">
        <v>119</v>
      </c>
      <c r="D645" s="93"/>
      <c r="E645" s="93"/>
      <c r="F645" s="93"/>
      <c r="G645" s="93"/>
      <c r="H645" s="93"/>
      <c r="I645" s="3" t="str">
        <f t="shared" si="1"/>
        <v>4411102</v>
      </c>
      <c r="J645" s="3"/>
      <c r="K645" s="3"/>
      <c r="L645" s="94" t="s">
        <v>1056</v>
      </c>
      <c r="M645" s="4">
        <v>1.0</v>
      </c>
      <c r="N645" s="3"/>
      <c r="O645" s="93"/>
      <c r="P645" s="3"/>
      <c r="Q645" s="3"/>
      <c r="R645" s="3"/>
      <c r="S645" s="3"/>
      <c r="T645" s="3"/>
      <c r="U645" s="6">
        <v>1.0</v>
      </c>
      <c r="V645" s="3"/>
      <c r="W645" s="6" t="s">
        <v>78</v>
      </c>
      <c r="X645" s="3"/>
      <c r="Y645" s="3"/>
      <c r="Z645" s="3"/>
      <c r="AA645" s="96" t="s">
        <v>79</v>
      </c>
      <c r="AB645" s="96" t="s">
        <v>79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6" t="s">
        <v>80</v>
      </c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97"/>
      <c r="BO645" s="3"/>
      <c r="BP645" s="3"/>
      <c r="BQ645" s="10"/>
    </row>
    <row r="646">
      <c r="A646" s="1">
        <v>4.0</v>
      </c>
      <c r="B646" s="2" t="s">
        <v>1053</v>
      </c>
      <c r="C646" s="2" t="s">
        <v>124</v>
      </c>
      <c r="D646" s="93"/>
      <c r="E646" s="93"/>
      <c r="F646" s="93"/>
      <c r="G646" s="93"/>
      <c r="H646" s="93"/>
      <c r="I646" s="3" t="str">
        <f t="shared" si="1"/>
        <v>4411103</v>
      </c>
      <c r="J646" s="3"/>
      <c r="K646" s="3"/>
      <c r="L646" s="94" t="s">
        <v>1057</v>
      </c>
      <c r="M646" s="4">
        <v>2.0</v>
      </c>
      <c r="N646" s="3"/>
      <c r="O646" s="93"/>
      <c r="P646" s="3"/>
      <c r="Q646" s="3"/>
      <c r="R646" s="3"/>
      <c r="S646" s="3"/>
      <c r="T646" s="3"/>
      <c r="U646" s="6" t="s">
        <v>79</v>
      </c>
      <c r="V646" s="3"/>
      <c r="W646" s="6" t="s">
        <v>435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97"/>
      <c r="BO646" s="3"/>
      <c r="BP646" s="3"/>
      <c r="BQ646" s="10"/>
    </row>
    <row r="647">
      <c r="A647" s="1">
        <v>5.0</v>
      </c>
      <c r="B647" s="2" t="s">
        <v>1053</v>
      </c>
      <c r="C647" s="2" t="s">
        <v>124</v>
      </c>
      <c r="D647" s="2" t="s">
        <v>76</v>
      </c>
      <c r="E647" s="93"/>
      <c r="F647" s="93"/>
      <c r="G647" s="93"/>
      <c r="H647" s="93"/>
      <c r="I647" s="3" t="str">
        <f t="shared" si="1"/>
        <v>441110301</v>
      </c>
      <c r="J647" s="3"/>
      <c r="K647" s="3"/>
      <c r="L647" s="94" t="s">
        <v>1058</v>
      </c>
      <c r="M647" s="4">
        <v>1.0</v>
      </c>
      <c r="N647" s="3"/>
      <c r="O647" s="93"/>
      <c r="P647" s="3"/>
      <c r="Q647" s="3"/>
      <c r="R647" s="3"/>
      <c r="S647" s="3"/>
      <c r="T647" s="3"/>
      <c r="U647" s="6">
        <v>1.0</v>
      </c>
      <c r="V647" s="3"/>
      <c r="W647" s="6" t="s">
        <v>78</v>
      </c>
      <c r="X647" s="3"/>
      <c r="Y647" s="3"/>
      <c r="Z647" s="3"/>
      <c r="AA647" s="96" t="s">
        <v>79</v>
      </c>
      <c r="AB647" s="96" t="s">
        <v>79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6" t="s">
        <v>80</v>
      </c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97"/>
      <c r="BO647" s="3"/>
      <c r="BP647" s="3"/>
      <c r="BQ647" s="10"/>
    </row>
    <row r="648">
      <c r="A648" s="1">
        <v>4.0</v>
      </c>
      <c r="B648" s="2" t="s">
        <v>1053</v>
      </c>
      <c r="C648" s="2" t="s">
        <v>127</v>
      </c>
      <c r="D648" s="93"/>
      <c r="E648" s="93"/>
      <c r="F648" s="93"/>
      <c r="G648" s="93"/>
      <c r="H648" s="93"/>
      <c r="I648" s="3" t="str">
        <f t="shared" si="1"/>
        <v>4411104</v>
      </c>
      <c r="J648" s="3"/>
      <c r="K648" s="3"/>
      <c r="L648" s="94" t="s">
        <v>1059</v>
      </c>
      <c r="M648" s="4">
        <v>1.0</v>
      </c>
      <c r="N648" s="3"/>
      <c r="O648" s="93"/>
      <c r="P648" s="3"/>
      <c r="Q648" s="3"/>
      <c r="R648" s="3"/>
      <c r="S648" s="3"/>
      <c r="T648" s="3"/>
      <c r="U648" s="6">
        <v>1.0</v>
      </c>
      <c r="V648" s="3"/>
      <c r="W648" s="6" t="s">
        <v>78</v>
      </c>
      <c r="X648" s="3"/>
      <c r="Y648" s="3"/>
      <c r="Z648" s="3"/>
      <c r="AA648" s="96" t="s">
        <v>79</v>
      </c>
      <c r="AB648" s="96" t="s">
        <v>79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6" t="s">
        <v>80</v>
      </c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97"/>
      <c r="BO648" s="3"/>
      <c r="BP648" s="3"/>
      <c r="BQ648" s="10"/>
    </row>
    <row r="649">
      <c r="A649" s="1">
        <v>4.0</v>
      </c>
      <c r="B649" s="2" t="s">
        <v>1053</v>
      </c>
      <c r="C649" s="2" t="s">
        <v>91</v>
      </c>
      <c r="D649" s="93"/>
      <c r="E649" s="93"/>
      <c r="F649" s="93"/>
      <c r="G649" s="93"/>
      <c r="H649" s="93"/>
      <c r="I649" s="3" t="str">
        <f t="shared" si="1"/>
        <v>4411105</v>
      </c>
      <c r="J649" s="3"/>
      <c r="K649" s="3"/>
      <c r="L649" s="94" t="s">
        <v>1060</v>
      </c>
      <c r="M649" s="4">
        <v>1.0</v>
      </c>
      <c r="N649" s="3"/>
      <c r="O649" s="93"/>
      <c r="P649" s="3"/>
      <c r="Q649" s="3"/>
      <c r="R649" s="3"/>
      <c r="S649" s="3"/>
      <c r="T649" s="3"/>
      <c r="U649" s="6">
        <v>1.0</v>
      </c>
      <c r="V649" s="3"/>
      <c r="W649" s="6" t="s">
        <v>78</v>
      </c>
      <c r="X649" s="3"/>
      <c r="Y649" s="3"/>
      <c r="Z649" s="3"/>
      <c r="AA649" s="96" t="s">
        <v>79</v>
      </c>
      <c r="AB649" s="96" t="s">
        <v>79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6" t="s">
        <v>80</v>
      </c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97"/>
      <c r="BO649" s="3"/>
      <c r="BP649" s="3"/>
      <c r="BQ649" s="10"/>
    </row>
    <row r="650">
      <c r="A650" s="36">
        <v>2.0</v>
      </c>
      <c r="B650" s="37" t="s">
        <v>1061</v>
      </c>
      <c r="C650" s="38"/>
      <c r="D650" s="38"/>
      <c r="E650" s="38"/>
      <c r="F650" s="38"/>
      <c r="G650" s="38"/>
      <c r="H650" s="38"/>
      <c r="I650" s="39" t="str">
        <f t="shared" si="1"/>
        <v>44150</v>
      </c>
      <c r="J650" s="40"/>
      <c r="K650" s="40"/>
      <c r="L650" s="39" t="s">
        <v>1062</v>
      </c>
      <c r="M650" s="41">
        <v>1.0</v>
      </c>
      <c r="N650" s="42"/>
      <c r="O650" s="38"/>
      <c r="P650" s="42"/>
      <c r="Q650" s="42"/>
      <c r="R650" s="42"/>
      <c r="S650" s="42"/>
      <c r="T650" s="40"/>
      <c r="U650" s="43">
        <v>1.0</v>
      </c>
      <c r="V650" s="40"/>
      <c r="W650" s="43" t="s">
        <v>70</v>
      </c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2"/>
      <c r="AQ650" s="42"/>
      <c r="AR650" s="42"/>
      <c r="AS650" s="42"/>
      <c r="AT650" s="42"/>
      <c r="AU650" s="42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2"/>
      <c r="BI650" s="42"/>
      <c r="BJ650" s="42"/>
      <c r="BK650" s="42"/>
      <c r="BL650" s="42"/>
      <c r="BM650" s="40"/>
      <c r="BN650" s="44"/>
      <c r="BO650" s="40"/>
      <c r="BP650" s="42"/>
      <c r="BQ650" s="10"/>
    </row>
    <row r="651">
      <c r="A651" s="45">
        <v>3.0</v>
      </c>
      <c r="B651" s="46" t="s">
        <v>1063</v>
      </c>
      <c r="C651" s="47"/>
      <c r="D651" s="47"/>
      <c r="E651" s="47"/>
      <c r="F651" s="47"/>
      <c r="G651" s="47"/>
      <c r="H651" s="47"/>
      <c r="I651" s="48" t="str">
        <f t="shared" si="1"/>
        <v>44151</v>
      </c>
      <c r="J651" s="49"/>
      <c r="K651" s="49"/>
      <c r="L651" s="48" t="s">
        <v>1064</v>
      </c>
      <c r="M651" s="50">
        <v>1.0</v>
      </c>
      <c r="N651" s="51"/>
      <c r="O651" s="47"/>
      <c r="P651" s="51"/>
      <c r="Q651" s="51"/>
      <c r="R651" s="51"/>
      <c r="S651" s="51"/>
      <c r="T651" s="49"/>
      <c r="U651" s="52">
        <v>1.0</v>
      </c>
      <c r="V651" s="49"/>
      <c r="W651" s="52" t="s">
        <v>70</v>
      </c>
      <c r="X651" s="49"/>
      <c r="Y651" s="49"/>
      <c r="Z651" s="49"/>
      <c r="AA651" s="107" t="s">
        <v>79</v>
      </c>
      <c r="AB651" s="107" t="s">
        <v>79</v>
      </c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52" t="s">
        <v>80</v>
      </c>
      <c r="AQ651" s="51"/>
      <c r="AR651" s="51"/>
      <c r="AS651" s="51"/>
      <c r="AT651" s="51"/>
      <c r="AU651" s="51"/>
      <c r="AV651" s="49"/>
      <c r="AW651" s="49"/>
      <c r="AX651" s="49"/>
      <c r="AY651" s="49"/>
      <c r="AZ651" s="49"/>
      <c r="BA651" s="49"/>
      <c r="BB651" s="49"/>
      <c r="BC651" s="49"/>
      <c r="BD651" s="49"/>
      <c r="BE651" s="49"/>
      <c r="BF651" s="49"/>
      <c r="BG651" s="49"/>
      <c r="BH651" s="51"/>
      <c r="BI651" s="51"/>
      <c r="BJ651" s="51"/>
      <c r="BK651" s="51"/>
      <c r="BL651" s="51"/>
      <c r="BM651" s="49"/>
      <c r="BN651" s="53"/>
      <c r="BO651" s="49"/>
      <c r="BP651" s="51"/>
      <c r="BQ651" s="10"/>
    </row>
    <row r="652">
      <c r="A652" s="1">
        <v>4.0</v>
      </c>
      <c r="B652" s="2" t="s">
        <v>1063</v>
      </c>
      <c r="C652" s="2" t="s">
        <v>76</v>
      </c>
      <c r="D652" s="93"/>
      <c r="E652" s="93"/>
      <c r="F652" s="93"/>
      <c r="G652" s="93"/>
      <c r="H652" s="93"/>
      <c r="I652" s="3" t="str">
        <f t="shared" si="1"/>
        <v>4415101</v>
      </c>
      <c r="J652" s="3"/>
      <c r="K652" s="3"/>
      <c r="L652" s="94" t="s">
        <v>1065</v>
      </c>
      <c r="M652" s="4">
        <v>2.0</v>
      </c>
      <c r="N652" s="3"/>
      <c r="O652" s="93"/>
      <c r="P652" s="3"/>
      <c r="Q652" s="3"/>
      <c r="R652" s="3"/>
      <c r="S652" s="3"/>
      <c r="T652" s="3"/>
      <c r="U652" s="6">
        <v>1.0</v>
      </c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97"/>
      <c r="BO652" s="3"/>
      <c r="BP652" s="3"/>
      <c r="BQ652" s="10"/>
    </row>
    <row r="653">
      <c r="A653" s="1">
        <v>4.0</v>
      </c>
      <c r="B653" s="2" t="s">
        <v>1066</v>
      </c>
      <c r="C653" s="2" t="s">
        <v>119</v>
      </c>
      <c r="D653" s="93"/>
      <c r="E653" s="93"/>
      <c r="F653" s="93"/>
      <c r="G653" s="93"/>
      <c r="H653" s="93"/>
      <c r="I653" s="3" t="str">
        <f t="shared" si="1"/>
        <v>4415202</v>
      </c>
      <c r="J653" s="3"/>
      <c r="K653" s="3"/>
      <c r="L653" s="94" t="s">
        <v>1067</v>
      </c>
      <c r="M653" s="4">
        <v>2.0</v>
      </c>
      <c r="N653" s="3"/>
      <c r="O653" s="93"/>
      <c r="P653" s="3"/>
      <c r="Q653" s="3"/>
      <c r="R653" s="3"/>
      <c r="S653" s="3"/>
      <c r="T653" s="3"/>
      <c r="U653" s="6">
        <v>1.0</v>
      </c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97"/>
      <c r="BO653" s="3"/>
      <c r="BP653" s="3"/>
      <c r="BQ653" s="10"/>
    </row>
    <row r="654">
      <c r="A654" s="1">
        <v>4.0</v>
      </c>
      <c r="B654" s="2" t="s">
        <v>1063</v>
      </c>
      <c r="C654" s="2" t="s">
        <v>124</v>
      </c>
      <c r="D654" s="93"/>
      <c r="E654" s="93"/>
      <c r="F654" s="93"/>
      <c r="G654" s="93"/>
      <c r="H654" s="93"/>
      <c r="I654" s="3" t="str">
        <f t="shared" si="1"/>
        <v>4415103</v>
      </c>
      <c r="J654" s="3"/>
      <c r="K654" s="3"/>
      <c r="L654" s="94" t="s">
        <v>1068</v>
      </c>
      <c r="M654" s="4">
        <v>2.0</v>
      </c>
      <c r="N654" s="3"/>
      <c r="O654" s="93"/>
      <c r="P654" s="3"/>
      <c r="Q654" s="3"/>
      <c r="R654" s="3"/>
      <c r="S654" s="3"/>
      <c r="T654" s="3"/>
      <c r="U654" s="6">
        <v>1.0</v>
      </c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97"/>
      <c r="BO654" s="3"/>
      <c r="BP654" s="3"/>
      <c r="BQ654" s="10"/>
    </row>
    <row r="655">
      <c r="A655" s="1">
        <v>4.0</v>
      </c>
      <c r="B655" s="2" t="s">
        <v>1066</v>
      </c>
      <c r="C655" s="2" t="s">
        <v>127</v>
      </c>
      <c r="D655" s="93"/>
      <c r="E655" s="93"/>
      <c r="F655" s="93"/>
      <c r="G655" s="93"/>
      <c r="H655" s="93"/>
      <c r="I655" s="3" t="str">
        <f t="shared" si="1"/>
        <v>4415204</v>
      </c>
      <c r="J655" s="3"/>
      <c r="K655" s="3"/>
      <c r="L655" s="94" t="s">
        <v>1069</v>
      </c>
      <c r="M655" s="4">
        <v>2.0</v>
      </c>
      <c r="N655" s="3"/>
      <c r="O655" s="93"/>
      <c r="P655" s="3"/>
      <c r="Q655" s="3"/>
      <c r="R655" s="3"/>
      <c r="S655" s="3"/>
      <c r="T655" s="3"/>
      <c r="U655" s="6">
        <v>1.0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97"/>
      <c r="BO655" s="3"/>
      <c r="BP655" s="3"/>
      <c r="BQ655" s="10"/>
    </row>
    <row r="656">
      <c r="A656" s="1">
        <v>4.0</v>
      </c>
      <c r="B656" s="2" t="s">
        <v>1066</v>
      </c>
      <c r="C656" s="2" t="s">
        <v>91</v>
      </c>
      <c r="D656" s="93"/>
      <c r="E656" s="93"/>
      <c r="F656" s="93"/>
      <c r="G656" s="93"/>
      <c r="H656" s="93"/>
      <c r="I656" s="3" t="str">
        <f t="shared" si="1"/>
        <v>4415205</v>
      </c>
      <c r="J656" s="3"/>
      <c r="K656" s="3"/>
      <c r="L656" s="94" t="s">
        <v>1070</v>
      </c>
      <c r="M656" s="4">
        <v>1.0</v>
      </c>
      <c r="N656" s="3"/>
      <c r="O656" s="93"/>
      <c r="P656" s="3"/>
      <c r="Q656" s="3"/>
      <c r="R656" s="3"/>
      <c r="S656" s="3"/>
      <c r="T656" s="3"/>
      <c r="U656" s="6">
        <v>1.0</v>
      </c>
      <c r="V656" s="3"/>
      <c r="W656" s="6" t="s">
        <v>304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97"/>
      <c r="BO656" s="3"/>
      <c r="BP656" s="3"/>
      <c r="BQ656" s="10"/>
    </row>
    <row r="657">
      <c r="A657" s="1">
        <v>4.0</v>
      </c>
      <c r="B657" s="2" t="s">
        <v>1066</v>
      </c>
      <c r="C657" s="2" t="s">
        <v>133</v>
      </c>
      <c r="D657" s="93"/>
      <c r="E657" s="93"/>
      <c r="F657" s="93"/>
      <c r="G657" s="93"/>
      <c r="H657" s="93"/>
      <c r="I657" s="3" t="str">
        <f t="shared" si="1"/>
        <v>4415206</v>
      </c>
      <c r="J657" s="3"/>
      <c r="K657" s="3"/>
      <c r="L657" s="94" t="s">
        <v>1071</v>
      </c>
      <c r="M657" s="4">
        <v>2.0</v>
      </c>
      <c r="N657" s="3"/>
      <c r="O657" s="93"/>
      <c r="P657" s="3"/>
      <c r="Q657" s="3"/>
      <c r="R657" s="3"/>
      <c r="S657" s="3"/>
      <c r="T657" s="3"/>
      <c r="U657" s="6">
        <v>1.0</v>
      </c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97"/>
      <c r="BO657" s="3"/>
      <c r="BP657" s="3"/>
      <c r="BQ657" s="10"/>
    </row>
    <row r="658">
      <c r="A658" s="36">
        <v>2.0</v>
      </c>
      <c r="B658" s="37" t="s">
        <v>1072</v>
      </c>
      <c r="C658" s="38"/>
      <c r="D658" s="38"/>
      <c r="E658" s="38"/>
      <c r="F658" s="38"/>
      <c r="G658" s="38"/>
      <c r="H658" s="38"/>
      <c r="I658" s="39" t="str">
        <f t="shared" si="1"/>
        <v>44160</v>
      </c>
      <c r="J658" s="40"/>
      <c r="K658" s="40"/>
      <c r="L658" s="39" t="s">
        <v>1073</v>
      </c>
      <c r="M658" s="41">
        <v>1.0</v>
      </c>
      <c r="N658" s="42"/>
      <c r="O658" s="38"/>
      <c r="P658" s="42"/>
      <c r="Q658" s="42"/>
      <c r="R658" s="42"/>
      <c r="S658" s="42"/>
      <c r="T658" s="40"/>
      <c r="U658" s="43">
        <v>1.0</v>
      </c>
      <c r="V658" s="40"/>
      <c r="W658" s="43" t="s">
        <v>70</v>
      </c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2"/>
      <c r="AQ658" s="42"/>
      <c r="AR658" s="42"/>
      <c r="AS658" s="42"/>
      <c r="AT658" s="42"/>
      <c r="AU658" s="42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2"/>
      <c r="BI658" s="42"/>
      <c r="BJ658" s="42"/>
      <c r="BK658" s="42"/>
      <c r="BL658" s="42"/>
      <c r="BM658" s="40"/>
      <c r="BN658" s="44"/>
      <c r="BO658" s="40"/>
      <c r="BP658" s="42"/>
      <c r="BQ658" s="10"/>
    </row>
    <row r="659">
      <c r="A659" s="45">
        <v>3.0</v>
      </c>
      <c r="B659" s="46" t="s">
        <v>1074</v>
      </c>
      <c r="C659" s="47"/>
      <c r="D659" s="47"/>
      <c r="E659" s="47"/>
      <c r="F659" s="47"/>
      <c r="G659" s="47"/>
      <c r="H659" s="47"/>
      <c r="I659" s="48" t="str">
        <f t="shared" si="1"/>
        <v>44164</v>
      </c>
      <c r="J659" s="49"/>
      <c r="K659" s="49"/>
      <c r="L659" s="48" t="s">
        <v>1075</v>
      </c>
      <c r="M659" s="50">
        <v>1.0</v>
      </c>
      <c r="N659" s="51"/>
      <c r="O659" s="47"/>
      <c r="P659" s="51"/>
      <c r="Q659" s="51"/>
      <c r="R659" s="51"/>
      <c r="S659" s="51"/>
      <c r="T659" s="49"/>
      <c r="U659" s="52">
        <v>1.0</v>
      </c>
      <c r="V659" s="49"/>
      <c r="W659" s="52" t="s">
        <v>70</v>
      </c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51"/>
      <c r="AQ659" s="51"/>
      <c r="AR659" s="51"/>
      <c r="AS659" s="51"/>
      <c r="AT659" s="51"/>
      <c r="AU659" s="51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51"/>
      <c r="BI659" s="51"/>
      <c r="BJ659" s="51"/>
      <c r="BK659" s="51"/>
      <c r="BL659" s="51"/>
      <c r="BM659" s="49"/>
      <c r="BN659" s="53"/>
      <c r="BO659" s="49"/>
      <c r="BP659" s="51"/>
      <c r="BQ659" s="10"/>
    </row>
    <row r="660">
      <c r="A660" s="1">
        <v>4.0</v>
      </c>
      <c r="B660" s="2" t="s">
        <v>1074</v>
      </c>
      <c r="C660" s="2" t="s">
        <v>76</v>
      </c>
      <c r="D660" s="93"/>
      <c r="E660" s="93"/>
      <c r="F660" s="93"/>
      <c r="G660" s="93"/>
      <c r="H660" s="93"/>
      <c r="I660" s="3" t="str">
        <f t="shared" si="1"/>
        <v>4416401</v>
      </c>
      <c r="J660" s="3"/>
      <c r="K660" s="3"/>
      <c r="L660" s="94" t="s">
        <v>1076</v>
      </c>
      <c r="M660" s="4">
        <v>2.0</v>
      </c>
      <c r="N660" s="3"/>
      <c r="O660" s="93"/>
      <c r="P660" s="3"/>
      <c r="Q660" s="3"/>
      <c r="R660" s="3"/>
      <c r="S660" s="3"/>
      <c r="T660" s="3"/>
      <c r="U660" s="6">
        <v>2.0</v>
      </c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97"/>
      <c r="BO660" s="3"/>
      <c r="BP660" s="3"/>
      <c r="BQ660" s="10"/>
    </row>
    <row r="661">
      <c r="A661" s="1">
        <v>4.0</v>
      </c>
      <c r="B661" s="2" t="s">
        <v>1074</v>
      </c>
      <c r="C661" s="2" t="s">
        <v>119</v>
      </c>
      <c r="D661" s="93"/>
      <c r="E661" s="93"/>
      <c r="F661" s="93"/>
      <c r="G661" s="93"/>
      <c r="H661" s="93"/>
      <c r="I661" s="3" t="str">
        <f t="shared" si="1"/>
        <v>4416402</v>
      </c>
      <c r="J661" s="3"/>
      <c r="K661" s="3"/>
      <c r="L661" s="94" t="s">
        <v>1077</v>
      </c>
      <c r="M661" s="4">
        <v>2.0</v>
      </c>
      <c r="N661" s="3"/>
      <c r="O661" s="93"/>
      <c r="P661" s="3"/>
      <c r="Q661" s="3"/>
      <c r="R661" s="3"/>
      <c r="S661" s="3"/>
      <c r="T661" s="3"/>
      <c r="U661" s="6">
        <v>1.0</v>
      </c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97"/>
      <c r="BO661" s="3"/>
      <c r="BP661" s="3"/>
      <c r="BQ661" s="10"/>
    </row>
    <row r="662">
      <c r="A662" s="1">
        <v>4.0</v>
      </c>
      <c r="B662" s="2" t="s">
        <v>1074</v>
      </c>
      <c r="C662" s="2" t="s">
        <v>124</v>
      </c>
      <c r="D662" s="93"/>
      <c r="E662" s="93"/>
      <c r="F662" s="93"/>
      <c r="G662" s="93"/>
      <c r="H662" s="93"/>
      <c r="I662" s="3" t="str">
        <f t="shared" si="1"/>
        <v>4416403</v>
      </c>
      <c r="J662" s="3"/>
      <c r="K662" s="3"/>
      <c r="L662" s="94" t="s">
        <v>1078</v>
      </c>
      <c r="M662" s="4">
        <v>2.0</v>
      </c>
      <c r="N662" s="3"/>
      <c r="O662" s="93"/>
      <c r="P662" s="3"/>
      <c r="Q662" s="3"/>
      <c r="R662" s="3"/>
      <c r="S662" s="3"/>
      <c r="T662" s="3"/>
      <c r="U662" s="6">
        <v>6.0</v>
      </c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97"/>
      <c r="BO662" s="3"/>
      <c r="BP662" s="3"/>
      <c r="BQ662" s="10"/>
    </row>
    <row r="663">
      <c r="A663" s="1">
        <v>4.0</v>
      </c>
      <c r="B663" s="2" t="s">
        <v>1074</v>
      </c>
      <c r="C663" s="2" t="s">
        <v>127</v>
      </c>
      <c r="D663" s="93"/>
      <c r="E663" s="93"/>
      <c r="F663" s="93"/>
      <c r="G663" s="93"/>
      <c r="H663" s="93"/>
      <c r="I663" s="3" t="str">
        <f t="shared" si="1"/>
        <v>4416404</v>
      </c>
      <c r="J663" s="3"/>
      <c r="K663" s="3"/>
      <c r="L663" s="94" t="s">
        <v>1079</v>
      </c>
      <c r="M663" s="4">
        <v>2.0</v>
      </c>
      <c r="N663" s="3"/>
      <c r="O663" s="93"/>
      <c r="P663" s="3"/>
      <c r="Q663" s="3"/>
      <c r="R663" s="3"/>
      <c r="S663" s="3"/>
      <c r="T663" s="3"/>
      <c r="U663" s="6">
        <v>3.0</v>
      </c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97"/>
      <c r="BO663" s="3"/>
      <c r="BP663" s="3"/>
      <c r="BQ663" s="10"/>
    </row>
    <row r="664">
      <c r="A664" s="1">
        <v>4.0</v>
      </c>
      <c r="B664" s="2" t="s">
        <v>1074</v>
      </c>
      <c r="C664" s="2" t="s">
        <v>91</v>
      </c>
      <c r="D664" s="93"/>
      <c r="E664" s="93"/>
      <c r="F664" s="93"/>
      <c r="G664" s="93"/>
      <c r="H664" s="93"/>
      <c r="I664" s="3" t="str">
        <f t="shared" si="1"/>
        <v>4416405</v>
      </c>
      <c r="J664" s="3"/>
      <c r="K664" s="3"/>
      <c r="L664" s="94" t="s">
        <v>1080</v>
      </c>
      <c r="M664" s="4">
        <v>2.0</v>
      </c>
      <c r="N664" s="3"/>
      <c r="O664" s="93"/>
      <c r="P664" s="3"/>
      <c r="Q664" s="3"/>
      <c r="R664" s="3"/>
      <c r="S664" s="3"/>
      <c r="T664" s="3"/>
      <c r="U664" s="6">
        <v>2.0</v>
      </c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97"/>
      <c r="BO664" s="3"/>
      <c r="BP664" s="3"/>
      <c r="BQ664" s="10"/>
    </row>
    <row r="665">
      <c r="A665" s="36">
        <v>2.0</v>
      </c>
      <c r="B665" s="37" t="s">
        <v>1081</v>
      </c>
      <c r="C665" s="38"/>
      <c r="D665" s="38"/>
      <c r="E665" s="38"/>
      <c r="F665" s="38"/>
      <c r="G665" s="38"/>
      <c r="H665" s="38"/>
      <c r="I665" s="39" t="str">
        <f t="shared" si="1"/>
        <v>44170</v>
      </c>
      <c r="J665" s="40"/>
      <c r="K665" s="40"/>
      <c r="L665" s="39" t="s">
        <v>1082</v>
      </c>
      <c r="M665" s="41">
        <v>1.0</v>
      </c>
      <c r="N665" s="42"/>
      <c r="O665" s="38"/>
      <c r="P665" s="42"/>
      <c r="Q665" s="42"/>
      <c r="R665" s="42"/>
      <c r="S665" s="42"/>
      <c r="T665" s="40"/>
      <c r="U665" s="43">
        <v>1.0</v>
      </c>
      <c r="V665" s="40"/>
      <c r="W665" s="43" t="s">
        <v>70</v>
      </c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2"/>
      <c r="AQ665" s="42"/>
      <c r="AR665" s="42"/>
      <c r="AS665" s="42"/>
      <c r="AT665" s="42"/>
      <c r="AU665" s="42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2"/>
      <c r="BI665" s="42"/>
      <c r="BJ665" s="42"/>
      <c r="BK665" s="42"/>
      <c r="BL665" s="42"/>
      <c r="BM665" s="40"/>
      <c r="BN665" s="44"/>
      <c r="BO665" s="40"/>
      <c r="BP665" s="42"/>
      <c r="BQ665" s="10"/>
    </row>
    <row r="666">
      <c r="A666" s="45">
        <v>3.0</v>
      </c>
      <c r="B666" s="46" t="s">
        <v>1083</v>
      </c>
      <c r="C666" s="47"/>
      <c r="D666" s="47"/>
      <c r="E666" s="47"/>
      <c r="F666" s="47"/>
      <c r="G666" s="47"/>
      <c r="H666" s="47"/>
      <c r="I666" s="48" t="str">
        <f t="shared" si="1"/>
        <v>44171</v>
      </c>
      <c r="J666" s="49"/>
      <c r="K666" s="49"/>
      <c r="L666" s="48" t="s">
        <v>1084</v>
      </c>
      <c r="M666" s="50">
        <v>1.0</v>
      </c>
      <c r="N666" s="51"/>
      <c r="O666" s="47"/>
      <c r="P666" s="51"/>
      <c r="Q666" s="51"/>
      <c r="R666" s="51"/>
      <c r="S666" s="51"/>
      <c r="T666" s="49"/>
      <c r="U666" s="52">
        <v>1.0</v>
      </c>
      <c r="V666" s="49"/>
      <c r="W666" s="52" t="s">
        <v>70</v>
      </c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51"/>
      <c r="AQ666" s="51"/>
      <c r="AR666" s="51"/>
      <c r="AS666" s="51"/>
      <c r="AT666" s="51"/>
      <c r="AU666" s="51"/>
      <c r="AV666" s="49"/>
      <c r="AW666" s="49"/>
      <c r="AX666" s="49"/>
      <c r="AY666" s="49"/>
      <c r="AZ666" s="49"/>
      <c r="BA666" s="49"/>
      <c r="BB666" s="49"/>
      <c r="BC666" s="49"/>
      <c r="BD666" s="49"/>
      <c r="BE666" s="49"/>
      <c r="BF666" s="49"/>
      <c r="BG666" s="49"/>
      <c r="BH666" s="51"/>
      <c r="BI666" s="51"/>
      <c r="BJ666" s="51"/>
      <c r="BK666" s="51"/>
      <c r="BL666" s="51"/>
      <c r="BM666" s="49"/>
      <c r="BN666" s="53"/>
      <c r="BO666" s="49"/>
      <c r="BP666" s="51"/>
      <c r="BQ666" s="10"/>
    </row>
    <row r="667">
      <c r="A667" s="1">
        <v>4.0</v>
      </c>
      <c r="B667" s="2" t="s">
        <v>1083</v>
      </c>
      <c r="C667" s="2" t="s">
        <v>76</v>
      </c>
      <c r="D667" s="93"/>
      <c r="E667" s="93"/>
      <c r="F667" s="93"/>
      <c r="G667" s="93"/>
      <c r="H667" s="93"/>
      <c r="I667" s="3" t="str">
        <f t="shared" si="1"/>
        <v>4417101</v>
      </c>
      <c r="J667" s="3"/>
      <c r="K667" s="3"/>
      <c r="L667" s="94" t="s">
        <v>1085</v>
      </c>
      <c r="M667" s="4">
        <v>1.0</v>
      </c>
      <c r="N667" s="3"/>
      <c r="O667" s="93"/>
      <c r="P667" s="3"/>
      <c r="Q667" s="3"/>
      <c r="R667" s="3"/>
      <c r="S667" s="3"/>
      <c r="T667" s="3"/>
      <c r="U667" s="6">
        <v>1.0</v>
      </c>
      <c r="V667" s="3"/>
      <c r="W667" s="6" t="s">
        <v>304</v>
      </c>
      <c r="X667" s="3"/>
      <c r="Y667" s="3"/>
      <c r="Z667" s="3"/>
      <c r="AA667" s="96" t="s">
        <v>79</v>
      </c>
      <c r="AB667" s="96" t="s">
        <v>79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6" t="s">
        <v>80</v>
      </c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97"/>
      <c r="BO667" s="3"/>
      <c r="BP667" s="3"/>
      <c r="BQ667" s="10"/>
    </row>
    <row r="668">
      <c r="A668" s="1">
        <v>5.0</v>
      </c>
      <c r="B668" s="2" t="s">
        <v>1083</v>
      </c>
      <c r="C668" s="2" t="s">
        <v>76</v>
      </c>
      <c r="D668" s="2" t="s">
        <v>76</v>
      </c>
      <c r="E668" s="93"/>
      <c r="F668" s="93"/>
      <c r="G668" s="93"/>
      <c r="H668" s="93"/>
      <c r="I668" s="3" t="str">
        <f t="shared" si="1"/>
        <v>441710101</v>
      </c>
      <c r="J668" s="3"/>
      <c r="K668" s="3"/>
      <c r="L668" s="94" t="s">
        <v>1086</v>
      </c>
      <c r="M668" s="4">
        <v>2.0</v>
      </c>
      <c r="N668" s="3"/>
      <c r="O668" s="93"/>
      <c r="P668" s="3"/>
      <c r="Q668" s="3"/>
      <c r="R668" s="3"/>
      <c r="S668" s="3"/>
      <c r="T668" s="3"/>
      <c r="U668" s="6">
        <v>1.0</v>
      </c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97"/>
      <c r="BO668" s="3"/>
      <c r="BP668" s="3"/>
      <c r="BQ668" s="10"/>
    </row>
    <row r="669">
      <c r="A669" s="1">
        <v>5.0</v>
      </c>
      <c r="B669" s="2" t="s">
        <v>1083</v>
      </c>
      <c r="C669" s="2" t="s">
        <v>76</v>
      </c>
      <c r="D669" s="2" t="s">
        <v>119</v>
      </c>
      <c r="E669" s="93"/>
      <c r="F669" s="93"/>
      <c r="G669" s="93"/>
      <c r="H669" s="93"/>
      <c r="I669" s="3" t="str">
        <f t="shared" si="1"/>
        <v>441710102</v>
      </c>
      <c r="J669" s="3"/>
      <c r="K669" s="3"/>
      <c r="L669" s="94" t="s">
        <v>1087</v>
      </c>
      <c r="M669" s="4">
        <v>2.0</v>
      </c>
      <c r="N669" s="3"/>
      <c r="O669" s="93"/>
      <c r="P669" s="3"/>
      <c r="Q669" s="3"/>
      <c r="R669" s="3"/>
      <c r="S669" s="3"/>
      <c r="T669" s="3"/>
      <c r="U669" s="6">
        <v>1.0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97"/>
      <c r="BO669" s="3"/>
      <c r="BP669" s="3"/>
      <c r="BQ669" s="10"/>
    </row>
    <row r="670">
      <c r="A670" s="1">
        <v>5.0</v>
      </c>
      <c r="B670" s="2" t="s">
        <v>1083</v>
      </c>
      <c r="C670" s="2" t="s">
        <v>76</v>
      </c>
      <c r="D670" s="2" t="s">
        <v>124</v>
      </c>
      <c r="E670" s="93"/>
      <c r="F670" s="93"/>
      <c r="G670" s="93"/>
      <c r="H670" s="93"/>
      <c r="I670" s="3" t="str">
        <f t="shared" si="1"/>
        <v>441710103</v>
      </c>
      <c r="J670" s="3"/>
      <c r="K670" s="3"/>
      <c r="L670" s="94" t="s">
        <v>1088</v>
      </c>
      <c r="M670" s="4">
        <v>2.0</v>
      </c>
      <c r="N670" s="3"/>
      <c r="O670" s="93"/>
      <c r="P670" s="3"/>
      <c r="Q670" s="3"/>
      <c r="R670" s="3"/>
      <c r="S670" s="3"/>
      <c r="T670" s="3"/>
      <c r="U670" s="6">
        <v>1.0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97"/>
      <c r="BO670" s="3"/>
      <c r="BP670" s="3"/>
      <c r="BQ670" s="10"/>
    </row>
    <row r="671">
      <c r="A671" s="1">
        <v>5.0</v>
      </c>
      <c r="B671" s="2" t="s">
        <v>1083</v>
      </c>
      <c r="C671" s="2" t="s">
        <v>76</v>
      </c>
      <c r="D671" s="2" t="s">
        <v>127</v>
      </c>
      <c r="E671" s="93"/>
      <c r="F671" s="93"/>
      <c r="G671" s="93"/>
      <c r="H671" s="93"/>
      <c r="I671" s="3" t="str">
        <f t="shared" si="1"/>
        <v>441710104</v>
      </c>
      <c r="J671" s="3"/>
      <c r="K671" s="3"/>
      <c r="L671" s="94" t="s">
        <v>1089</v>
      </c>
      <c r="M671" s="4">
        <v>2.0</v>
      </c>
      <c r="N671" s="3"/>
      <c r="O671" s="93"/>
      <c r="P671" s="3"/>
      <c r="Q671" s="3"/>
      <c r="R671" s="3"/>
      <c r="S671" s="3"/>
      <c r="T671" s="3"/>
      <c r="U671" s="6">
        <v>1.0</v>
      </c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97"/>
      <c r="BO671" s="3"/>
      <c r="BP671" s="3"/>
      <c r="BQ671" s="10"/>
    </row>
    <row r="672">
      <c r="A672" s="1">
        <v>5.0</v>
      </c>
      <c r="B672" s="2" t="s">
        <v>1083</v>
      </c>
      <c r="C672" s="2" t="s">
        <v>76</v>
      </c>
      <c r="D672" s="2" t="s">
        <v>91</v>
      </c>
      <c r="E672" s="93"/>
      <c r="F672" s="93"/>
      <c r="G672" s="93"/>
      <c r="H672" s="93"/>
      <c r="I672" s="3" t="str">
        <f t="shared" si="1"/>
        <v>441710105</v>
      </c>
      <c r="J672" s="3"/>
      <c r="K672" s="3"/>
      <c r="L672" s="94" t="s">
        <v>1090</v>
      </c>
      <c r="M672" s="4">
        <v>2.0</v>
      </c>
      <c r="N672" s="3"/>
      <c r="O672" s="93"/>
      <c r="P672" s="3"/>
      <c r="Q672" s="3"/>
      <c r="R672" s="3"/>
      <c r="S672" s="3"/>
      <c r="T672" s="3"/>
      <c r="U672" s="6">
        <v>1.0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97"/>
      <c r="BO672" s="3"/>
      <c r="BP672" s="3"/>
      <c r="BQ672" s="10"/>
    </row>
    <row r="673">
      <c r="A673" s="1">
        <v>4.0</v>
      </c>
      <c r="B673" s="2" t="s">
        <v>1083</v>
      </c>
      <c r="C673" s="2" t="s">
        <v>119</v>
      </c>
      <c r="D673" s="93"/>
      <c r="E673" s="93"/>
      <c r="F673" s="93"/>
      <c r="G673" s="93"/>
      <c r="H673" s="93"/>
      <c r="I673" s="3" t="str">
        <f t="shared" si="1"/>
        <v>4417102</v>
      </c>
      <c r="J673" s="3"/>
      <c r="K673" s="3"/>
      <c r="L673" s="94" t="s">
        <v>1091</v>
      </c>
      <c r="M673" s="4">
        <v>1.0</v>
      </c>
      <c r="N673" s="3"/>
      <c r="O673" s="93"/>
      <c r="P673" s="3"/>
      <c r="Q673" s="3"/>
      <c r="R673" s="3"/>
      <c r="S673" s="3"/>
      <c r="T673" s="3"/>
      <c r="U673" s="6">
        <v>2.0</v>
      </c>
      <c r="V673" s="3"/>
      <c r="W673" s="6" t="s">
        <v>304</v>
      </c>
      <c r="X673" s="3"/>
      <c r="Y673" s="3"/>
      <c r="Z673" s="3"/>
      <c r="AA673" s="96" t="s">
        <v>79</v>
      </c>
      <c r="AB673" s="96" t="s">
        <v>79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6" t="s">
        <v>80</v>
      </c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97"/>
      <c r="BO673" s="3"/>
      <c r="BP673" s="3"/>
      <c r="BQ673" s="10"/>
    </row>
    <row r="674">
      <c r="A674" s="1">
        <v>4.0</v>
      </c>
      <c r="B674" s="2" t="s">
        <v>1083</v>
      </c>
      <c r="C674" s="2" t="s">
        <v>124</v>
      </c>
      <c r="D674" s="93"/>
      <c r="E674" s="93"/>
      <c r="F674" s="93"/>
      <c r="G674" s="93"/>
      <c r="H674" s="93"/>
      <c r="I674" s="3" t="str">
        <f t="shared" si="1"/>
        <v>4417103</v>
      </c>
      <c r="J674" s="3"/>
      <c r="K674" s="3"/>
      <c r="L674" s="94" t="s">
        <v>1092</v>
      </c>
      <c r="M674" s="4">
        <v>2.0</v>
      </c>
      <c r="N674" s="3"/>
      <c r="O674" s="93"/>
      <c r="P674" s="3"/>
      <c r="Q674" s="3"/>
      <c r="R674" s="3"/>
      <c r="S674" s="3"/>
      <c r="T674" s="3"/>
      <c r="U674" s="6">
        <v>1.0</v>
      </c>
      <c r="V674" s="3"/>
      <c r="W674" s="3"/>
      <c r="X674" s="3"/>
      <c r="Y674" s="3"/>
      <c r="Z674" s="3"/>
      <c r="AA674" s="96" t="s">
        <v>79</v>
      </c>
      <c r="AB674" s="96" t="s">
        <v>79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6" t="s">
        <v>80</v>
      </c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97"/>
      <c r="BO674" s="3"/>
      <c r="BP674" s="3"/>
      <c r="BQ674" s="10"/>
    </row>
    <row r="675">
      <c r="A675" s="28">
        <v>1.0</v>
      </c>
      <c r="B675" s="29" t="s">
        <v>1093</v>
      </c>
      <c r="C675" s="30"/>
      <c r="D675" s="30"/>
      <c r="E675" s="30"/>
      <c r="F675" s="30"/>
      <c r="G675" s="30"/>
      <c r="H675" s="30"/>
      <c r="I675" s="31" t="str">
        <f t="shared" si="1"/>
        <v>44300</v>
      </c>
      <c r="J675" s="74"/>
      <c r="K675" s="74"/>
      <c r="L675" s="31" t="s">
        <v>1094</v>
      </c>
      <c r="M675" s="75">
        <v>1.0</v>
      </c>
      <c r="N675" s="32"/>
      <c r="O675" s="30"/>
      <c r="P675" s="32"/>
      <c r="Q675" s="32"/>
      <c r="R675" s="32"/>
      <c r="S675" s="32"/>
      <c r="T675" s="74"/>
      <c r="U675" s="34">
        <v>1.0</v>
      </c>
      <c r="V675" s="74"/>
      <c r="W675" s="34" t="s">
        <v>70</v>
      </c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32"/>
      <c r="AQ675" s="32"/>
      <c r="AR675" s="32"/>
      <c r="AS675" s="32"/>
      <c r="AT675" s="32"/>
      <c r="AU675" s="32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32"/>
      <c r="BI675" s="32"/>
      <c r="BJ675" s="32"/>
      <c r="BK675" s="32"/>
      <c r="BL675" s="32"/>
      <c r="BM675" s="74"/>
      <c r="BN675" s="76"/>
      <c r="BO675" s="74"/>
      <c r="BP675" s="32"/>
      <c r="BQ675" s="10"/>
    </row>
    <row r="676">
      <c r="A676" s="36">
        <v>2.0</v>
      </c>
      <c r="B676" s="37" t="s">
        <v>1095</v>
      </c>
      <c r="C676" s="38"/>
      <c r="D676" s="38"/>
      <c r="E676" s="38"/>
      <c r="F676" s="38"/>
      <c r="G676" s="38"/>
      <c r="H676" s="38"/>
      <c r="I676" s="39" t="str">
        <f t="shared" si="1"/>
        <v>44310</v>
      </c>
      <c r="J676" s="40"/>
      <c r="K676" s="40"/>
      <c r="L676" s="39" t="s">
        <v>1096</v>
      </c>
      <c r="M676" s="41">
        <v>1.0</v>
      </c>
      <c r="N676" s="42"/>
      <c r="O676" s="38"/>
      <c r="P676" s="42"/>
      <c r="Q676" s="42"/>
      <c r="R676" s="42"/>
      <c r="S676" s="42"/>
      <c r="T676" s="40"/>
      <c r="U676" s="43">
        <v>1.0</v>
      </c>
      <c r="V676" s="40"/>
      <c r="W676" s="43" t="s">
        <v>70</v>
      </c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2"/>
      <c r="AQ676" s="42"/>
      <c r="AR676" s="42"/>
      <c r="AS676" s="42"/>
      <c r="AT676" s="42"/>
      <c r="AU676" s="42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2"/>
      <c r="BI676" s="42"/>
      <c r="BJ676" s="42"/>
      <c r="BK676" s="42"/>
      <c r="BL676" s="42"/>
      <c r="BM676" s="40"/>
      <c r="BN676" s="44"/>
      <c r="BO676" s="40"/>
      <c r="BP676" s="42"/>
      <c r="BQ676" s="10"/>
    </row>
    <row r="677">
      <c r="A677" s="45">
        <v>3.0</v>
      </c>
      <c r="B677" s="46" t="s">
        <v>1097</v>
      </c>
      <c r="C677" s="47"/>
      <c r="D677" s="47"/>
      <c r="E677" s="47"/>
      <c r="F677" s="47"/>
      <c r="G677" s="47"/>
      <c r="H677" s="47"/>
      <c r="I677" s="48" t="str">
        <f t="shared" si="1"/>
        <v>44312</v>
      </c>
      <c r="J677" s="49"/>
      <c r="K677" s="49"/>
      <c r="L677" s="48" t="s">
        <v>1098</v>
      </c>
      <c r="M677" s="50">
        <v>1.0</v>
      </c>
      <c r="N677" s="51"/>
      <c r="O677" s="47"/>
      <c r="P677" s="51"/>
      <c r="Q677" s="51"/>
      <c r="R677" s="51"/>
      <c r="S677" s="51"/>
      <c r="T677" s="49"/>
      <c r="U677" s="52">
        <v>1.0</v>
      </c>
      <c r="V677" s="49"/>
      <c r="W677" s="52" t="s">
        <v>70</v>
      </c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51"/>
      <c r="AQ677" s="51"/>
      <c r="AR677" s="51"/>
      <c r="AS677" s="51"/>
      <c r="AT677" s="51"/>
      <c r="AU677" s="51"/>
      <c r="AV677" s="49"/>
      <c r="AW677" s="49"/>
      <c r="AX677" s="49"/>
      <c r="AY677" s="49"/>
      <c r="AZ677" s="49"/>
      <c r="BA677" s="49"/>
      <c r="BB677" s="49"/>
      <c r="BC677" s="49"/>
      <c r="BD677" s="49"/>
      <c r="BE677" s="49"/>
      <c r="BF677" s="49"/>
      <c r="BG677" s="49"/>
      <c r="BH677" s="51"/>
      <c r="BI677" s="51"/>
      <c r="BJ677" s="51"/>
      <c r="BK677" s="51"/>
      <c r="BL677" s="51"/>
      <c r="BM677" s="49"/>
      <c r="BN677" s="53"/>
      <c r="BO677" s="49"/>
      <c r="BP677" s="51"/>
      <c r="BQ677" s="10"/>
    </row>
    <row r="678">
      <c r="A678" s="1">
        <v>4.0</v>
      </c>
      <c r="B678" s="2" t="s">
        <v>1097</v>
      </c>
      <c r="C678" s="2" t="s">
        <v>76</v>
      </c>
      <c r="D678" s="93"/>
      <c r="E678" s="93"/>
      <c r="F678" s="93"/>
      <c r="G678" s="93"/>
      <c r="H678" s="93"/>
      <c r="I678" s="3" t="str">
        <f t="shared" si="1"/>
        <v>4431201</v>
      </c>
      <c r="J678" s="3"/>
      <c r="K678" s="3"/>
      <c r="L678" s="94" t="s">
        <v>1099</v>
      </c>
      <c r="M678" s="4">
        <v>2.0</v>
      </c>
      <c r="N678" s="3"/>
      <c r="O678" s="93"/>
      <c r="P678" s="3"/>
      <c r="Q678" s="3"/>
      <c r="R678" s="3"/>
      <c r="S678" s="3"/>
      <c r="T678" s="3"/>
      <c r="U678" s="6">
        <v>1.0</v>
      </c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97"/>
      <c r="BO678" s="3"/>
      <c r="BP678" s="3"/>
      <c r="BQ678" s="10"/>
    </row>
    <row r="679">
      <c r="A679" s="1">
        <v>4.0</v>
      </c>
      <c r="B679" s="2" t="s">
        <v>1097</v>
      </c>
      <c r="C679" s="2" t="s">
        <v>119</v>
      </c>
      <c r="D679" s="93"/>
      <c r="E679" s="93"/>
      <c r="F679" s="93"/>
      <c r="G679" s="93"/>
      <c r="H679" s="93"/>
      <c r="I679" s="3" t="str">
        <f t="shared" si="1"/>
        <v>4431202</v>
      </c>
      <c r="J679" s="3"/>
      <c r="K679" s="3"/>
      <c r="L679" s="94" t="s">
        <v>1100</v>
      </c>
      <c r="M679" s="4">
        <v>2.0</v>
      </c>
      <c r="N679" s="3"/>
      <c r="O679" s="93"/>
      <c r="P679" s="3"/>
      <c r="Q679" s="3"/>
      <c r="R679" s="3"/>
      <c r="S679" s="3"/>
      <c r="T679" s="3"/>
      <c r="U679" s="6">
        <v>1.0</v>
      </c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97"/>
      <c r="BO679" s="3"/>
      <c r="BP679" s="3"/>
      <c r="BQ679" s="10"/>
    </row>
    <row r="680">
      <c r="A680" s="1">
        <v>4.0</v>
      </c>
      <c r="B680" s="2" t="s">
        <v>1097</v>
      </c>
      <c r="C680" s="2" t="s">
        <v>124</v>
      </c>
      <c r="D680" s="93"/>
      <c r="E680" s="93"/>
      <c r="F680" s="93"/>
      <c r="G680" s="93"/>
      <c r="H680" s="93"/>
      <c r="I680" s="3" t="str">
        <f t="shared" si="1"/>
        <v>4431203</v>
      </c>
      <c r="J680" s="3"/>
      <c r="K680" s="3"/>
      <c r="L680" s="94" t="s">
        <v>1101</v>
      </c>
      <c r="M680" s="4">
        <v>2.0</v>
      </c>
      <c r="N680" s="3"/>
      <c r="O680" s="93"/>
      <c r="P680" s="3"/>
      <c r="Q680" s="3"/>
      <c r="R680" s="3"/>
      <c r="S680" s="3"/>
      <c r="T680" s="3"/>
      <c r="U680" s="6">
        <v>1.0</v>
      </c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97"/>
      <c r="BO680" s="3"/>
      <c r="BP680" s="3"/>
      <c r="BQ680" s="10"/>
    </row>
    <row r="681">
      <c r="A681" s="1">
        <v>4.0</v>
      </c>
      <c r="B681" s="2" t="s">
        <v>1097</v>
      </c>
      <c r="C681" s="2" t="s">
        <v>127</v>
      </c>
      <c r="D681" s="93"/>
      <c r="E681" s="93"/>
      <c r="F681" s="93"/>
      <c r="G681" s="93"/>
      <c r="H681" s="93"/>
      <c r="I681" s="3" t="str">
        <f t="shared" si="1"/>
        <v>4431204</v>
      </c>
      <c r="J681" s="3"/>
      <c r="K681" s="3"/>
      <c r="L681" s="94" t="s">
        <v>1102</v>
      </c>
      <c r="M681" s="4">
        <v>2.0</v>
      </c>
      <c r="N681" s="3"/>
      <c r="O681" s="93"/>
      <c r="P681" s="3"/>
      <c r="Q681" s="3"/>
      <c r="R681" s="3"/>
      <c r="S681" s="3"/>
      <c r="T681" s="3"/>
      <c r="U681" s="6">
        <v>1.0</v>
      </c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97"/>
      <c r="BO681" s="3"/>
      <c r="BP681" s="3"/>
      <c r="BQ681" s="10"/>
    </row>
    <row r="682">
      <c r="A682" s="1">
        <v>5.0</v>
      </c>
      <c r="B682" s="2" t="s">
        <v>1097</v>
      </c>
      <c r="C682" s="2" t="s">
        <v>91</v>
      </c>
      <c r="D682" s="2" t="s">
        <v>76</v>
      </c>
      <c r="E682" s="93"/>
      <c r="F682" s="93"/>
      <c r="G682" s="93"/>
      <c r="H682" s="93"/>
      <c r="I682" s="3" t="str">
        <f t="shared" si="1"/>
        <v>443120501</v>
      </c>
      <c r="J682" s="3"/>
      <c r="K682" s="3"/>
      <c r="L682" s="94" t="s">
        <v>1103</v>
      </c>
      <c r="M682" s="4">
        <v>2.0</v>
      </c>
      <c r="N682" s="3"/>
      <c r="O682" s="93"/>
      <c r="P682" s="3"/>
      <c r="Q682" s="3"/>
      <c r="R682" s="3"/>
      <c r="S682" s="3"/>
      <c r="T682" s="3"/>
      <c r="U682" s="6">
        <v>1.0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97"/>
      <c r="BO682" s="3"/>
      <c r="BP682" s="3"/>
      <c r="BQ682" s="10"/>
    </row>
    <row r="683">
      <c r="A683" s="1">
        <v>5.0</v>
      </c>
      <c r="B683" s="2" t="s">
        <v>1097</v>
      </c>
      <c r="C683" s="2" t="s">
        <v>91</v>
      </c>
      <c r="D683" s="2" t="s">
        <v>119</v>
      </c>
      <c r="E683" s="93"/>
      <c r="F683" s="93"/>
      <c r="G683" s="93"/>
      <c r="H683" s="93"/>
      <c r="I683" s="3" t="str">
        <f t="shared" si="1"/>
        <v>443120502</v>
      </c>
      <c r="J683" s="3"/>
      <c r="K683" s="3"/>
      <c r="L683" s="94" t="s">
        <v>1104</v>
      </c>
      <c r="M683" s="4">
        <v>2.0</v>
      </c>
      <c r="N683" s="3"/>
      <c r="O683" s="93"/>
      <c r="P683" s="3"/>
      <c r="Q683" s="3"/>
      <c r="R683" s="3"/>
      <c r="S683" s="3"/>
      <c r="T683" s="3"/>
      <c r="U683" s="6">
        <v>1.0</v>
      </c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97"/>
      <c r="BO683" s="3"/>
      <c r="BP683" s="3"/>
      <c r="BQ683" s="10"/>
    </row>
    <row r="684">
      <c r="A684" s="1">
        <v>5.0</v>
      </c>
      <c r="B684" s="2" t="s">
        <v>1097</v>
      </c>
      <c r="C684" s="2" t="s">
        <v>91</v>
      </c>
      <c r="D684" s="2" t="s">
        <v>124</v>
      </c>
      <c r="E684" s="93"/>
      <c r="F684" s="93"/>
      <c r="G684" s="93"/>
      <c r="H684" s="93"/>
      <c r="I684" s="3" t="str">
        <f t="shared" si="1"/>
        <v>443120503</v>
      </c>
      <c r="J684" s="3"/>
      <c r="K684" s="3"/>
      <c r="L684" s="94" t="s">
        <v>1105</v>
      </c>
      <c r="M684" s="4">
        <v>2.0</v>
      </c>
      <c r="N684" s="3"/>
      <c r="O684" s="93"/>
      <c r="P684" s="3"/>
      <c r="Q684" s="3"/>
      <c r="R684" s="3"/>
      <c r="S684" s="3"/>
      <c r="T684" s="3"/>
      <c r="U684" s="6">
        <v>1.0</v>
      </c>
      <c r="V684" s="3"/>
      <c r="W684" s="6" t="s">
        <v>304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97"/>
      <c r="BO684" s="3"/>
      <c r="BP684" s="3"/>
      <c r="BQ684" s="10"/>
    </row>
    <row r="685">
      <c r="A685" s="1">
        <v>5.0</v>
      </c>
      <c r="B685" s="2" t="s">
        <v>1097</v>
      </c>
      <c r="C685" s="2" t="s">
        <v>91</v>
      </c>
      <c r="D685" s="2" t="s">
        <v>127</v>
      </c>
      <c r="E685" s="93"/>
      <c r="F685" s="93"/>
      <c r="G685" s="93"/>
      <c r="H685" s="93"/>
      <c r="I685" s="3" t="str">
        <f t="shared" si="1"/>
        <v>443120504</v>
      </c>
      <c r="J685" s="3"/>
      <c r="K685" s="3"/>
      <c r="L685" s="94" t="s">
        <v>898</v>
      </c>
      <c r="M685" s="4">
        <v>2.0</v>
      </c>
      <c r="N685" s="3"/>
      <c r="O685" s="93"/>
      <c r="P685" s="3"/>
      <c r="Q685" s="3"/>
      <c r="R685" s="3"/>
      <c r="S685" s="3"/>
      <c r="T685" s="3"/>
      <c r="U685" s="6">
        <v>2.0</v>
      </c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97"/>
      <c r="BO685" s="3"/>
      <c r="BP685" s="3"/>
      <c r="BQ685" s="10"/>
    </row>
    <row r="686">
      <c r="A686" s="20">
        <v>1.0</v>
      </c>
      <c r="B686" s="21" t="s">
        <v>1106</v>
      </c>
      <c r="C686" s="22"/>
      <c r="D686" s="22"/>
      <c r="E686" s="22"/>
      <c r="F686" s="22"/>
      <c r="G686" s="22"/>
      <c r="H686" s="22"/>
      <c r="I686" s="23" t="str">
        <f t="shared" si="1"/>
        <v>45000</v>
      </c>
      <c r="J686" s="24"/>
      <c r="K686" s="24"/>
      <c r="L686" s="23" t="s">
        <v>1107</v>
      </c>
      <c r="M686" s="25">
        <v>1.0</v>
      </c>
      <c r="N686" s="24"/>
      <c r="O686" s="22"/>
      <c r="P686" s="24"/>
      <c r="Q686" s="24"/>
      <c r="R686" s="24"/>
      <c r="S686" s="24"/>
      <c r="T686" s="24"/>
      <c r="U686" s="26">
        <v>1.0</v>
      </c>
      <c r="V686" s="24"/>
      <c r="W686" s="26" t="s">
        <v>70</v>
      </c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7"/>
      <c r="BO686" s="24"/>
      <c r="BP686" s="24"/>
      <c r="BQ686" s="10"/>
    </row>
    <row r="687">
      <c r="A687" s="28">
        <v>1.0</v>
      </c>
      <c r="B687" s="29" t="s">
        <v>1108</v>
      </c>
      <c r="C687" s="30"/>
      <c r="D687" s="30"/>
      <c r="E687" s="30"/>
      <c r="F687" s="30"/>
      <c r="G687" s="30"/>
      <c r="H687" s="30"/>
      <c r="I687" s="31" t="str">
        <f t="shared" si="1"/>
        <v>45100</v>
      </c>
      <c r="J687" s="74"/>
      <c r="K687" s="74"/>
      <c r="L687" s="31" t="s">
        <v>1109</v>
      </c>
      <c r="M687" s="75">
        <v>1.0</v>
      </c>
      <c r="N687" s="32"/>
      <c r="O687" s="30"/>
      <c r="P687" s="32"/>
      <c r="Q687" s="32"/>
      <c r="R687" s="32"/>
      <c r="S687" s="32"/>
      <c r="T687" s="74"/>
      <c r="U687" s="34">
        <v>1.0</v>
      </c>
      <c r="V687" s="74"/>
      <c r="W687" s="34" t="s">
        <v>70</v>
      </c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32"/>
      <c r="AQ687" s="32"/>
      <c r="AR687" s="32"/>
      <c r="AS687" s="32"/>
      <c r="AT687" s="32"/>
      <c r="AU687" s="32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32"/>
      <c r="BI687" s="32"/>
      <c r="BJ687" s="32"/>
      <c r="BK687" s="32"/>
      <c r="BL687" s="32"/>
      <c r="BM687" s="74"/>
      <c r="BN687" s="76"/>
      <c r="BO687" s="74"/>
      <c r="BP687" s="32"/>
      <c r="BQ687" s="10"/>
    </row>
    <row r="688">
      <c r="A688" s="36">
        <v>2.0</v>
      </c>
      <c r="B688" s="37" t="s">
        <v>1110</v>
      </c>
      <c r="C688" s="38"/>
      <c r="D688" s="38"/>
      <c r="E688" s="38"/>
      <c r="F688" s="38"/>
      <c r="G688" s="38"/>
      <c r="H688" s="38"/>
      <c r="I688" s="39" t="str">
        <f t="shared" si="1"/>
        <v>45120</v>
      </c>
      <c r="J688" s="40"/>
      <c r="K688" s="40"/>
      <c r="L688" s="39" t="s">
        <v>1111</v>
      </c>
      <c r="M688" s="41">
        <v>1.0</v>
      </c>
      <c r="N688" s="42"/>
      <c r="O688" s="38"/>
      <c r="P688" s="42"/>
      <c r="Q688" s="42"/>
      <c r="R688" s="42"/>
      <c r="S688" s="42"/>
      <c r="T688" s="40"/>
      <c r="U688" s="43">
        <v>1.0</v>
      </c>
      <c r="V688" s="40"/>
      <c r="W688" s="43" t="s">
        <v>70</v>
      </c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2"/>
      <c r="AQ688" s="42"/>
      <c r="AR688" s="42"/>
      <c r="AS688" s="42"/>
      <c r="AT688" s="42"/>
      <c r="AU688" s="42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2"/>
      <c r="BI688" s="42"/>
      <c r="BJ688" s="42"/>
      <c r="BK688" s="42"/>
      <c r="BL688" s="42"/>
      <c r="BM688" s="40"/>
      <c r="BN688" s="44"/>
      <c r="BO688" s="40"/>
      <c r="BP688" s="42"/>
      <c r="BQ688" s="10"/>
    </row>
    <row r="689">
      <c r="A689" s="65">
        <v>3.0</v>
      </c>
      <c r="B689" s="66" t="s">
        <v>1112</v>
      </c>
      <c r="C689" s="56"/>
      <c r="D689" s="56"/>
      <c r="E689" s="56"/>
      <c r="F689" s="56"/>
      <c r="G689" s="56"/>
      <c r="H689" s="56"/>
      <c r="I689" s="67" t="str">
        <f t="shared" si="1"/>
        <v>45121</v>
      </c>
      <c r="J689" s="58"/>
      <c r="K689" s="58"/>
      <c r="L689" s="67" t="s">
        <v>1113</v>
      </c>
      <c r="M689" s="68">
        <v>1.0</v>
      </c>
      <c r="N689" s="58"/>
      <c r="O689" s="56"/>
      <c r="P689" s="58"/>
      <c r="Q689" s="114" t="s">
        <v>491</v>
      </c>
      <c r="R689" s="58"/>
      <c r="S689" s="115" t="s">
        <v>1114</v>
      </c>
      <c r="T689" s="58"/>
      <c r="U689" s="69">
        <v>1.0</v>
      </c>
      <c r="V689" s="58"/>
      <c r="W689" s="69" t="s">
        <v>70</v>
      </c>
      <c r="X689" s="58"/>
      <c r="Y689" s="58"/>
      <c r="Z689" s="58"/>
      <c r="AA689" s="62" t="s">
        <v>79</v>
      </c>
      <c r="AB689" s="62" t="s">
        <v>79</v>
      </c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69" t="s">
        <v>80</v>
      </c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63"/>
      <c r="BO689" s="58"/>
      <c r="BP689" s="58"/>
      <c r="BQ689" s="64"/>
    </row>
    <row r="690">
      <c r="A690" s="36">
        <v>2.0</v>
      </c>
      <c r="B690" s="37" t="s">
        <v>1115</v>
      </c>
      <c r="C690" s="38"/>
      <c r="D690" s="38"/>
      <c r="E690" s="38"/>
      <c r="F690" s="38"/>
      <c r="G690" s="38"/>
      <c r="H690" s="38"/>
      <c r="I690" s="39" t="str">
        <f t="shared" si="1"/>
        <v>45140</v>
      </c>
      <c r="J690" s="40"/>
      <c r="K690" s="40"/>
      <c r="L690" s="39" t="s">
        <v>1116</v>
      </c>
      <c r="M690" s="41">
        <v>1.0</v>
      </c>
      <c r="N690" s="42"/>
      <c r="O690" s="38"/>
      <c r="P690" s="42"/>
      <c r="Q690" s="42"/>
      <c r="R690" s="42"/>
      <c r="S690" s="42"/>
      <c r="T690" s="40"/>
      <c r="U690" s="43">
        <v>1.0</v>
      </c>
      <c r="V690" s="40"/>
      <c r="W690" s="43" t="s">
        <v>70</v>
      </c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2"/>
      <c r="AQ690" s="42"/>
      <c r="AR690" s="42"/>
      <c r="AS690" s="42"/>
      <c r="AT690" s="42"/>
      <c r="AU690" s="42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2"/>
      <c r="BI690" s="42"/>
      <c r="BJ690" s="42"/>
      <c r="BK690" s="42"/>
      <c r="BL690" s="42"/>
      <c r="BM690" s="40"/>
      <c r="BN690" s="44"/>
      <c r="BO690" s="40"/>
      <c r="BP690" s="42"/>
      <c r="BQ690" s="10"/>
    </row>
    <row r="691">
      <c r="A691" s="65">
        <v>3.0</v>
      </c>
      <c r="B691" s="66" t="s">
        <v>1117</v>
      </c>
      <c r="C691" s="56"/>
      <c r="D691" s="56"/>
      <c r="E691" s="56"/>
      <c r="F691" s="56"/>
      <c r="G691" s="56"/>
      <c r="H691" s="56"/>
      <c r="I691" s="67" t="str">
        <f t="shared" si="1"/>
        <v>45141</v>
      </c>
      <c r="J691" s="58"/>
      <c r="K691" s="58"/>
      <c r="L691" s="67" t="s">
        <v>1118</v>
      </c>
      <c r="M691" s="68">
        <v>1.0</v>
      </c>
      <c r="N691" s="58"/>
      <c r="O691" s="56"/>
      <c r="P691" s="58"/>
      <c r="Q691" s="114" t="s">
        <v>491</v>
      </c>
      <c r="R691" s="58"/>
      <c r="S691" s="115" t="s">
        <v>1114</v>
      </c>
      <c r="T691" s="58"/>
      <c r="U691" s="69">
        <v>1.0</v>
      </c>
      <c r="V691" s="58"/>
      <c r="W691" s="69" t="s">
        <v>70</v>
      </c>
      <c r="X691" s="58"/>
      <c r="Y691" s="58"/>
      <c r="Z691" s="58"/>
      <c r="AA691" s="62" t="s">
        <v>79</v>
      </c>
      <c r="AB691" s="62" t="s">
        <v>79</v>
      </c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69" t="s">
        <v>80</v>
      </c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63"/>
      <c r="BO691" s="58"/>
      <c r="BP691" s="58"/>
      <c r="BQ691" s="64"/>
    </row>
    <row r="692">
      <c r="A692" s="20">
        <v>1.0</v>
      </c>
      <c r="B692" s="21" t="s">
        <v>1119</v>
      </c>
      <c r="C692" s="22"/>
      <c r="D692" s="22"/>
      <c r="E692" s="22"/>
      <c r="F692" s="22"/>
      <c r="G692" s="22"/>
      <c r="H692" s="22"/>
      <c r="I692" s="23" t="str">
        <f t="shared" si="1"/>
        <v>49000</v>
      </c>
      <c r="J692" s="24"/>
      <c r="K692" s="24"/>
      <c r="L692" s="23" t="s">
        <v>69</v>
      </c>
      <c r="M692" s="25">
        <v>1.0</v>
      </c>
      <c r="N692" s="24"/>
      <c r="O692" s="22"/>
      <c r="P692" s="24"/>
      <c r="Q692" s="24"/>
      <c r="R692" s="24"/>
      <c r="S692" s="24"/>
      <c r="T692" s="24"/>
      <c r="U692" s="26">
        <v>1.0</v>
      </c>
      <c r="V692" s="24"/>
      <c r="W692" s="26" t="s">
        <v>70</v>
      </c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7"/>
      <c r="BO692" s="24"/>
      <c r="BP692" s="24"/>
      <c r="BQ692" s="10"/>
    </row>
    <row r="693">
      <c r="A693" s="28">
        <v>1.0</v>
      </c>
      <c r="B693" s="29" t="s">
        <v>1120</v>
      </c>
      <c r="C693" s="30"/>
      <c r="D693" s="30"/>
      <c r="E693" s="30"/>
      <c r="F693" s="30"/>
      <c r="G693" s="30"/>
      <c r="H693" s="30"/>
      <c r="I693" s="31" t="str">
        <f t="shared" si="1"/>
        <v>49300</v>
      </c>
      <c r="J693" s="32"/>
      <c r="K693" s="32"/>
      <c r="L693" s="31" t="s">
        <v>1121</v>
      </c>
      <c r="M693" s="33">
        <v>1.0</v>
      </c>
      <c r="N693" s="32"/>
      <c r="O693" s="30"/>
      <c r="P693" s="32"/>
      <c r="Q693" s="32"/>
      <c r="R693" s="32"/>
      <c r="S693" s="32"/>
      <c r="T693" s="32"/>
      <c r="U693" s="34">
        <v>1.0</v>
      </c>
      <c r="V693" s="32"/>
      <c r="W693" s="34" t="s">
        <v>70</v>
      </c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5"/>
      <c r="BO693" s="32"/>
      <c r="BP693" s="32"/>
      <c r="BQ693" s="10"/>
    </row>
    <row r="694">
      <c r="A694" s="36">
        <v>2.0</v>
      </c>
      <c r="B694" s="37" t="s">
        <v>1122</v>
      </c>
      <c r="C694" s="38"/>
      <c r="D694" s="38"/>
      <c r="E694" s="38"/>
      <c r="F694" s="38"/>
      <c r="G694" s="38"/>
      <c r="H694" s="38"/>
      <c r="I694" s="39" t="str">
        <f t="shared" si="1"/>
        <v>49310</v>
      </c>
      <c r="J694" s="40"/>
      <c r="K694" s="40"/>
      <c r="L694" s="39" t="s">
        <v>1123</v>
      </c>
      <c r="M694" s="41">
        <v>1.0</v>
      </c>
      <c r="N694" s="42"/>
      <c r="O694" s="38"/>
      <c r="P694" s="42"/>
      <c r="Q694" s="42"/>
      <c r="R694" s="42"/>
      <c r="S694" s="42"/>
      <c r="T694" s="40"/>
      <c r="U694" s="43">
        <v>1.0</v>
      </c>
      <c r="V694" s="40"/>
      <c r="W694" s="43" t="s">
        <v>70</v>
      </c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2"/>
      <c r="AQ694" s="42"/>
      <c r="AR694" s="42"/>
      <c r="AS694" s="42"/>
      <c r="AT694" s="42"/>
      <c r="AU694" s="42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2"/>
      <c r="BI694" s="42"/>
      <c r="BJ694" s="42"/>
      <c r="BK694" s="42"/>
      <c r="BL694" s="42"/>
      <c r="BM694" s="40"/>
      <c r="BN694" s="44"/>
      <c r="BO694" s="40"/>
      <c r="BP694" s="42"/>
      <c r="BQ694" s="10"/>
    </row>
    <row r="695">
      <c r="A695" s="45">
        <v>3.0</v>
      </c>
      <c r="B695" s="46" t="s">
        <v>1124</v>
      </c>
      <c r="C695" s="47"/>
      <c r="D695" s="47"/>
      <c r="E695" s="47"/>
      <c r="F695" s="47"/>
      <c r="G695" s="47"/>
      <c r="H695" s="47"/>
      <c r="I695" s="48" t="str">
        <f t="shared" si="1"/>
        <v>49311</v>
      </c>
      <c r="J695" s="49"/>
      <c r="K695" s="49"/>
      <c r="L695" s="48" t="s">
        <v>1123</v>
      </c>
      <c r="M695" s="50">
        <v>1.0</v>
      </c>
      <c r="N695" s="51"/>
      <c r="O695" s="47"/>
      <c r="P695" s="51"/>
      <c r="Q695" s="51"/>
      <c r="R695" s="51"/>
      <c r="S695" s="51"/>
      <c r="T695" s="49"/>
      <c r="U695" s="52">
        <v>1.0</v>
      </c>
      <c r="V695" s="49"/>
      <c r="W695" s="52" t="s">
        <v>70</v>
      </c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51"/>
      <c r="AQ695" s="51"/>
      <c r="AR695" s="51"/>
      <c r="AS695" s="51"/>
      <c r="AT695" s="51"/>
      <c r="AU695" s="51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51"/>
      <c r="BI695" s="51"/>
      <c r="BJ695" s="51"/>
      <c r="BK695" s="51"/>
      <c r="BL695" s="51"/>
      <c r="BM695" s="49"/>
      <c r="BN695" s="53"/>
      <c r="BO695" s="49"/>
      <c r="BP695" s="51"/>
      <c r="BQ695" s="10"/>
    </row>
    <row r="696">
      <c r="A696" s="1">
        <v>4.0</v>
      </c>
      <c r="B696" s="2" t="s">
        <v>1124</v>
      </c>
      <c r="C696" s="2" t="s">
        <v>76</v>
      </c>
      <c r="D696" s="93"/>
      <c r="E696" s="93"/>
      <c r="F696" s="93"/>
      <c r="G696" s="93"/>
      <c r="H696" s="93"/>
      <c r="I696" s="3" t="str">
        <f t="shared" si="1"/>
        <v>4931101</v>
      </c>
      <c r="J696" s="3"/>
      <c r="K696" s="3"/>
      <c r="L696" s="94" t="s">
        <v>1125</v>
      </c>
      <c r="M696" s="4">
        <v>2.0</v>
      </c>
      <c r="N696" s="3"/>
      <c r="O696" s="93"/>
      <c r="P696" s="3"/>
      <c r="Q696" s="3"/>
      <c r="R696" s="3"/>
      <c r="S696" s="3"/>
      <c r="T696" s="3"/>
      <c r="U696" s="6">
        <v>1.0</v>
      </c>
      <c r="V696" s="3"/>
      <c r="W696" s="6" t="s">
        <v>304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97"/>
      <c r="BO696" s="3"/>
      <c r="BP696" s="3"/>
      <c r="BQ696" s="10"/>
    </row>
    <row r="697">
      <c r="A697" s="1">
        <v>4.0</v>
      </c>
      <c r="B697" s="2" t="s">
        <v>1124</v>
      </c>
      <c r="C697" s="2" t="s">
        <v>119</v>
      </c>
      <c r="D697" s="93"/>
      <c r="E697" s="93"/>
      <c r="F697" s="93"/>
      <c r="G697" s="93"/>
      <c r="H697" s="93"/>
      <c r="I697" s="3" t="str">
        <f t="shared" si="1"/>
        <v>4931102</v>
      </c>
      <c r="J697" s="3"/>
      <c r="K697" s="3"/>
      <c r="L697" s="94" t="s">
        <v>1126</v>
      </c>
      <c r="M697" s="4">
        <v>2.0</v>
      </c>
      <c r="N697" s="3"/>
      <c r="O697" s="93"/>
      <c r="P697" s="3"/>
      <c r="Q697" s="3"/>
      <c r="R697" s="3"/>
      <c r="S697" s="3"/>
      <c r="T697" s="3"/>
      <c r="U697" s="6">
        <v>1.0</v>
      </c>
      <c r="V697" s="3"/>
      <c r="W697" s="6" t="s">
        <v>304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97"/>
      <c r="BO697" s="3"/>
      <c r="BP697" s="3"/>
      <c r="BQ697" s="10"/>
    </row>
    <row r="698">
      <c r="A698" s="1">
        <v>4.0</v>
      </c>
      <c r="B698" s="2" t="s">
        <v>1124</v>
      </c>
      <c r="C698" s="2" t="s">
        <v>124</v>
      </c>
      <c r="D698" s="93"/>
      <c r="E698" s="93"/>
      <c r="F698" s="93"/>
      <c r="G698" s="93"/>
      <c r="H698" s="93"/>
      <c r="I698" s="3" t="str">
        <f t="shared" si="1"/>
        <v>4931103</v>
      </c>
      <c r="J698" s="3"/>
      <c r="K698" s="3"/>
      <c r="L698" s="94" t="s">
        <v>1127</v>
      </c>
      <c r="M698" s="4">
        <v>2.0</v>
      </c>
      <c r="N698" s="3"/>
      <c r="O698" s="93"/>
      <c r="P698" s="3"/>
      <c r="Q698" s="3"/>
      <c r="R698" s="3"/>
      <c r="S698" s="3"/>
      <c r="T698" s="3"/>
      <c r="U698" s="6">
        <v>1.0</v>
      </c>
      <c r="V698" s="3"/>
      <c r="W698" s="6" t="s">
        <v>304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97"/>
      <c r="BO698" s="3"/>
      <c r="BP698" s="3"/>
      <c r="BQ698" s="10"/>
    </row>
    <row r="699">
      <c r="A699" s="1">
        <v>4.0</v>
      </c>
      <c r="B699" s="2" t="s">
        <v>1124</v>
      </c>
      <c r="C699" s="2" t="s">
        <v>127</v>
      </c>
      <c r="D699" s="93"/>
      <c r="E699" s="93"/>
      <c r="F699" s="93"/>
      <c r="G699" s="93"/>
      <c r="H699" s="93"/>
      <c r="I699" s="3" t="str">
        <f t="shared" si="1"/>
        <v>4931104</v>
      </c>
      <c r="J699" s="3"/>
      <c r="K699" s="3"/>
      <c r="L699" s="94" t="s">
        <v>1128</v>
      </c>
      <c r="M699" s="4">
        <v>2.0</v>
      </c>
      <c r="N699" s="3"/>
      <c r="O699" s="93"/>
      <c r="P699" s="3"/>
      <c r="Q699" s="3"/>
      <c r="R699" s="3"/>
      <c r="S699" s="3"/>
      <c r="T699" s="3"/>
      <c r="U699" s="6">
        <v>1.0</v>
      </c>
      <c r="V699" s="3"/>
      <c r="W699" s="6" t="s">
        <v>304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97"/>
      <c r="BO699" s="3"/>
      <c r="BP699" s="3"/>
      <c r="BQ699" s="10"/>
    </row>
    <row r="700">
      <c r="A700" s="1">
        <v>4.0</v>
      </c>
      <c r="B700" s="2" t="s">
        <v>1124</v>
      </c>
      <c r="C700" s="2" t="s">
        <v>91</v>
      </c>
      <c r="D700" s="93"/>
      <c r="E700" s="93"/>
      <c r="F700" s="93"/>
      <c r="G700" s="93"/>
      <c r="H700" s="93"/>
      <c r="I700" s="3" t="str">
        <f t="shared" si="1"/>
        <v>4931105</v>
      </c>
      <c r="J700" s="3"/>
      <c r="K700" s="3"/>
      <c r="L700" s="94" t="s">
        <v>1129</v>
      </c>
      <c r="M700" s="4">
        <v>2.0</v>
      </c>
      <c r="N700" s="3"/>
      <c r="O700" s="93"/>
      <c r="P700" s="3"/>
      <c r="Q700" s="3"/>
      <c r="R700" s="3"/>
      <c r="S700" s="3"/>
      <c r="T700" s="3"/>
      <c r="U700" s="6">
        <v>1.0</v>
      </c>
      <c r="V700" s="3"/>
      <c r="W700" s="6" t="s">
        <v>304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97"/>
      <c r="BO700" s="3"/>
      <c r="BP700" s="3"/>
      <c r="BQ700" s="10"/>
    </row>
    <row r="701">
      <c r="A701" s="1">
        <v>4.0</v>
      </c>
      <c r="B701" s="2" t="s">
        <v>1124</v>
      </c>
      <c r="C701" s="2" t="s">
        <v>133</v>
      </c>
      <c r="D701" s="93"/>
      <c r="E701" s="93"/>
      <c r="F701" s="93"/>
      <c r="G701" s="93"/>
      <c r="H701" s="93"/>
      <c r="I701" s="3" t="str">
        <f t="shared" si="1"/>
        <v>4931106</v>
      </c>
      <c r="J701" s="3"/>
      <c r="K701" s="3"/>
      <c r="L701" s="94" t="s">
        <v>1130</v>
      </c>
      <c r="M701" s="4">
        <v>2.0</v>
      </c>
      <c r="N701" s="3"/>
      <c r="O701" s="93"/>
      <c r="P701" s="3"/>
      <c r="Q701" s="3"/>
      <c r="R701" s="3"/>
      <c r="S701" s="3"/>
      <c r="T701" s="3"/>
      <c r="U701" s="6">
        <v>1.0</v>
      </c>
      <c r="V701" s="3"/>
      <c r="W701" s="6" t="s">
        <v>304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97"/>
      <c r="BO701" s="3"/>
      <c r="BP701" s="3"/>
      <c r="BQ701" s="10"/>
    </row>
    <row r="702">
      <c r="A702" s="28">
        <v>1.0</v>
      </c>
      <c r="B702" s="29" t="s">
        <v>1131</v>
      </c>
      <c r="C702" s="30"/>
      <c r="D702" s="30"/>
      <c r="E702" s="30"/>
      <c r="F702" s="30"/>
      <c r="G702" s="30"/>
      <c r="H702" s="30"/>
      <c r="I702" s="31" t="str">
        <f t="shared" si="1"/>
        <v>49900</v>
      </c>
      <c r="J702" s="32"/>
      <c r="K702" s="32"/>
      <c r="L702" s="31" t="s">
        <v>1132</v>
      </c>
      <c r="M702" s="33">
        <v>1.0</v>
      </c>
      <c r="N702" s="32"/>
      <c r="O702" s="30"/>
      <c r="P702" s="32"/>
      <c r="Q702" s="32"/>
      <c r="R702" s="32"/>
      <c r="S702" s="32"/>
      <c r="T702" s="32"/>
      <c r="U702" s="34">
        <v>1.0</v>
      </c>
      <c r="V702" s="32"/>
      <c r="W702" s="34" t="s">
        <v>70</v>
      </c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5"/>
      <c r="BO702" s="32"/>
      <c r="BP702" s="32"/>
      <c r="BQ702" s="10"/>
    </row>
    <row r="703">
      <c r="A703" s="36">
        <v>2.0</v>
      </c>
      <c r="B703" s="37" t="s">
        <v>1133</v>
      </c>
      <c r="C703" s="38"/>
      <c r="D703" s="38"/>
      <c r="E703" s="38"/>
      <c r="F703" s="38"/>
      <c r="G703" s="38"/>
      <c r="H703" s="38"/>
      <c r="I703" s="39" t="str">
        <f t="shared" si="1"/>
        <v>49910</v>
      </c>
      <c r="J703" s="40"/>
      <c r="K703" s="40"/>
      <c r="L703" s="39" t="s">
        <v>1134</v>
      </c>
      <c r="M703" s="41">
        <v>1.0</v>
      </c>
      <c r="N703" s="42"/>
      <c r="O703" s="38"/>
      <c r="P703" s="42"/>
      <c r="Q703" s="42"/>
      <c r="R703" s="42"/>
      <c r="S703" s="42"/>
      <c r="T703" s="40"/>
      <c r="U703" s="43">
        <v>1.0</v>
      </c>
      <c r="V703" s="40"/>
      <c r="W703" s="43" t="s">
        <v>70</v>
      </c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2"/>
      <c r="AQ703" s="42"/>
      <c r="AR703" s="42"/>
      <c r="AS703" s="42"/>
      <c r="AT703" s="42"/>
      <c r="AU703" s="42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2"/>
      <c r="BI703" s="42"/>
      <c r="BJ703" s="42"/>
      <c r="BK703" s="42"/>
      <c r="BL703" s="42"/>
      <c r="BM703" s="40"/>
      <c r="BN703" s="44"/>
      <c r="BO703" s="40"/>
      <c r="BP703" s="42"/>
      <c r="BQ703" s="10"/>
    </row>
    <row r="704">
      <c r="A704" s="45">
        <v>3.0</v>
      </c>
      <c r="B704" s="46" t="s">
        <v>1135</v>
      </c>
      <c r="C704" s="47"/>
      <c r="D704" s="47"/>
      <c r="E704" s="47"/>
      <c r="F704" s="47"/>
      <c r="G704" s="47"/>
      <c r="H704" s="47"/>
      <c r="I704" s="48" t="str">
        <f t="shared" si="1"/>
        <v>49911</v>
      </c>
      <c r="J704" s="49"/>
      <c r="K704" s="49"/>
      <c r="L704" s="48" t="s">
        <v>1136</v>
      </c>
      <c r="M704" s="50">
        <v>1.0</v>
      </c>
      <c r="N704" s="51"/>
      <c r="O704" s="47"/>
      <c r="P704" s="51"/>
      <c r="Q704" s="51"/>
      <c r="R704" s="51"/>
      <c r="S704" s="51"/>
      <c r="T704" s="49"/>
      <c r="U704" s="52">
        <v>1.0</v>
      </c>
      <c r="V704" s="49"/>
      <c r="W704" s="52" t="s">
        <v>70</v>
      </c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51"/>
      <c r="AQ704" s="51"/>
      <c r="AR704" s="51"/>
      <c r="AS704" s="51"/>
      <c r="AT704" s="51"/>
      <c r="AU704" s="51"/>
      <c r="AV704" s="49"/>
      <c r="AW704" s="49"/>
      <c r="AX704" s="49"/>
      <c r="AY704" s="49"/>
      <c r="AZ704" s="49"/>
      <c r="BA704" s="49"/>
      <c r="BB704" s="49"/>
      <c r="BC704" s="49"/>
      <c r="BD704" s="49"/>
      <c r="BE704" s="49"/>
      <c r="BF704" s="49"/>
      <c r="BG704" s="49"/>
      <c r="BH704" s="51"/>
      <c r="BI704" s="51"/>
      <c r="BJ704" s="51"/>
      <c r="BK704" s="51"/>
      <c r="BL704" s="51"/>
      <c r="BM704" s="49"/>
      <c r="BN704" s="53"/>
      <c r="BO704" s="49"/>
      <c r="BP704" s="51"/>
      <c r="BQ704" s="10"/>
    </row>
    <row r="705">
      <c r="A705" s="1">
        <v>4.0</v>
      </c>
      <c r="B705" s="2" t="s">
        <v>1135</v>
      </c>
      <c r="C705" s="2" t="s">
        <v>76</v>
      </c>
      <c r="D705" s="93"/>
      <c r="E705" s="93"/>
      <c r="F705" s="93"/>
      <c r="G705" s="93"/>
      <c r="H705" s="93"/>
      <c r="I705" s="3" t="str">
        <f t="shared" si="1"/>
        <v>4991101</v>
      </c>
      <c r="J705" s="3"/>
      <c r="K705" s="3"/>
      <c r="L705" s="94" t="s">
        <v>1137</v>
      </c>
      <c r="M705" s="4">
        <v>2.0</v>
      </c>
      <c r="N705" s="3"/>
      <c r="O705" s="93"/>
      <c r="P705" s="3"/>
      <c r="Q705" s="3"/>
      <c r="R705" s="3"/>
      <c r="S705" s="3"/>
      <c r="T705" s="3"/>
      <c r="U705" s="6">
        <v>1.0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97"/>
      <c r="BO705" s="3"/>
      <c r="BP705" s="3"/>
      <c r="BQ705" s="10"/>
    </row>
    <row r="706">
      <c r="A706" s="1">
        <v>4.0</v>
      </c>
      <c r="B706" s="2" t="s">
        <v>1135</v>
      </c>
      <c r="C706" s="2" t="s">
        <v>119</v>
      </c>
      <c r="D706" s="93"/>
      <c r="E706" s="93"/>
      <c r="F706" s="93"/>
      <c r="G706" s="93"/>
      <c r="H706" s="93"/>
      <c r="I706" s="3" t="str">
        <f t="shared" si="1"/>
        <v>4991102</v>
      </c>
      <c r="J706" s="3"/>
      <c r="K706" s="3"/>
      <c r="L706" s="94" t="s">
        <v>1138</v>
      </c>
      <c r="M706" s="4">
        <v>2.0</v>
      </c>
      <c r="N706" s="3"/>
      <c r="O706" s="93"/>
      <c r="P706" s="3"/>
      <c r="Q706" s="3"/>
      <c r="R706" s="3"/>
      <c r="S706" s="3"/>
      <c r="T706" s="3"/>
      <c r="U706" s="6">
        <v>1.0</v>
      </c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97"/>
      <c r="BO706" s="3"/>
      <c r="BP706" s="3"/>
      <c r="BQ706" s="10"/>
    </row>
    <row r="707">
      <c r="A707" s="1">
        <v>4.0</v>
      </c>
      <c r="B707" s="2" t="s">
        <v>1135</v>
      </c>
      <c r="C707" s="2" t="s">
        <v>124</v>
      </c>
      <c r="D707" s="93"/>
      <c r="E707" s="93"/>
      <c r="F707" s="93"/>
      <c r="G707" s="93"/>
      <c r="H707" s="93"/>
      <c r="I707" s="3" t="str">
        <f t="shared" si="1"/>
        <v>4991103</v>
      </c>
      <c r="J707" s="3"/>
      <c r="K707" s="3"/>
      <c r="L707" s="94" t="s">
        <v>1139</v>
      </c>
      <c r="M707" s="4">
        <v>2.0</v>
      </c>
      <c r="N707" s="3"/>
      <c r="O707" s="93"/>
      <c r="P707" s="3"/>
      <c r="Q707" s="3"/>
      <c r="R707" s="3"/>
      <c r="S707" s="3"/>
      <c r="T707" s="3"/>
      <c r="U707" s="6">
        <v>1.0</v>
      </c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97"/>
      <c r="BO707" s="3"/>
      <c r="BP707" s="3"/>
      <c r="BQ707" s="10"/>
    </row>
    <row r="708">
      <c r="A708" s="1">
        <v>4.0</v>
      </c>
      <c r="B708" s="2" t="s">
        <v>1135</v>
      </c>
      <c r="C708" s="2" t="s">
        <v>127</v>
      </c>
      <c r="D708" s="93"/>
      <c r="E708" s="93"/>
      <c r="F708" s="93"/>
      <c r="G708" s="93"/>
      <c r="H708" s="93"/>
      <c r="I708" s="3" t="str">
        <f t="shared" si="1"/>
        <v>4991104</v>
      </c>
      <c r="J708" s="3"/>
      <c r="K708" s="3"/>
      <c r="L708" s="94" t="s">
        <v>1140</v>
      </c>
      <c r="M708" s="4">
        <v>2.0</v>
      </c>
      <c r="N708" s="3"/>
      <c r="O708" s="93"/>
      <c r="P708" s="3"/>
      <c r="Q708" s="3"/>
      <c r="R708" s="3"/>
      <c r="S708" s="3"/>
      <c r="T708" s="3"/>
      <c r="U708" s="6">
        <v>1.0</v>
      </c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97"/>
      <c r="BO708" s="3"/>
      <c r="BP708" s="3"/>
      <c r="BQ708" s="10"/>
    </row>
    <row r="709">
      <c r="A709" s="1">
        <v>4.0</v>
      </c>
      <c r="B709" s="2" t="s">
        <v>1135</v>
      </c>
      <c r="C709" s="2" t="s">
        <v>91</v>
      </c>
      <c r="D709" s="93"/>
      <c r="E709" s="93"/>
      <c r="F709" s="93"/>
      <c r="G709" s="93"/>
      <c r="H709" s="93"/>
      <c r="I709" s="3" t="str">
        <f t="shared" si="1"/>
        <v>4991105</v>
      </c>
      <c r="J709" s="3"/>
      <c r="K709" s="3"/>
      <c r="L709" s="94" t="s">
        <v>1141</v>
      </c>
      <c r="M709" s="4">
        <v>2.0</v>
      </c>
      <c r="N709" s="3"/>
      <c r="O709" s="93"/>
      <c r="P709" s="3"/>
      <c r="Q709" s="3"/>
      <c r="R709" s="3"/>
      <c r="S709" s="3"/>
      <c r="T709" s="3"/>
      <c r="U709" s="6">
        <v>1.0</v>
      </c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97"/>
      <c r="BO709" s="3"/>
      <c r="BP709" s="3"/>
      <c r="BQ709" s="10"/>
    </row>
    <row r="710">
      <c r="A710" s="1">
        <v>4.0</v>
      </c>
      <c r="B710" s="2" t="s">
        <v>1135</v>
      </c>
      <c r="C710" s="2" t="s">
        <v>133</v>
      </c>
      <c r="D710" s="93"/>
      <c r="E710" s="93"/>
      <c r="F710" s="93"/>
      <c r="G710" s="93"/>
      <c r="H710" s="93"/>
      <c r="I710" s="3" t="str">
        <f t="shared" si="1"/>
        <v>4991106</v>
      </c>
      <c r="J710" s="3"/>
      <c r="K710" s="3"/>
      <c r="L710" s="94" t="s">
        <v>1142</v>
      </c>
      <c r="M710" s="4">
        <v>2.0</v>
      </c>
      <c r="N710" s="3"/>
      <c r="O710" s="93"/>
      <c r="P710" s="3"/>
      <c r="Q710" s="3"/>
      <c r="R710" s="3"/>
      <c r="S710" s="3"/>
      <c r="T710" s="3"/>
      <c r="U710" s="6">
        <v>1.0</v>
      </c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97"/>
      <c r="BO710" s="3"/>
      <c r="BP710" s="3"/>
      <c r="BQ710" s="10"/>
    </row>
    <row r="711">
      <c r="A711" s="1">
        <v>4.0</v>
      </c>
      <c r="B711" s="2" t="s">
        <v>1135</v>
      </c>
      <c r="C711" s="2" t="s">
        <v>136</v>
      </c>
      <c r="D711" s="93"/>
      <c r="E711" s="93"/>
      <c r="F711" s="93"/>
      <c r="G711" s="93"/>
      <c r="H711" s="93"/>
      <c r="I711" s="3" t="str">
        <f t="shared" si="1"/>
        <v>4991107</v>
      </c>
      <c r="J711" s="3"/>
      <c r="K711" s="3"/>
      <c r="L711" s="94" t="s">
        <v>1143</v>
      </c>
      <c r="M711" s="4">
        <v>2.0</v>
      </c>
      <c r="N711" s="3"/>
      <c r="O711" s="93"/>
      <c r="P711" s="3"/>
      <c r="Q711" s="3"/>
      <c r="R711" s="3"/>
      <c r="S711" s="3"/>
      <c r="T711" s="3"/>
      <c r="U711" s="6">
        <v>1.0</v>
      </c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97"/>
      <c r="BO711" s="3"/>
      <c r="BP711" s="3"/>
      <c r="BQ711" s="10"/>
    </row>
    <row r="712">
      <c r="A712" s="1">
        <v>4.0</v>
      </c>
      <c r="B712" s="2" t="s">
        <v>1135</v>
      </c>
      <c r="C712" s="2" t="s">
        <v>138</v>
      </c>
      <c r="D712" s="93"/>
      <c r="E712" s="93"/>
      <c r="F712" s="93"/>
      <c r="G712" s="93"/>
      <c r="H712" s="93"/>
      <c r="I712" s="3" t="str">
        <f t="shared" si="1"/>
        <v>4991108</v>
      </c>
      <c r="J712" s="3"/>
      <c r="K712" s="3"/>
      <c r="L712" s="94" t="s">
        <v>1144</v>
      </c>
      <c r="M712" s="4">
        <v>2.0</v>
      </c>
      <c r="N712" s="3"/>
      <c r="O712" s="93"/>
      <c r="P712" s="3"/>
      <c r="Q712" s="3"/>
      <c r="R712" s="3"/>
      <c r="S712" s="3"/>
      <c r="T712" s="3"/>
      <c r="U712" s="6">
        <v>2.0</v>
      </c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97"/>
      <c r="BO712" s="3"/>
      <c r="BP712" s="3"/>
      <c r="BQ712" s="10"/>
    </row>
    <row r="713">
      <c r="A713" s="1">
        <v>4.0</v>
      </c>
      <c r="B713" s="2" t="s">
        <v>1135</v>
      </c>
      <c r="C713" s="2" t="s">
        <v>142</v>
      </c>
      <c r="D713" s="93"/>
      <c r="E713" s="93"/>
      <c r="F713" s="93"/>
      <c r="G713" s="93"/>
      <c r="H713" s="93"/>
      <c r="I713" s="3" t="str">
        <f t="shared" si="1"/>
        <v>4991109</v>
      </c>
      <c r="J713" s="3"/>
      <c r="K713" s="3"/>
      <c r="L713" s="94" t="s">
        <v>888</v>
      </c>
      <c r="M713" s="4">
        <v>2.0</v>
      </c>
      <c r="N713" s="3"/>
      <c r="O713" s="93"/>
      <c r="P713" s="3"/>
      <c r="Q713" s="3"/>
      <c r="R713" s="3"/>
      <c r="S713" s="3"/>
      <c r="T713" s="3"/>
      <c r="U713" s="6">
        <v>1.0</v>
      </c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97"/>
      <c r="BO713" s="3"/>
      <c r="BP713" s="3"/>
      <c r="BQ713" s="10"/>
    </row>
    <row r="714">
      <c r="A714" s="1">
        <v>4.0</v>
      </c>
      <c r="B714" s="2" t="s">
        <v>1135</v>
      </c>
      <c r="C714" s="2" t="s">
        <v>149</v>
      </c>
      <c r="D714" s="93"/>
      <c r="E714" s="93"/>
      <c r="F714" s="93"/>
      <c r="G714" s="93"/>
      <c r="H714" s="93"/>
      <c r="I714" s="3" t="str">
        <f t="shared" si="1"/>
        <v>499110A</v>
      </c>
      <c r="J714" s="3"/>
      <c r="K714" s="3"/>
      <c r="L714" s="94" t="s">
        <v>1145</v>
      </c>
      <c r="M714" s="4">
        <v>2.0</v>
      </c>
      <c r="N714" s="3"/>
      <c r="O714" s="93"/>
      <c r="P714" s="3"/>
      <c r="Q714" s="3"/>
      <c r="R714" s="3"/>
      <c r="S714" s="3"/>
      <c r="T714" s="3"/>
      <c r="U714" s="6">
        <v>1.0</v>
      </c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97"/>
      <c r="BO714" s="3"/>
      <c r="BP714" s="3"/>
      <c r="BQ714" s="10"/>
    </row>
    <row r="715">
      <c r="A715" s="1">
        <v>4.0</v>
      </c>
      <c r="B715" s="2" t="s">
        <v>1135</v>
      </c>
      <c r="C715" s="2" t="s">
        <v>151</v>
      </c>
      <c r="D715" s="93"/>
      <c r="E715" s="93"/>
      <c r="F715" s="93"/>
      <c r="G715" s="93"/>
      <c r="H715" s="93"/>
      <c r="I715" s="3" t="str">
        <f t="shared" si="1"/>
        <v>499110B</v>
      </c>
      <c r="J715" s="3"/>
      <c r="K715" s="3"/>
      <c r="L715" s="94" t="s">
        <v>1146</v>
      </c>
      <c r="M715" s="4">
        <v>2.0</v>
      </c>
      <c r="N715" s="3"/>
      <c r="O715" s="93"/>
      <c r="P715" s="3"/>
      <c r="Q715" s="3"/>
      <c r="R715" s="3"/>
      <c r="S715" s="3"/>
      <c r="T715" s="3"/>
      <c r="U715" s="6">
        <v>2.0</v>
      </c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97"/>
      <c r="BO715" s="3"/>
      <c r="BP715" s="3"/>
      <c r="BQ715" s="10"/>
    </row>
    <row r="716">
      <c r="A716" s="1">
        <v>4.0</v>
      </c>
      <c r="B716" s="2" t="s">
        <v>1135</v>
      </c>
      <c r="C716" s="2" t="s">
        <v>155</v>
      </c>
      <c r="D716" s="93"/>
      <c r="E716" s="93"/>
      <c r="F716" s="93"/>
      <c r="G716" s="93"/>
      <c r="H716" s="93"/>
      <c r="I716" s="3" t="str">
        <f t="shared" si="1"/>
        <v>499110C</v>
      </c>
      <c r="J716" s="3"/>
      <c r="K716" s="3"/>
      <c r="L716" s="94" t="s">
        <v>1147</v>
      </c>
      <c r="M716" s="4">
        <v>2.0</v>
      </c>
      <c r="N716" s="3"/>
      <c r="O716" s="93"/>
      <c r="P716" s="3"/>
      <c r="Q716" s="3"/>
      <c r="R716" s="3"/>
      <c r="S716" s="3"/>
      <c r="T716" s="3"/>
      <c r="U716" s="6">
        <v>2.0</v>
      </c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97"/>
      <c r="BO716" s="3"/>
      <c r="BP716" s="3"/>
      <c r="BQ716" s="10"/>
    </row>
    <row r="717">
      <c r="A717" s="1">
        <v>4.0</v>
      </c>
      <c r="B717" s="2" t="s">
        <v>1135</v>
      </c>
      <c r="C717" s="2" t="s">
        <v>158</v>
      </c>
      <c r="D717" s="93"/>
      <c r="E717" s="93"/>
      <c r="F717" s="93"/>
      <c r="G717" s="93"/>
      <c r="H717" s="93"/>
      <c r="I717" s="3" t="str">
        <f t="shared" si="1"/>
        <v>499110D</v>
      </c>
      <c r="J717" s="3"/>
      <c r="K717" s="3"/>
      <c r="L717" s="94" t="s">
        <v>1148</v>
      </c>
      <c r="M717" s="4">
        <v>2.0</v>
      </c>
      <c r="N717" s="3"/>
      <c r="O717" s="93"/>
      <c r="P717" s="3"/>
      <c r="Q717" s="3"/>
      <c r="R717" s="3"/>
      <c r="S717" s="3"/>
      <c r="T717" s="3"/>
      <c r="U717" s="6">
        <v>1.0</v>
      </c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97"/>
      <c r="BO717" s="3"/>
      <c r="BP717" s="3"/>
      <c r="BQ717" s="10"/>
    </row>
    <row r="718">
      <c r="A718" s="1">
        <v>4.0</v>
      </c>
      <c r="B718" s="2" t="s">
        <v>1135</v>
      </c>
      <c r="C718" s="2" t="s">
        <v>162</v>
      </c>
      <c r="D718" s="93"/>
      <c r="E718" s="93"/>
      <c r="F718" s="93"/>
      <c r="G718" s="93"/>
      <c r="H718" s="93"/>
      <c r="I718" s="3" t="str">
        <f t="shared" si="1"/>
        <v>499110E</v>
      </c>
      <c r="J718" s="3"/>
      <c r="K718" s="3"/>
      <c r="L718" s="94" t="s">
        <v>1149</v>
      </c>
      <c r="M718" s="4">
        <v>2.0</v>
      </c>
      <c r="N718" s="3"/>
      <c r="O718" s="93"/>
      <c r="P718" s="3"/>
      <c r="Q718" s="3"/>
      <c r="R718" s="3"/>
      <c r="S718" s="3"/>
      <c r="T718" s="3"/>
      <c r="U718" s="6">
        <v>1.0</v>
      </c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97"/>
      <c r="BO718" s="3"/>
      <c r="BP718" s="3"/>
      <c r="BQ718" s="10"/>
    </row>
    <row r="719">
      <c r="A719" s="1">
        <v>4.0</v>
      </c>
      <c r="B719" s="2" t="s">
        <v>1135</v>
      </c>
      <c r="C719" s="2" t="s">
        <v>166</v>
      </c>
      <c r="D719" s="93"/>
      <c r="E719" s="93"/>
      <c r="F719" s="93"/>
      <c r="G719" s="93"/>
      <c r="H719" s="93"/>
      <c r="I719" s="3" t="str">
        <f t="shared" si="1"/>
        <v>499110F</v>
      </c>
      <c r="J719" s="3"/>
      <c r="K719" s="3"/>
      <c r="L719" s="94" t="s">
        <v>1150</v>
      </c>
      <c r="M719" s="4">
        <v>2.0</v>
      </c>
      <c r="N719" s="3"/>
      <c r="O719" s="93"/>
      <c r="P719" s="3"/>
      <c r="Q719" s="3"/>
      <c r="R719" s="3"/>
      <c r="S719" s="3"/>
      <c r="T719" s="3"/>
      <c r="U719" s="6">
        <v>4.0</v>
      </c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97"/>
      <c r="BO719" s="3"/>
      <c r="BP719" s="3"/>
      <c r="BQ719" s="10"/>
    </row>
    <row r="720">
      <c r="A720" s="20">
        <v>1.0</v>
      </c>
      <c r="B720" s="21">
        <v>50000.0</v>
      </c>
      <c r="C720" s="22"/>
      <c r="D720" s="22"/>
      <c r="E720" s="22"/>
      <c r="F720" s="22"/>
      <c r="G720" s="22"/>
      <c r="H720" s="22"/>
      <c r="I720" s="23" t="str">
        <f t="shared" si="1"/>
        <v>50000</v>
      </c>
      <c r="J720" s="24"/>
      <c r="K720" s="24"/>
      <c r="L720" s="23" t="s">
        <v>1151</v>
      </c>
      <c r="M720" s="25">
        <v>1.0</v>
      </c>
      <c r="N720" s="24"/>
      <c r="O720" s="22"/>
      <c r="P720" s="24"/>
      <c r="Q720" s="24"/>
      <c r="R720" s="24"/>
      <c r="S720" s="24"/>
      <c r="T720" s="24"/>
      <c r="U720" s="26">
        <v>1.0</v>
      </c>
      <c r="V720" s="24"/>
      <c r="W720" s="26" t="s">
        <v>70</v>
      </c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7"/>
      <c r="BO720" s="24"/>
      <c r="BP720" s="24"/>
      <c r="BQ720" s="10"/>
    </row>
    <row r="721">
      <c r="A721" s="28">
        <v>1.0</v>
      </c>
      <c r="B721" s="29">
        <v>50600.0</v>
      </c>
      <c r="C721" s="30"/>
      <c r="D721" s="30"/>
      <c r="E721" s="30"/>
      <c r="F721" s="30"/>
      <c r="G721" s="30"/>
      <c r="H721" s="30"/>
      <c r="I721" s="31" t="str">
        <f t="shared" si="1"/>
        <v>50600</v>
      </c>
      <c r="J721" s="32"/>
      <c r="K721" s="32"/>
      <c r="L721" s="31" t="s">
        <v>1152</v>
      </c>
      <c r="M721" s="33">
        <v>1.0</v>
      </c>
      <c r="N721" s="32"/>
      <c r="O721" s="30"/>
      <c r="P721" s="32"/>
      <c r="Q721" s="32"/>
      <c r="R721" s="32"/>
      <c r="S721" s="32"/>
      <c r="T721" s="32"/>
      <c r="U721" s="34">
        <v>1.0</v>
      </c>
      <c r="V721" s="32"/>
      <c r="W721" s="34" t="s">
        <v>70</v>
      </c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5"/>
      <c r="BO721" s="32"/>
      <c r="BP721" s="32"/>
      <c r="BQ721" s="10"/>
    </row>
    <row r="722">
      <c r="A722" s="36">
        <v>2.0</v>
      </c>
      <c r="B722" s="37">
        <v>50610.0</v>
      </c>
      <c r="C722" s="38"/>
      <c r="D722" s="38"/>
      <c r="E722" s="38"/>
      <c r="F722" s="38"/>
      <c r="G722" s="38"/>
      <c r="H722" s="38"/>
      <c r="I722" s="39" t="str">
        <f t="shared" si="1"/>
        <v>50610</v>
      </c>
      <c r="J722" s="40"/>
      <c r="K722" s="40"/>
      <c r="L722" s="39" t="s">
        <v>1152</v>
      </c>
      <c r="M722" s="41">
        <v>1.0</v>
      </c>
      <c r="N722" s="42"/>
      <c r="O722" s="38"/>
      <c r="P722" s="42"/>
      <c r="Q722" s="42"/>
      <c r="R722" s="42"/>
      <c r="S722" s="42"/>
      <c r="T722" s="40"/>
      <c r="U722" s="43">
        <v>1.0</v>
      </c>
      <c r="V722" s="40"/>
      <c r="W722" s="43" t="s">
        <v>70</v>
      </c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2"/>
      <c r="AQ722" s="42"/>
      <c r="AR722" s="42"/>
      <c r="AS722" s="42"/>
      <c r="AT722" s="42"/>
      <c r="AU722" s="42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2"/>
      <c r="BI722" s="42"/>
      <c r="BJ722" s="42"/>
      <c r="BK722" s="42"/>
      <c r="BL722" s="42"/>
      <c r="BM722" s="40"/>
      <c r="BN722" s="44"/>
      <c r="BO722" s="40"/>
      <c r="BP722" s="42"/>
      <c r="BQ722" s="10"/>
    </row>
    <row r="723">
      <c r="A723" s="45">
        <v>3.0</v>
      </c>
      <c r="B723" s="46">
        <v>50612.0</v>
      </c>
      <c r="C723" s="47"/>
      <c r="D723" s="47"/>
      <c r="E723" s="47"/>
      <c r="F723" s="47"/>
      <c r="G723" s="47"/>
      <c r="H723" s="47"/>
      <c r="I723" s="48" t="str">
        <f t="shared" si="1"/>
        <v>50612</v>
      </c>
      <c r="J723" s="49"/>
      <c r="K723" s="49"/>
      <c r="L723" s="48" t="s">
        <v>1153</v>
      </c>
      <c r="M723" s="50">
        <v>1.0</v>
      </c>
      <c r="N723" s="51"/>
      <c r="O723" s="47"/>
      <c r="P723" s="51"/>
      <c r="Q723" s="51"/>
      <c r="R723" s="51"/>
      <c r="S723" s="51"/>
      <c r="T723" s="49"/>
      <c r="U723" s="52">
        <v>1.0</v>
      </c>
      <c r="V723" s="49"/>
      <c r="W723" s="52" t="s">
        <v>70</v>
      </c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51"/>
      <c r="AQ723" s="51"/>
      <c r="AR723" s="51"/>
      <c r="AS723" s="51"/>
      <c r="AT723" s="51"/>
      <c r="AU723" s="51"/>
      <c r="AV723" s="49"/>
      <c r="AW723" s="49"/>
      <c r="AX723" s="49"/>
      <c r="AY723" s="49"/>
      <c r="AZ723" s="49"/>
      <c r="BA723" s="49"/>
      <c r="BB723" s="49"/>
      <c r="BC723" s="49"/>
      <c r="BD723" s="49"/>
      <c r="BE723" s="49"/>
      <c r="BF723" s="49"/>
      <c r="BG723" s="49"/>
      <c r="BH723" s="51"/>
      <c r="BI723" s="51"/>
      <c r="BJ723" s="51"/>
      <c r="BK723" s="51"/>
      <c r="BL723" s="51"/>
      <c r="BM723" s="49"/>
      <c r="BN723" s="53"/>
      <c r="BO723" s="49"/>
      <c r="BP723" s="51"/>
      <c r="BQ723" s="10"/>
    </row>
    <row r="724">
      <c r="A724" s="1">
        <v>4.0</v>
      </c>
      <c r="B724" s="2">
        <v>50612.0</v>
      </c>
      <c r="C724" s="2" t="s">
        <v>76</v>
      </c>
      <c r="D724" s="93"/>
      <c r="E724" s="93"/>
      <c r="F724" s="93"/>
      <c r="G724" s="93"/>
      <c r="H724" s="93"/>
      <c r="I724" s="3" t="str">
        <f t="shared" si="1"/>
        <v>5061201</v>
      </c>
      <c r="J724" s="3"/>
      <c r="K724" s="3"/>
      <c r="L724" s="94" t="s">
        <v>1154</v>
      </c>
      <c r="M724" s="4">
        <v>2.0</v>
      </c>
      <c r="N724" s="3"/>
      <c r="O724" s="93"/>
      <c r="P724" s="3"/>
      <c r="Q724" s="3"/>
      <c r="R724" s="3"/>
      <c r="S724" s="3"/>
      <c r="T724" s="3"/>
      <c r="U724" s="6" t="s">
        <v>79</v>
      </c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97"/>
      <c r="BO724" s="3"/>
      <c r="BP724" s="3"/>
      <c r="BQ724" s="10"/>
    </row>
    <row r="725">
      <c r="A725" s="1">
        <v>4.0</v>
      </c>
      <c r="B725" s="2">
        <v>50612.0</v>
      </c>
      <c r="C725" s="2" t="s">
        <v>119</v>
      </c>
      <c r="D725" s="93"/>
      <c r="E725" s="93"/>
      <c r="F725" s="93"/>
      <c r="G725" s="93"/>
      <c r="H725" s="93"/>
      <c r="I725" s="3" t="str">
        <f t="shared" si="1"/>
        <v>5061202</v>
      </c>
      <c r="J725" s="3"/>
      <c r="K725" s="3"/>
      <c r="L725" s="94" t="s">
        <v>1155</v>
      </c>
      <c r="M725" s="4">
        <v>2.0</v>
      </c>
      <c r="N725" s="3"/>
      <c r="O725" s="93"/>
      <c r="P725" s="3"/>
      <c r="Q725" s="3"/>
      <c r="R725" s="3"/>
      <c r="S725" s="3"/>
      <c r="T725" s="3"/>
      <c r="U725" s="6" t="s">
        <v>79</v>
      </c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97"/>
      <c r="BO725" s="3"/>
      <c r="BP725" s="3"/>
      <c r="BQ725" s="10"/>
    </row>
    <row r="726">
      <c r="A726" s="45">
        <v>3.0</v>
      </c>
      <c r="B726" s="46">
        <v>50613.0</v>
      </c>
      <c r="C726" s="47"/>
      <c r="D726" s="47"/>
      <c r="E726" s="47"/>
      <c r="F726" s="47"/>
      <c r="G726" s="47"/>
      <c r="H726" s="47"/>
      <c r="I726" s="48" t="str">
        <f t="shared" si="1"/>
        <v>50613</v>
      </c>
      <c r="J726" s="49"/>
      <c r="K726" s="49"/>
      <c r="L726" s="48" t="s">
        <v>1156</v>
      </c>
      <c r="M726" s="50">
        <v>1.0</v>
      </c>
      <c r="N726" s="51"/>
      <c r="O726" s="47"/>
      <c r="P726" s="51"/>
      <c r="Q726" s="51"/>
      <c r="R726" s="51"/>
      <c r="S726" s="51"/>
      <c r="T726" s="49"/>
      <c r="U726" s="52">
        <v>1.0</v>
      </c>
      <c r="V726" s="49"/>
      <c r="W726" s="52" t="s">
        <v>70</v>
      </c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51"/>
      <c r="AQ726" s="51"/>
      <c r="AR726" s="51"/>
      <c r="AS726" s="51"/>
      <c r="AT726" s="51"/>
      <c r="AU726" s="51"/>
      <c r="AV726" s="49"/>
      <c r="AW726" s="49"/>
      <c r="AX726" s="49"/>
      <c r="AY726" s="49"/>
      <c r="AZ726" s="49"/>
      <c r="BA726" s="49"/>
      <c r="BB726" s="49"/>
      <c r="BC726" s="49"/>
      <c r="BD726" s="49"/>
      <c r="BE726" s="49"/>
      <c r="BF726" s="49"/>
      <c r="BG726" s="49"/>
      <c r="BH726" s="51"/>
      <c r="BI726" s="51"/>
      <c r="BJ726" s="51"/>
      <c r="BK726" s="51"/>
      <c r="BL726" s="51"/>
      <c r="BM726" s="49"/>
      <c r="BN726" s="53"/>
      <c r="BO726" s="49"/>
      <c r="BP726" s="51"/>
      <c r="BQ726" s="10"/>
    </row>
    <row r="727">
      <c r="A727" s="20">
        <v>1.0</v>
      </c>
      <c r="B727" s="21" t="s">
        <v>1157</v>
      </c>
      <c r="C727" s="22"/>
      <c r="D727" s="22"/>
      <c r="E727" s="22"/>
      <c r="F727" s="22"/>
      <c r="G727" s="22"/>
      <c r="H727" s="22"/>
      <c r="I727" s="23" t="str">
        <f t="shared" si="1"/>
        <v>51000</v>
      </c>
      <c r="J727" s="24"/>
      <c r="K727" s="24"/>
      <c r="L727" s="23" t="s">
        <v>1158</v>
      </c>
      <c r="M727" s="25">
        <v>1.0</v>
      </c>
      <c r="N727" s="24"/>
      <c r="O727" s="22"/>
      <c r="P727" s="24"/>
      <c r="Q727" s="24"/>
      <c r="R727" s="24"/>
      <c r="S727" s="24"/>
      <c r="T727" s="24"/>
      <c r="U727" s="26">
        <v>1.0</v>
      </c>
      <c r="V727" s="24"/>
      <c r="W727" s="26" t="s">
        <v>70</v>
      </c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7"/>
      <c r="BO727" s="24"/>
      <c r="BP727" s="24"/>
      <c r="BQ727" s="10"/>
    </row>
    <row r="728">
      <c r="A728" s="28">
        <v>1.0</v>
      </c>
      <c r="B728" s="29" t="s">
        <v>1159</v>
      </c>
      <c r="C728" s="30"/>
      <c r="D728" s="30"/>
      <c r="E728" s="30"/>
      <c r="F728" s="30"/>
      <c r="G728" s="30"/>
      <c r="H728" s="30"/>
      <c r="I728" s="31" t="str">
        <f t="shared" si="1"/>
        <v>51100</v>
      </c>
      <c r="J728" s="32"/>
      <c r="K728" s="32"/>
      <c r="L728" s="31" t="s">
        <v>1160</v>
      </c>
      <c r="M728" s="33">
        <v>1.0</v>
      </c>
      <c r="N728" s="32"/>
      <c r="O728" s="30"/>
      <c r="P728" s="32"/>
      <c r="Q728" s="32"/>
      <c r="R728" s="32"/>
      <c r="S728" s="32"/>
      <c r="T728" s="32"/>
      <c r="U728" s="34">
        <v>1.0</v>
      </c>
      <c r="V728" s="32"/>
      <c r="W728" s="34" t="s">
        <v>70</v>
      </c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5"/>
      <c r="BO728" s="32"/>
      <c r="BP728" s="32"/>
      <c r="BQ728" s="10"/>
    </row>
    <row r="729">
      <c r="A729" s="36">
        <v>2.0</v>
      </c>
      <c r="B729" s="37" t="s">
        <v>1161</v>
      </c>
      <c r="C729" s="38"/>
      <c r="D729" s="38"/>
      <c r="E729" s="38"/>
      <c r="F729" s="38"/>
      <c r="G729" s="38"/>
      <c r="H729" s="38"/>
      <c r="I729" s="39" t="str">
        <f t="shared" si="1"/>
        <v>51110</v>
      </c>
      <c r="J729" s="40"/>
      <c r="K729" s="40"/>
      <c r="L729" s="39" t="s">
        <v>1162</v>
      </c>
      <c r="M729" s="41">
        <v>1.0</v>
      </c>
      <c r="N729" s="42"/>
      <c r="O729" s="38"/>
      <c r="P729" s="42"/>
      <c r="Q729" s="42"/>
      <c r="R729" s="42"/>
      <c r="S729" s="42"/>
      <c r="T729" s="40"/>
      <c r="U729" s="43">
        <v>1.0</v>
      </c>
      <c r="V729" s="40"/>
      <c r="W729" s="43" t="s">
        <v>70</v>
      </c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2"/>
      <c r="AQ729" s="42"/>
      <c r="AR729" s="42"/>
      <c r="AS729" s="42"/>
      <c r="AT729" s="42"/>
      <c r="AU729" s="42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2"/>
      <c r="BI729" s="42"/>
      <c r="BJ729" s="42"/>
      <c r="BK729" s="42"/>
      <c r="BL729" s="42"/>
      <c r="BM729" s="40"/>
      <c r="BN729" s="44"/>
      <c r="BO729" s="40"/>
      <c r="BP729" s="42"/>
      <c r="BQ729" s="10"/>
    </row>
    <row r="730">
      <c r="A730" s="45">
        <v>3.0</v>
      </c>
      <c r="B730" s="46" t="s">
        <v>1163</v>
      </c>
      <c r="C730" s="47"/>
      <c r="D730" s="47"/>
      <c r="E730" s="47"/>
      <c r="F730" s="47"/>
      <c r="G730" s="47"/>
      <c r="H730" s="47"/>
      <c r="I730" s="48" t="str">
        <f t="shared" si="1"/>
        <v>51111</v>
      </c>
      <c r="J730" s="49"/>
      <c r="K730" s="49"/>
      <c r="L730" s="48" t="s">
        <v>1164</v>
      </c>
      <c r="M730" s="50">
        <v>1.0</v>
      </c>
      <c r="N730" s="51"/>
      <c r="O730" s="47"/>
      <c r="P730" s="51"/>
      <c r="Q730" s="51"/>
      <c r="R730" s="51"/>
      <c r="S730" s="51"/>
      <c r="T730" s="49"/>
      <c r="U730" s="52">
        <v>1.0</v>
      </c>
      <c r="V730" s="49"/>
      <c r="W730" s="52" t="s">
        <v>70</v>
      </c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51"/>
      <c r="AQ730" s="51"/>
      <c r="AR730" s="51"/>
      <c r="AS730" s="51"/>
      <c r="AT730" s="51"/>
      <c r="AU730" s="51"/>
      <c r="AV730" s="49"/>
      <c r="AW730" s="49"/>
      <c r="AX730" s="49"/>
      <c r="AY730" s="49"/>
      <c r="AZ730" s="49"/>
      <c r="BA730" s="49"/>
      <c r="BB730" s="49"/>
      <c r="BC730" s="49"/>
      <c r="BD730" s="49"/>
      <c r="BE730" s="49"/>
      <c r="BF730" s="49"/>
      <c r="BG730" s="49"/>
      <c r="BH730" s="51"/>
      <c r="BI730" s="51"/>
      <c r="BJ730" s="51"/>
      <c r="BK730" s="51"/>
      <c r="BL730" s="51"/>
      <c r="BM730" s="49"/>
      <c r="BN730" s="53"/>
      <c r="BO730" s="49"/>
      <c r="BP730" s="51"/>
      <c r="BQ730" s="10"/>
    </row>
    <row r="731">
      <c r="A731" s="70">
        <v>4.0</v>
      </c>
      <c r="B731" s="71" t="s">
        <v>1163</v>
      </c>
      <c r="C731" s="71" t="s">
        <v>76</v>
      </c>
      <c r="D731" s="56"/>
      <c r="E731" s="56"/>
      <c r="F731" s="56"/>
      <c r="G731" s="56"/>
      <c r="H731" s="56"/>
      <c r="I731" s="58" t="str">
        <f t="shared" si="1"/>
        <v>5111101</v>
      </c>
      <c r="J731" s="58"/>
      <c r="K731" s="58"/>
      <c r="L731" s="59" t="s">
        <v>1165</v>
      </c>
      <c r="M731" s="60">
        <v>1.0</v>
      </c>
      <c r="N731" s="58"/>
      <c r="O731" s="56"/>
      <c r="P731" s="72" t="s">
        <v>1166</v>
      </c>
      <c r="Q731" s="90" t="s">
        <v>1167</v>
      </c>
      <c r="R731" s="58"/>
      <c r="S731" s="58"/>
      <c r="T731" s="58"/>
      <c r="U731" s="72">
        <v>1.0</v>
      </c>
      <c r="V731" s="58"/>
      <c r="W731" s="72" t="s">
        <v>78</v>
      </c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58"/>
      <c r="AL731" s="58"/>
      <c r="AM731" s="58"/>
      <c r="AN731" s="58"/>
      <c r="AO731" s="58"/>
      <c r="AP731" s="58"/>
      <c r="AQ731" s="72">
        <v>8.0</v>
      </c>
      <c r="AR731" s="72">
        <v>490.0</v>
      </c>
      <c r="AS731" s="72">
        <v>158.0</v>
      </c>
      <c r="AT731" s="72">
        <v>288.0</v>
      </c>
      <c r="AU731" s="58"/>
      <c r="AV731" s="91" t="s">
        <v>1168</v>
      </c>
      <c r="AW731" s="58"/>
      <c r="AX731" s="58"/>
      <c r="AY731" s="58"/>
      <c r="AZ731" s="58"/>
      <c r="BA731" s="58"/>
      <c r="BB731" s="58"/>
      <c r="BC731" s="60">
        <v>4000.0</v>
      </c>
      <c r="BD731" s="58"/>
      <c r="BE731" s="58"/>
      <c r="BF731" s="58"/>
      <c r="BG731" s="58"/>
      <c r="BH731" s="72" t="s">
        <v>1166</v>
      </c>
      <c r="BI731" s="60">
        <v>1.0</v>
      </c>
      <c r="BJ731" s="90">
        <v>600.0</v>
      </c>
      <c r="BK731" s="58"/>
      <c r="BL731" s="58"/>
      <c r="BM731" s="58"/>
      <c r="BN731" s="63"/>
      <c r="BO731" s="58"/>
      <c r="BP731" s="58"/>
      <c r="BQ731" s="64"/>
    </row>
    <row r="732">
      <c r="A732" s="70">
        <v>4.0</v>
      </c>
      <c r="B732" s="71" t="s">
        <v>1163</v>
      </c>
      <c r="C732" s="71" t="s">
        <v>119</v>
      </c>
      <c r="D732" s="56"/>
      <c r="E732" s="56"/>
      <c r="F732" s="56"/>
      <c r="G732" s="56"/>
      <c r="H732" s="56"/>
      <c r="I732" s="58" t="str">
        <f t="shared" si="1"/>
        <v>5111102</v>
      </c>
      <c r="J732" s="58"/>
      <c r="K732" s="58"/>
      <c r="L732" s="59" t="s">
        <v>1169</v>
      </c>
      <c r="M732" s="60">
        <v>1.0</v>
      </c>
      <c r="N732" s="58"/>
      <c r="O732" s="56"/>
      <c r="P732" s="72" t="s">
        <v>1170</v>
      </c>
      <c r="Q732" s="90" t="s">
        <v>1167</v>
      </c>
      <c r="R732" s="58"/>
      <c r="S732" s="58"/>
      <c r="T732" s="58"/>
      <c r="U732" s="72">
        <v>1.0</v>
      </c>
      <c r="V732" s="58"/>
      <c r="W732" s="72" t="s">
        <v>78</v>
      </c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72">
        <v>8.0</v>
      </c>
      <c r="AR732" s="72">
        <v>490.0</v>
      </c>
      <c r="AS732" s="72">
        <v>158.0</v>
      </c>
      <c r="AT732" s="72">
        <v>288.0</v>
      </c>
      <c r="AU732" s="58"/>
      <c r="AV732" s="91" t="s">
        <v>1168</v>
      </c>
      <c r="AW732" s="58"/>
      <c r="AX732" s="58"/>
      <c r="AY732" s="58"/>
      <c r="AZ732" s="58"/>
      <c r="BA732" s="58"/>
      <c r="BB732" s="58"/>
      <c r="BC732" s="60">
        <v>4000.0</v>
      </c>
      <c r="BD732" s="58"/>
      <c r="BE732" s="58"/>
      <c r="BF732" s="58"/>
      <c r="BG732" s="58"/>
      <c r="BH732" s="72" t="s">
        <v>1170</v>
      </c>
      <c r="BI732" s="60">
        <v>1.0</v>
      </c>
      <c r="BJ732" s="90">
        <v>601.0</v>
      </c>
      <c r="BK732" s="58"/>
      <c r="BL732" s="58"/>
      <c r="BM732" s="58"/>
      <c r="BN732" s="63"/>
      <c r="BO732" s="58"/>
      <c r="BP732" s="58"/>
      <c r="BQ732" s="64"/>
    </row>
    <row r="733">
      <c r="A733" s="70">
        <v>4.0</v>
      </c>
      <c r="B733" s="71" t="s">
        <v>1163</v>
      </c>
      <c r="C733" s="71" t="s">
        <v>124</v>
      </c>
      <c r="D733" s="56"/>
      <c r="E733" s="56"/>
      <c r="F733" s="56"/>
      <c r="G733" s="56"/>
      <c r="H733" s="56"/>
      <c r="I733" s="58" t="str">
        <f t="shared" si="1"/>
        <v>5111103</v>
      </c>
      <c r="J733" s="58"/>
      <c r="K733" s="58"/>
      <c r="L733" s="59" t="s">
        <v>1171</v>
      </c>
      <c r="M733" s="60">
        <v>1.0</v>
      </c>
      <c r="N733" s="58"/>
      <c r="O733" s="56"/>
      <c r="P733" s="72" t="s">
        <v>1172</v>
      </c>
      <c r="Q733" s="90" t="s">
        <v>1167</v>
      </c>
      <c r="R733" s="58"/>
      <c r="S733" s="58"/>
      <c r="T733" s="58"/>
      <c r="U733" s="72">
        <v>1.0</v>
      </c>
      <c r="V733" s="58"/>
      <c r="W733" s="72" t="s">
        <v>78</v>
      </c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72">
        <v>6.0</v>
      </c>
      <c r="AR733" s="72">
        <v>380.0</v>
      </c>
      <c r="AS733" s="72">
        <v>198.0</v>
      </c>
      <c r="AT733" s="72">
        <v>328.0</v>
      </c>
      <c r="AU733" s="58"/>
      <c r="AV733" s="91" t="s">
        <v>1168</v>
      </c>
      <c r="AW733" s="58"/>
      <c r="AX733" s="58"/>
      <c r="AY733" s="58"/>
      <c r="AZ733" s="58"/>
      <c r="BA733" s="58"/>
      <c r="BB733" s="58"/>
      <c r="BC733" s="60">
        <v>3000.0</v>
      </c>
      <c r="BD733" s="58"/>
      <c r="BE733" s="58"/>
      <c r="BF733" s="58"/>
      <c r="BG733" s="58"/>
      <c r="BH733" s="72" t="s">
        <v>1172</v>
      </c>
      <c r="BI733" s="60">
        <v>1.0</v>
      </c>
      <c r="BJ733" s="90">
        <v>602.0</v>
      </c>
      <c r="BK733" s="58"/>
      <c r="BL733" s="58"/>
      <c r="BM733" s="58"/>
      <c r="BN733" s="63"/>
      <c r="BO733" s="58"/>
      <c r="BP733" s="58"/>
      <c r="BQ733" s="64"/>
    </row>
    <row r="734">
      <c r="A734" s="28">
        <v>1.0</v>
      </c>
      <c r="B734" s="29" t="s">
        <v>1173</v>
      </c>
      <c r="C734" s="30"/>
      <c r="D734" s="30"/>
      <c r="E734" s="30"/>
      <c r="F734" s="30"/>
      <c r="G734" s="30"/>
      <c r="H734" s="30"/>
      <c r="I734" s="31" t="str">
        <f t="shared" si="1"/>
        <v>51200</v>
      </c>
      <c r="J734" s="32"/>
      <c r="K734" s="32"/>
      <c r="L734" s="31" t="s">
        <v>1174</v>
      </c>
      <c r="M734" s="33">
        <v>1.0</v>
      </c>
      <c r="N734" s="32"/>
      <c r="O734" s="30"/>
      <c r="P734" s="32"/>
      <c r="Q734" s="32"/>
      <c r="R734" s="32"/>
      <c r="S734" s="32"/>
      <c r="T734" s="32"/>
      <c r="U734" s="34">
        <v>1.0</v>
      </c>
      <c r="V734" s="32"/>
      <c r="W734" s="34" t="s">
        <v>70</v>
      </c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5"/>
      <c r="BO734" s="32"/>
      <c r="BP734" s="32"/>
      <c r="BQ734" s="10"/>
    </row>
    <row r="735">
      <c r="A735" s="36">
        <v>2.0</v>
      </c>
      <c r="B735" s="37" t="s">
        <v>1175</v>
      </c>
      <c r="C735" s="38"/>
      <c r="D735" s="38"/>
      <c r="E735" s="38"/>
      <c r="F735" s="38"/>
      <c r="G735" s="38"/>
      <c r="H735" s="38"/>
      <c r="I735" s="39" t="str">
        <f t="shared" si="1"/>
        <v>51210</v>
      </c>
      <c r="J735" s="40"/>
      <c r="K735" s="40"/>
      <c r="L735" s="39" t="s">
        <v>1176</v>
      </c>
      <c r="M735" s="41">
        <v>1.0</v>
      </c>
      <c r="N735" s="42"/>
      <c r="O735" s="38"/>
      <c r="P735" s="42"/>
      <c r="Q735" s="42"/>
      <c r="R735" s="42"/>
      <c r="S735" s="42"/>
      <c r="T735" s="40"/>
      <c r="U735" s="43">
        <v>1.0</v>
      </c>
      <c r="V735" s="40"/>
      <c r="W735" s="43" t="s">
        <v>70</v>
      </c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2"/>
      <c r="AQ735" s="42"/>
      <c r="AR735" s="42"/>
      <c r="AS735" s="42"/>
      <c r="AT735" s="42"/>
      <c r="AU735" s="42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2"/>
      <c r="BI735" s="42"/>
      <c r="BJ735" s="42"/>
      <c r="BK735" s="42"/>
      <c r="BL735" s="42"/>
      <c r="BM735" s="40"/>
      <c r="BN735" s="44"/>
      <c r="BO735" s="40"/>
      <c r="BP735" s="42"/>
      <c r="BQ735" s="10"/>
    </row>
    <row r="736">
      <c r="A736" s="45">
        <v>3.0</v>
      </c>
      <c r="B736" s="46" t="s">
        <v>1177</v>
      </c>
      <c r="C736" s="47"/>
      <c r="D736" s="47"/>
      <c r="E736" s="47"/>
      <c r="F736" s="47"/>
      <c r="G736" s="47"/>
      <c r="H736" s="47"/>
      <c r="I736" s="48" t="str">
        <f t="shared" si="1"/>
        <v>51211</v>
      </c>
      <c r="J736" s="49"/>
      <c r="K736" s="49"/>
      <c r="L736" s="48" t="s">
        <v>1178</v>
      </c>
      <c r="M736" s="50">
        <v>1.0</v>
      </c>
      <c r="N736" s="51"/>
      <c r="O736" s="47"/>
      <c r="P736" s="51"/>
      <c r="Q736" s="51"/>
      <c r="R736" s="51"/>
      <c r="S736" s="51"/>
      <c r="T736" s="49"/>
      <c r="U736" s="52">
        <v>1.0</v>
      </c>
      <c r="V736" s="49"/>
      <c r="W736" s="52" t="s">
        <v>70</v>
      </c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51"/>
      <c r="AQ736" s="51"/>
      <c r="AR736" s="51"/>
      <c r="AS736" s="51"/>
      <c r="AT736" s="51"/>
      <c r="AU736" s="51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51"/>
      <c r="BI736" s="51"/>
      <c r="BJ736" s="51"/>
      <c r="BK736" s="51"/>
      <c r="BL736" s="51"/>
      <c r="BM736" s="49"/>
      <c r="BN736" s="53"/>
      <c r="BO736" s="49"/>
      <c r="BP736" s="51"/>
      <c r="BQ736" s="10"/>
    </row>
    <row r="737">
      <c r="A737" s="70">
        <v>4.0</v>
      </c>
      <c r="B737" s="71" t="s">
        <v>1177</v>
      </c>
      <c r="C737" s="71" t="s">
        <v>76</v>
      </c>
      <c r="D737" s="56"/>
      <c r="E737" s="56"/>
      <c r="F737" s="56"/>
      <c r="G737" s="56"/>
      <c r="H737" s="56"/>
      <c r="I737" s="58" t="s">
        <v>1179</v>
      </c>
      <c r="J737" s="58"/>
      <c r="K737" s="58"/>
      <c r="L737" s="59" t="s">
        <v>1180</v>
      </c>
      <c r="M737" s="58"/>
      <c r="N737" s="58"/>
      <c r="O737" s="56"/>
      <c r="P737" s="58"/>
      <c r="Q737" s="58"/>
      <c r="R737" s="58"/>
      <c r="S737" s="56"/>
      <c r="T737" s="58"/>
      <c r="U737" s="58"/>
      <c r="V737" s="58"/>
      <c r="W737" s="72" t="s">
        <v>435</v>
      </c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64"/>
    </row>
    <row r="738">
      <c r="A738" s="70">
        <v>4.0</v>
      </c>
      <c r="B738" s="71" t="s">
        <v>1177</v>
      </c>
      <c r="C738" s="71" t="s">
        <v>119</v>
      </c>
      <c r="D738" s="56"/>
      <c r="E738" s="56"/>
      <c r="F738" s="56"/>
      <c r="G738" s="56"/>
      <c r="H738" s="56"/>
      <c r="I738" s="58" t="s">
        <v>1181</v>
      </c>
      <c r="J738" s="58"/>
      <c r="K738" s="58"/>
      <c r="L738" s="59" t="s">
        <v>1182</v>
      </c>
      <c r="M738" s="58"/>
      <c r="N738" s="58"/>
      <c r="O738" s="56"/>
      <c r="P738" s="58"/>
      <c r="Q738" s="58"/>
      <c r="R738" s="58"/>
      <c r="S738" s="56"/>
      <c r="T738" s="58"/>
      <c r="U738" s="58"/>
      <c r="V738" s="58"/>
      <c r="W738" s="72" t="s">
        <v>435</v>
      </c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64"/>
    </row>
    <row r="739">
      <c r="A739" s="70">
        <v>4.0</v>
      </c>
      <c r="B739" s="71" t="s">
        <v>1177</v>
      </c>
      <c r="C739" s="71" t="s">
        <v>124</v>
      </c>
      <c r="D739" s="56"/>
      <c r="E739" s="56"/>
      <c r="F739" s="56"/>
      <c r="G739" s="56"/>
      <c r="H739" s="56"/>
      <c r="I739" s="58" t="s">
        <v>1183</v>
      </c>
      <c r="J739" s="58"/>
      <c r="K739" s="58"/>
      <c r="L739" s="116" t="s">
        <v>1184</v>
      </c>
      <c r="M739" s="58"/>
      <c r="N739" s="58"/>
      <c r="O739" s="56"/>
      <c r="P739" s="58"/>
      <c r="Q739" s="58"/>
      <c r="R739" s="58"/>
      <c r="S739" s="56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64"/>
    </row>
    <row r="740">
      <c r="A740" s="1">
        <v>4.0</v>
      </c>
      <c r="B740" s="2" t="s">
        <v>1177</v>
      </c>
      <c r="C740" s="2" t="s">
        <v>127</v>
      </c>
      <c r="D740" s="93"/>
      <c r="E740" s="93"/>
      <c r="F740" s="93"/>
      <c r="G740" s="93"/>
      <c r="H740" s="93"/>
      <c r="I740" s="3" t="str">
        <f t="shared" ref="I740:I743" si="2">CONCATENATE(B740,C740,D740,E740,F740,G740,H740)</f>
        <v>5121104</v>
      </c>
      <c r="J740" s="3"/>
      <c r="K740" s="3"/>
      <c r="L740" s="94" t="s">
        <v>1185</v>
      </c>
      <c r="M740" s="4">
        <v>1.0</v>
      </c>
      <c r="N740" s="3"/>
      <c r="O740" s="95" t="s">
        <v>1186</v>
      </c>
      <c r="P740" s="3"/>
      <c r="Q740" s="3"/>
      <c r="R740" s="3"/>
      <c r="S740" s="3"/>
      <c r="T740" s="3"/>
      <c r="U740" s="6">
        <v>1.0</v>
      </c>
      <c r="V740" s="3"/>
      <c r="W740" s="6" t="s">
        <v>78</v>
      </c>
      <c r="X740" s="3"/>
      <c r="Y740" s="3"/>
      <c r="Z740" s="3"/>
      <c r="AA740" s="96" t="s">
        <v>79</v>
      </c>
      <c r="AB740" s="96" t="s">
        <v>79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6" t="s">
        <v>80</v>
      </c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97"/>
      <c r="BO740" s="3"/>
      <c r="BP740" s="3"/>
      <c r="BQ740" s="10"/>
    </row>
    <row r="741">
      <c r="A741" s="28">
        <v>1.0</v>
      </c>
      <c r="B741" s="29">
        <v>51300.0</v>
      </c>
      <c r="C741" s="30"/>
      <c r="D741" s="30"/>
      <c r="E741" s="30"/>
      <c r="F741" s="30"/>
      <c r="G741" s="30"/>
      <c r="H741" s="30"/>
      <c r="I741" s="31" t="str">
        <f t="shared" si="2"/>
        <v>51300</v>
      </c>
      <c r="J741" s="32"/>
      <c r="K741" s="32"/>
      <c r="L741" s="31" t="s">
        <v>1187</v>
      </c>
      <c r="M741" s="33">
        <v>1.0</v>
      </c>
      <c r="N741" s="32"/>
      <c r="O741" s="30"/>
      <c r="P741" s="32"/>
      <c r="Q741" s="32"/>
      <c r="R741" s="32"/>
      <c r="S741" s="32"/>
      <c r="T741" s="32"/>
      <c r="U741" s="34">
        <v>1.0</v>
      </c>
      <c r="V741" s="32"/>
      <c r="W741" s="34" t="s">
        <v>70</v>
      </c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5"/>
      <c r="BO741" s="32"/>
      <c r="BP741" s="32"/>
      <c r="BQ741" s="10"/>
    </row>
    <row r="742">
      <c r="A742" s="36">
        <v>2.0</v>
      </c>
      <c r="B742" s="37">
        <v>51310.0</v>
      </c>
      <c r="C742" s="38"/>
      <c r="D742" s="38"/>
      <c r="E742" s="38"/>
      <c r="F742" s="38"/>
      <c r="G742" s="38"/>
      <c r="H742" s="38"/>
      <c r="I742" s="39" t="str">
        <f t="shared" si="2"/>
        <v>51310</v>
      </c>
      <c r="J742" s="40"/>
      <c r="K742" s="40"/>
      <c r="L742" s="39" t="s">
        <v>1188</v>
      </c>
      <c r="M742" s="41">
        <v>1.0</v>
      </c>
      <c r="N742" s="42"/>
      <c r="O742" s="38"/>
      <c r="P742" s="42"/>
      <c r="Q742" s="42"/>
      <c r="R742" s="42"/>
      <c r="S742" s="42"/>
      <c r="T742" s="40"/>
      <c r="U742" s="43">
        <v>1.0</v>
      </c>
      <c r="V742" s="40"/>
      <c r="W742" s="43" t="s">
        <v>70</v>
      </c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2"/>
      <c r="AQ742" s="42"/>
      <c r="AR742" s="42"/>
      <c r="AS742" s="42"/>
      <c r="AT742" s="42"/>
      <c r="AU742" s="42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2"/>
      <c r="BI742" s="42"/>
      <c r="BJ742" s="42"/>
      <c r="BK742" s="42"/>
      <c r="BL742" s="42"/>
      <c r="BM742" s="40"/>
      <c r="BN742" s="44"/>
      <c r="BO742" s="40"/>
      <c r="BP742" s="42"/>
      <c r="BQ742" s="10"/>
    </row>
    <row r="743">
      <c r="A743" s="45">
        <v>3.0</v>
      </c>
      <c r="B743" s="46">
        <v>51311.0</v>
      </c>
      <c r="C743" s="47"/>
      <c r="D743" s="47"/>
      <c r="E743" s="47"/>
      <c r="F743" s="47"/>
      <c r="G743" s="47"/>
      <c r="H743" s="47"/>
      <c r="I743" s="48" t="str">
        <f t="shared" si="2"/>
        <v>51311</v>
      </c>
      <c r="J743" s="49"/>
      <c r="K743" s="49"/>
      <c r="L743" s="48" t="s">
        <v>1178</v>
      </c>
      <c r="M743" s="50">
        <v>1.0</v>
      </c>
      <c r="N743" s="51"/>
      <c r="O743" s="47"/>
      <c r="P743" s="51"/>
      <c r="Q743" s="51"/>
      <c r="R743" s="51"/>
      <c r="S743" s="51"/>
      <c r="T743" s="49"/>
      <c r="U743" s="52">
        <v>1.0</v>
      </c>
      <c r="V743" s="49"/>
      <c r="W743" s="52" t="s">
        <v>70</v>
      </c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51"/>
      <c r="AQ743" s="51"/>
      <c r="AR743" s="51"/>
      <c r="AS743" s="51"/>
      <c r="AT743" s="51"/>
      <c r="AU743" s="51"/>
      <c r="AV743" s="49"/>
      <c r="AW743" s="49"/>
      <c r="AX743" s="49"/>
      <c r="AY743" s="49"/>
      <c r="AZ743" s="49"/>
      <c r="BA743" s="49"/>
      <c r="BB743" s="49"/>
      <c r="BC743" s="49"/>
      <c r="BD743" s="49"/>
      <c r="BE743" s="49"/>
      <c r="BF743" s="49"/>
      <c r="BG743" s="49"/>
      <c r="BH743" s="51"/>
      <c r="BI743" s="51"/>
      <c r="BJ743" s="51"/>
      <c r="BK743" s="51"/>
      <c r="BL743" s="51"/>
      <c r="BM743" s="49"/>
      <c r="BN743" s="53"/>
      <c r="BO743" s="49"/>
      <c r="BP743" s="51"/>
      <c r="BQ743" s="10"/>
    </row>
    <row r="744">
      <c r="A744" s="70">
        <v>4.0</v>
      </c>
      <c r="B744" s="71" t="s">
        <v>1189</v>
      </c>
      <c r="C744" s="71" t="s">
        <v>76</v>
      </c>
      <c r="D744" s="56"/>
      <c r="E744" s="56"/>
      <c r="F744" s="56"/>
      <c r="G744" s="56"/>
      <c r="H744" s="56"/>
      <c r="I744" s="103" t="str">
        <f t="shared" ref="I744:I745" si="3">CONCATENATE("SG-",B744,C744,D744,E744,F744,G744,H744)</f>
        <v>SG-5131101</v>
      </c>
      <c r="J744" s="58"/>
      <c r="K744" s="58"/>
      <c r="L744" s="59" t="s">
        <v>1180</v>
      </c>
      <c r="M744" s="58"/>
      <c r="N744" s="90" t="s">
        <v>1190</v>
      </c>
      <c r="O744" s="56"/>
      <c r="P744" s="58" t="s">
        <v>1191</v>
      </c>
      <c r="Q744" s="72" t="s">
        <v>1167</v>
      </c>
      <c r="R744" s="58"/>
      <c r="S744" s="58"/>
      <c r="T744" s="58"/>
      <c r="U744" s="72">
        <v>1.0</v>
      </c>
      <c r="V744" s="58"/>
      <c r="W744" s="72" t="s">
        <v>78</v>
      </c>
      <c r="X744" s="58"/>
      <c r="Y744" s="58"/>
      <c r="Z744" s="58"/>
      <c r="AA744" s="58"/>
      <c r="AB744" s="58"/>
      <c r="AC744" s="58"/>
      <c r="AD744" s="58"/>
      <c r="AE744" s="58"/>
      <c r="AF744" s="58"/>
      <c r="AG744" s="58"/>
      <c r="AH744" s="58"/>
      <c r="AI744" s="58"/>
      <c r="AJ744" s="58"/>
      <c r="AK744" s="58"/>
      <c r="AL744" s="58"/>
      <c r="AM744" s="58"/>
      <c r="AN744" s="58"/>
      <c r="AO744" s="58"/>
      <c r="AP744" s="58"/>
      <c r="AQ744" s="72" t="s">
        <v>1192</v>
      </c>
      <c r="AR744" s="72">
        <v>445.0</v>
      </c>
      <c r="AS744" s="72">
        <v>255.0</v>
      </c>
      <c r="AT744" s="72">
        <v>402.0</v>
      </c>
      <c r="AU744" s="58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92">
        <v>227.0</v>
      </c>
      <c r="BG744" s="91" t="s">
        <v>1193</v>
      </c>
      <c r="BH744" s="58" t="s">
        <v>1191</v>
      </c>
      <c r="BI744" s="60">
        <v>1.0</v>
      </c>
      <c r="BJ744" s="90">
        <v>323.0</v>
      </c>
      <c r="BK744" s="58"/>
      <c r="BL744" s="58"/>
      <c r="BM744" s="58"/>
      <c r="BN744" s="63"/>
      <c r="BO744" s="58"/>
      <c r="BP744" s="58"/>
      <c r="BQ744" s="64"/>
    </row>
    <row r="745">
      <c r="A745" s="70">
        <v>4.0</v>
      </c>
      <c r="B745" s="71" t="s">
        <v>1189</v>
      </c>
      <c r="C745" s="71" t="s">
        <v>119</v>
      </c>
      <c r="D745" s="56"/>
      <c r="E745" s="56"/>
      <c r="F745" s="56"/>
      <c r="G745" s="56"/>
      <c r="H745" s="56"/>
      <c r="I745" s="103" t="str">
        <f t="shared" si="3"/>
        <v>SG-5131102</v>
      </c>
      <c r="J745" s="58"/>
      <c r="K745" s="58"/>
      <c r="L745" s="59" t="s">
        <v>1182</v>
      </c>
      <c r="M745" s="58"/>
      <c r="N745" s="90" t="s">
        <v>1190</v>
      </c>
      <c r="O745" s="56"/>
      <c r="P745" s="58" t="s">
        <v>1191</v>
      </c>
      <c r="Q745" s="72" t="s">
        <v>1167</v>
      </c>
      <c r="R745" s="58"/>
      <c r="S745" s="58"/>
      <c r="T745" s="58"/>
      <c r="U745" s="72">
        <v>1.0</v>
      </c>
      <c r="V745" s="58"/>
      <c r="W745" s="72" t="s">
        <v>78</v>
      </c>
      <c r="X745" s="58"/>
      <c r="Y745" s="58"/>
      <c r="Z745" s="58"/>
      <c r="AA745" s="58"/>
      <c r="AB745" s="58"/>
      <c r="AC745" s="58"/>
      <c r="AD745" s="58"/>
      <c r="AE745" s="58"/>
      <c r="AF745" s="58"/>
      <c r="AG745" s="58"/>
      <c r="AH745" s="58"/>
      <c r="AI745" s="58"/>
      <c r="AJ745" s="58"/>
      <c r="AK745" s="58"/>
      <c r="AL745" s="58"/>
      <c r="AM745" s="58"/>
      <c r="AN745" s="58"/>
      <c r="AO745" s="58"/>
      <c r="AP745" s="58"/>
      <c r="AQ745" s="72" t="s">
        <v>1192</v>
      </c>
      <c r="AR745" s="72">
        <v>445.0</v>
      </c>
      <c r="AS745" s="72">
        <v>255.0</v>
      </c>
      <c r="AT745" s="72">
        <v>402.0</v>
      </c>
      <c r="AU745" s="58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92">
        <v>227.0</v>
      </c>
      <c r="BG745" s="91" t="s">
        <v>1193</v>
      </c>
      <c r="BH745" s="58" t="s">
        <v>1191</v>
      </c>
      <c r="BI745" s="60">
        <v>1.0</v>
      </c>
      <c r="BJ745" s="90">
        <v>323.0</v>
      </c>
      <c r="BK745" s="58"/>
      <c r="BL745" s="58"/>
      <c r="BM745" s="58"/>
      <c r="BN745" s="63"/>
      <c r="BO745" s="58"/>
      <c r="BP745" s="58"/>
      <c r="BQ745" s="64"/>
    </row>
    <row r="746">
      <c r="A746" s="28">
        <v>1.0</v>
      </c>
      <c r="B746" s="29" t="s">
        <v>1194</v>
      </c>
      <c r="C746" s="30"/>
      <c r="D746" s="30"/>
      <c r="E746" s="30"/>
      <c r="F746" s="30"/>
      <c r="G746" s="30"/>
      <c r="H746" s="30"/>
      <c r="I746" s="31" t="str">
        <f t="shared" ref="I746:I748" si="4">CONCATENATE(B746,C746,D746,E746,F746,G746,H746)</f>
        <v>51400</v>
      </c>
      <c r="J746" s="32"/>
      <c r="K746" s="32"/>
      <c r="L746" s="31" t="s">
        <v>1195</v>
      </c>
      <c r="M746" s="33">
        <v>1.0</v>
      </c>
      <c r="N746" s="32"/>
      <c r="O746" s="30"/>
      <c r="P746" s="32"/>
      <c r="Q746" s="32"/>
      <c r="R746" s="32"/>
      <c r="S746" s="32"/>
      <c r="T746" s="32"/>
      <c r="U746" s="34">
        <v>1.0</v>
      </c>
      <c r="V746" s="32"/>
      <c r="W746" s="34" t="s">
        <v>70</v>
      </c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  <c r="BF746" s="32"/>
      <c r="BG746" s="32"/>
      <c r="BH746" s="32"/>
      <c r="BI746" s="32"/>
      <c r="BJ746" s="32"/>
      <c r="BK746" s="32"/>
      <c r="BL746" s="32"/>
      <c r="BM746" s="32"/>
      <c r="BN746" s="35"/>
      <c r="BO746" s="32"/>
      <c r="BP746" s="32"/>
      <c r="BQ746" s="10"/>
    </row>
    <row r="747">
      <c r="A747" s="36">
        <v>2.0</v>
      </c>
      <c r="B747" s="37" t="s">
        <v>1196</v>
      </c>
      <c r="C747" s="38"/>
      <c r="D747" s="38"/>
      <c r="E747" s="38"/>
      <c r="F747" s="38"/>
      <c r="G747" s="38"/>
      <c r="H747" s="38"/>
      <c r="I747" s="39" t="str">
        <f t="shared" si="4"/>
        <v>51430</v>
      </c>
      <c r="J747" s="40"/>
      <c r="K747" s="40"/>
      <c r="L747" s="39" t="s">
        <v>1197</v>
      </c>
      <c r="M747" s="41">
        <v>1.0</v>
      </c>
      <c r="N747" s="42"/>
      <c r="O747" s="38"/>
      <c r="P747" s="42"/>
      <c r="Q747" s="42"/>
      <c r="R747" s="42"/>
      <c r="S747" s="42"/>
      <c r="T747" s="40"/>
      <c r="U747" s="43">
        <v>1.0</v>
      </c>
      <c r="V747" s="40"/>
      <c r="W747" s="43" t="s">
        <v>70</v>
      </c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2"/>
      <c r="AQ747" s="42"/>
      <c r="AR747" s="42"/>
      <c r="AS747" s="42"/>
      <c r="AT747" s="42"/>
      <c r="AU747" s="42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2"/>
      <c r="BI747" s="42"/>
      <c r="BJ747" s="42"/>
      <c r="BK747" s="42"/>
      <c r="BL747" s="42"/>
      <c r="BM747" s="40"/>
      <c r="BN747" s="44"/>
      <c r="BO747" s="40"/>
      <c r="BP747" s="42"/>
      <c r="BQ747" s="10"/>
    </row>
    <row r="748">
      <c r="A748" s="45">
        <v>3.0</v>
      </c>
      <c r="B748" s="46" t="s">
        <v>1198</v>
      </c>
      <c r="C748" s="47"/>
      <c r="D748" s="47"/>
      <c r="E748" s="47"/>
      <c r="F748" s="47"/>
      <c r="G748" s="47"/>
      <c r="H748" s="47"/>
      <c r="I748" s="48" t="str">
        <f t="shared" si="4"/>
        <v>51431</v>
      </c>
      <c r="J748" s="49"/>
      <c r="K748" s="49"/>
      <c r="L748" s="48" t="s">
        <v>1199</v>
      </c>
      <c r="M748" s="50">
        <v>1.0</v>
      </c>
      <c r="N748" s="51"/>
      <c r="O748" s="47"/>
      <c r="P748" s="51"/>
      <c r="Q748" s="51"/>
      <c r="R748" s="51"/>
      <c r="S748" s="51"/>
      <c r="T748" s="49"/>
      <c r="U748" s="52">
        <v>1.0</v>
      </c>
      <c r="V748" s="49"/>
      <c r="W748" s="52" t="s">
        <v>70</v>
      </c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51"/>
      <c r="AQ748" s="51"/>
      <c r="AR748" s="51"/>
      <c r="AS748" s="51"/>
      <c r="AT748" s="51"/>
      <c r="AU748" s="51"/>
      <c r="AV748" s="49"/>
      <c r="AW748" s="49"/>
      <c r="AX748" s="49"/>
      <c r="AY748" s="49"/>
      <c r="AZ748" s="49"/>
      <c r="BA748" s="49"/>
      <c r="BB748" s="49"/>
      <c r="BC748" s="49"/>
      <c r="BD748" s="49"/>
      <c r="BE748" s="49"/>
      <c r="BF748" s="49"/>
      <c r="BG748" s="49"/>
      <c r="BH748" s="51"/>
      <c r="BI748" s="51"/>
      <c r="BJ748" s="51"/>
      <c r="BK748" s="51"/>
      <c r="BL748" s="51"/>
      <c r="BM748" s="49"/>
      <c r="BN748" s="53"/>
      <c r="BO748" s="49"/>
      <c r="BP748" s="51"/>
      <c r="BQ748" s="10"/>
    </row>
    <row r="749">
      <c r="A749" s="117">
        <v>4.0</v>
      </c>
      <c r="B749" s="118">
        <v>51431.0</v>
      </c>
      <c r="C749" s="118" t="s">
        <v>76</v>
      </c>
      <c r="D749" s="56"/>
      <c r="E749" s="56"/>
      <c r="F749" s="56"/>
      <c r="G749" s="56"/>
      <c r="H749" s="56"/>
      <c r="I749" s="116" t="s">
        <v>1200</v>
      </c>
      <c r="J749" s="58"/>
      <c r="K749" s="58"/>
      <c r="L749" s="116" t="s">
        <v>1201</v>
      </c>
      <c r="M749" s="58"/>
      <c r="N749" s="64"/>
      <c r="O749" s="118" t="s">
        <v>1202</v>
      </c>
      <c r="P749" s="58"/>
      <c r="Q749" s="117" t="s">
        <v>1167</v>
      </c>
      <c r="R749" s="58"/>
      <c r="S749" s="56"/>
      <c r="T749" s="58"/>
      <c r="U749" s="117">
        <v>1.0</v>
      </c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  <c r="AG749" s="58"/>
      <c r="AH749" s="58"/>
      <c r="AI749" s="58"/>
      <c r="AJ749" s="58"/>
      <c r="AK749" s="58"/>
      <c r="AL749" s="58"/>
      <c r="AM749" s="58"/>
      <c r="AN749" s="58"/>
      <c r="AO749" s="58"/>
      <c r="AP749" s="58"/>
      <c r="AQ749" s="58"/>
      <c r="AR749" s="117">
        <v>3582.0</v>
      </c>
      <c r="AS749" s="117">
        <v>1452.0</v>
      </c>
      <c r="AT749" s="117">
        <v>1732.0</v>
      </c>
      <c r="AU749" s="58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116" t="s">
        <v>1203</v>
      </c>
      <c r="BI749" s="117">
        <v>1.0</v>
      </c>
      <c r="BJ749" s="117">
        <v>200.0</v>
      </c>
      <c r="BK749" s="58"/>
      <c r="BL749" s="58"/>
      <c r="BM749" s="58"/>
      <c r="BN749" s="58"/>
      <c r="BO749" s="58"/>
      <c r="BP749" s="58"/>
      <c r="BQ749" s="64"/>
    </row>
    <row r="750">
      <c r="A750" s="118" t="s">
        <v>224</v>
      </c>
      <c r="B750" s="118" t="s">
        <v>1198</v>
      </c>
      <c r="C750" s="118" t="s">
        <v>119</v>
      </c>
      <c r="D750" s="56"/>
      <c r="E750" s="56"/>
      <c r="F750" s="56"/>
      <c r="G750" s="56"/>
      <c r="H750" s="56"/>
      <c r="I750" s="116" t="s">
        <v>1204</v>
      </c>
      <c r="J750" s="56"/>
      <c r="K750" s="56"/>
      <c r="L750" s="116" t="s">
        <v>1205</v>
      </c>
      <c r="M750" s="56"/>
      <c r="N750" s="56"/>
      <c r="O750" s="56"/>
      <c r="P750" s="56"/>
      <c r="Q750" s="117" t="s">
        <v>1167</v>
      </c>
      <c r="R750" s="56"/>
      <c r="S750" s="56"/>
      <c r="T750" s="56"/>
      <c r="U750" s="118" t="s">
        <v>145</v>
      </c>
      <c r="V750" s="56"/>
      <c r="W750" s="118" t="s">
        <v>78</v>
      </c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  <c r="AO750" s="58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/>
      <c r="BB750" s="56"/>
      <c r="BC750" s="56"/>
      <c r="BD750" s="56"/>
      <c r="BE750" s="56"/>
      <c r="BF750" s="81"/>
      <c r="BG750" s="81"/>
      <c r="BH750" s="58"/>
      <c r="BI750" s="81"/>
      <c r="BJ750" s="58"/>
      <c r="BK750" s="81"/>
      <c r="BL750" s="58"/>
      <c r="BM750" s="81"/>
      <c r="BN750" s="81"/>
      <c r="BO750" s="81"/>
      <c r="BP750" s="58"/>
      <c r="BQ750" s="64"/>
    </row>
    <row r="751">
      <c r="A751" s="118" t="s">
        <v>224</v>
      </c>
      <c r="B751" s="118" t="s">
        <v>1198</v>
      </c>
      <c r="C751" s="118" t="s">
        <v>124</v>
      </c>
      <c r="D751" s="58"/>
      <c r="E751" s="56"/>
      <c r="F751" s="56"/>
      <c r="G751" s="56"/>
      <c r="H751" s="56"/>
      <c r="I751" s="116" t="s">
        <v>1206</v>
      </c>
      <c r="J751" s="56"/>
      <c r="K751" s="56"/>
      <c r="L751" s="119" t="s">
        <v>1207</v>
      </c>
      <c r="M751" s="56"/>
      <c r="N751" s="56"/>
      <c r="O751" s="56"/>
      <c r="P751" s="116" t="s">
        <v>1208</v>
      </c>
      <c r="Q751" s="117" t="s">
        <v>1167</v>
      </c>
      <c r="R751" s="56"/>
      <c r="S751" s="56"/>
      <c r="T751" s="56"/>
      <c r="U751" s="118" t="s">
        <v>145</v>
      </c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8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81"/>
      <c r="BG751" s="81"/>
      <c r="BH751" s="116" t="s">
        <v>1208</v>
      </c>
      <c r="BI751" s="81"/>
      <c r="BJ751" s="116">
        <v>202.0</v>
      </c>
      <c r="BK751" s="81"/>
      <c r="BL751" s="58"/>
      <c r="BM751" s="81"/>
      <c r="BN751" s="81"/>
      <c r="BO751" s="81"/>
      <c r="BP751" s="116" t="s">
        <v>1209</v>
      </c>
      <c r="BQ751" s="64"/>
    </row>
    <row r="752">
      <c r="A752" s="118" t="s">
        <v>224</v>
      </c>
      <c r="B752" s="118" t="s">
        <v>1198</v>
      </c>
      <c r="C752" s="118" t="s">
        <v>127</v>
      </c>
      <c r="D752" s="58"/>
      <c r="E752" s="56"/>
      <c r="F752" s="56"/>
      <c r="G752" s="56"/>
      <c r="H752" s="56"/>
      <c r="I752" s="116" t="s">
        <v>1210</v>
      </c>
      <c r="J752" s="56"/>
      <c r="K752" s="56"/>
      <c r="L752" s="119" t="s">
        <v>1211</v>
      </c>
      <c r="M752" s="56"/>
      <c r="N752" s="56"/>
      <c r="O752" s="56"/>
      <c r="P752" s="116" t="s">
        <v>1212</v>
      </c>
      <c r="Q752" s="117" t="s">
        <v>1167</v>
      </c>
      <c r="R752" s="56"/>
      <c r="S752" s="56"/>
      <c r="T752" s="56"/>
      <c r="U752" s="118" t="s">
        <v>145</v>
      </c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  <c r="AO752" s="58"/>
      <c r="AP752" s="56"/>
      <c r="AQ752" s="56"/>
      <c r="AR752" s="56"/>
      <c r="AS752" s="56"/>
      <c r="AT752" s="56"/>
      <c r="AU752" s="56"/>
      <c r="AV752" s="56"/>
      <c r="AW752" s="56"/>
      <c r="AX752" s="56"/>
      <c r="AY752" s="56"/>
      <c r="AZ752" s="56"/>
      <c r="BA752" s="56"/>
      <c r="BB752" s="56"/>
      <c r="BC752" s="56"/>
      <c r="BD752" s="56"/>
      <c r="BE752" s="56"/>
      <c r="BF752" s="81"/>
      <c r="BG752" s="81"/>
      <c r="BH752" s="116" t="s">
        <v>1212</v>
      </c>
      <c r="BI752" s="81"/>
      <c r="BJ752" s="116">
        <v>203.0</v>
      </c>
      <c r="BK752" s="81"/>
      <c r="BL752" s="58"/>
      <c r="BM752" s="81"/>
      <c r="BN752" s="81"/>
      <c r="BO752" s="81"/>
      <c r="BP752" s="116" t="s">
        <v>1209</v>
      </c>
      <c r="BQ752" s="64"/>
    </row>
    <row r="753">
      <c r="A753" s="118" t="s">
        <v>224</v>
      </c>
      <c r="B753" s="118" t="s">
        <v>1198</v>
      </c>
      <c r="C753" s="118" t="s">
        <v>91</v>
      </c>
      <c r="D753" s="56"/>
      <c r="E753" s="56"/>
      <c r="F753" s="56"/>
      <c r="G753" s="56"/>
      <c r="H753" s="56"/>
      <c r="I753" s="116" t="s">
        <v>1213</v>
      </c>
      <c r="J753" s="56"/>
      <c r="K753" s="56"/>
      <c r="L753" s="116" t="s">
        <v>1214</v>
      </c>
      <c r="M753" s="58"/>
      <c r="N753" s="58"/>
      <c r="O753" s="58"/>
      <c r="P753" s="58"/>
      <c r="Q753" s="58"/>
      <c r="R753" s="117">
        <v>8.000060843E9</v>
      </c>
      <c r="S753" s="118" t="s">
        <v>1215</v>
      </c>
      <c r="T753" s="58"/>
      <c r="U753" s="117">
        <v>1.0</v>
      </c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  <c r="AG753" s="58"/>
      <c r="AH753" s="58"/>
      <c r="AI753" s="58"/>
      <c r="AJ753" s="58"/>
      <c r="AK753" s="58"/>
      <c r="AL753" s="58"/>
      <c r="AM753" s="58"/>
      <c r="AN753" s="58"/>
      <c r="AO753" s="58"/>
      <c r="AP753" s="58"/>
      <c r="AQ753" s="58"/>
      <c r="AR753" s="58"/>
      <c r="AS753" s="58"/>
      <c r="AT753" s="58"/>
      <c r="AU753" s="58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117" t="s">
        <v>1216</v>
      </c>
      <c r="BI753" s="117">
        <v>22.0</v>
      </c>
      <c r="BJ753" s="58"/>
      <c r="BK753" s="58"/>
      <c r="BL753" s="56"/>
      <c r="BM753" s="58"/>
      <c r="BN753" s="58"/>
      <c r="BO753" s="58"/>
      <c r="BP753" s="58"/>
      <c r="BQ753" s="64"/>
    </row>
    <row r="754">
      <c r="A754" s="28">
        <v>1.0</v>
      </c>
      <c r="B754" s="29" t="s">
        <v>1217</v>
      </c>
      <c r="C754" s="30"/>
      <c r="D754" s="30"/>
      <c r="E754" s="30"/>
      <c r="F754" s="30"/>
      <c r="G754" s="30"/>
      <c r="H754" s="30"/>
      <c r="I754" s="31" t="str">
        <f t="shared" ref="I754:I756" si="5">CONCATENATE(B754,C754,D754,E754,F754,G754,H754)</f>
        <v>51600</v>
      </c>
      <c r="J754" s="32"/>
      <c r="K754" s="32"/>
      <c r="L754" s="31" t="s">
        <v>1218</v>
      </c>
      <c r="M754" s="33">
        <v>1.0</v>
      </c>
      <c r="N754" s="32"/>
      <c r="O754" s="30"/>
      <c r="P754" s="32"/>
      <c r="Q754" s="32"/>
      <c r="R754" s="32"/>
      <c r="S754" s="32"/>
      <c r="T754" s="32"/>
      <c r="U754" s="34">
        <v>1.0</v>
      </c>
      <c r="V754" s="32"/>
      <c r="W754" s="34" t="s">
        <v>70</v>
      </c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  <c r="BF754" s="32"/>
      <c r="BG754" s="32"/>
      <c r="BH754" s="32"/>
      <c r="BI754" s="32"/>
      <c r="BJ754" s="32"/>
      <c r="BK754" s="32"/>
      <c r="BL754" s="32"/>
      <c r="BM754" s="32"/>
      <c r="BN754" s="35"/>
      <c r="BO754" s="32"/>
      <c r="BP754" s="32"/>
      <c r="BQ754" s="10"/>
    </row>
    <row r="755">
      <c r="A755" s="36">
        <v>2.0</v>
      </c>
      <c r="B755" s="37" t="s">
        <v>1219</v>
      </c>
      <c r="C755" s="38"/>
      <c r="D755" s="38"/>
      <c r="E755" s="38"/>
      <c r="F755" s="38"/>
      <c r="G755" s="38"/>
      <c r="H755" s="38"/>
      <c r="I755" s="39" t="str">
        <f t="shared" si="5"/>
        <v>51610</v>
      </c>
      <c r="J755" s="40"/>
      <c r="K755" s="40"/>
      <c r="L755" s="39" t="s">
        <v>1220</v>
      </c>
      <c r="M755" s="41">
        <v>1.0</v>
      </c>
      <c r="N755" s="42"/>
      <c r="O755" s="38"/>
      <c r="P755" s="42"/>
      <c r="Q755" s="42"/>
      <c r="R755" s="42"/>
      <c r="S755" s="42"/>
      <c r="T755" s="40"/>
      <c r="U755" s="43">
        <v>1.0</v>
      </c>
      <c r="V755" s="40"/>
      <c r="W755" s="43" t="s">
        <v>70</v>
      </c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2"/>
      <c r="AQ755" s="42"/>
      <c r="AR755" s="42"/>
      <c r="AS755" s="42"/>
      <c r="AT755" s="42"/>
      <c r="AU755" s="42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2"/>
      <c r="BI755" s="42"/>
      <c r="BJ755" s="42"/>
      <c r="BK755" s="42"/>
      <c r="BL755" s="42"/>
      <c r="BM755" s="40"/>
      <c r="BN755" s="44"/>
      <c r="BO755" s="40"/>
      <c r="BP755" s="42"/>
      <c r="BQ755" s="10"/>
    </row>
    <row r="756">
      <c r="A756" s="45">
        <v>3.0</v>
      </c>
      <c r="B756" s="46" t="s">
        <v>1221</v>
      </c>
      <c r="C756" s="47"/>
      <c r="D756" s="47"/>
      <c r="E756" s="47"/>
      <c r="F756" s="47"/>
      <c r="G756" s="47"/>
      <c r="H756" s="47"/>
      <c r="I756" s="48" t="str">
        <f t="shared" si="5"/>
        <v>51611</v>
      </c>
      <c r="J756" s="49"/>
      <c r="K756" s="49"/>
      <c r="L756" s="48" t="s">
        <v>1222</v>
      </c>
      <c r="M756" s="50">
        <v>1.0</v>
      </c>
      <c r="N756" s="51"/>
      <c r="O756" s="47"/>
      <c r="P756" s="51"/>
      <c r="Q756" s="51"/>
      <c r="R756" s="51"/>
      <c r="S756" s="51"/>
      <c r="T756" s="49"/>
      <c r="U756" s="52">
        <v>1.0</v>
      </c>
      <c r="V756" s="49"/>
      <c r="W756" s="52" t="s">
        <v>70</v>
      </c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51"/>
      <c r="AQ756" s="51"/>
      <c r="AR756" s="51"/>
      <c r="AS756" s="51"/>
      <c r="AT756" s="51"/>
      <c r="AU756" s="51"/>
      <c r="AV756" s="49"/>
      <c r="AW756" s="49"/>
      <c r="AX756" s="49"/>
      <c r="AY756" s="49"/>
      <c r="AZ756" s="49"/>
      <c r="BA756" s="49"/>
      <c r="BB756" s="49"/>
      <c r="BC756" s="49"/>
      <c r="BD756" s="49"/>
      <c r="BE756" s="49"/>
      <c r="BF756" s="49"/>
      <c r="BG756" s="49"/>
      <c r="BH756" s="51"/>
      <c r="BI756" s="51"/>
      <c r="BJ756" s="51"/>
      <c r="BK756" s="51"/>
      <c r="BL756" s="51"/>
      <c r="BM756" s="49"/>
      <c r="BN756" s="53"/>
      <c r="BO756" s="49"/>
      <c r="BP756" s="51"/>
      <c r="BQ756" s="10"/>
    </row>
    <row r="757">
      <c r="A757" s="117">
        <v>4.0</v>
      </c>
      <c r="B757" s="118" t="s">
        <v>1221</v>
      </c>
      <c r="C757" s="118" t="s">
        <v>76</v>
      </c>
      <c r="D757" s="56"/>
      <c r="E757" s="56"/>
      <c r="F757" s="56"/>
      <c r="G757" s="56"/>
      <c r="H757" s="56"/>
      <c r="I757" s="116" t="s">
        <v>1223</v>
      </c>
      <c r="J757" s="58"/>
      <c r="K757" s="58"/>
      <c r="L757" s="116" t="s">
        <v>1224</v>
      </c>
      <c r="M757" s="117">
        <v>1.0</v>
      </c>
      <c r="N757" s="58"/>
      <c r="O757" s="118" t="s">
        <v>1225</v>
      </c>
      <c r="P757" s="58"/>
      <c r="Q757" s="117" t="s">
        <v>1167</v>
      </c>
      <c r="R757" s="58"/>
      <c r="S757" s="56"/>
      <c r="T757" s="58"/>
      <c r="U757" s="117">
        <v>2.0</v>
      </c>
      <c r="V757" s="58"/>
      <c r="W757" s="117" t="s">
        <v>304</v>
      </c>
      <c r="X757" s="58"/>
      <c r="Y757" s="58"/>
      <c r="Z757" s="58"/>
      <c r="AA757" s="58"/>
      <c r="AB757" s="58"/>
      <c r="AC757" s="58"/>
      <c r="AD757" s="58"/>
      <c r="AE757" s="58"/>
      <c r="AF757" s="58"/>
      <c r="AG757" s="58"/>
      <c r="AH757" s="58"/>
      <c r="AI757" s="58"/>
      <c r="AJ757" s="58"/>
      <c r="AK757" s="58"/>
      <c r="AL757" s="58"/>
      <c r="AM757" s="58"/>
      <c r="AN757" s="58"/>
      <c r="AO757" s="58"/>
      <c r="AP757" s="58"/>
      <c r="AQ757" s="58"/>
      <c r="AR757" s="58"/>
      <c r="AS757" s="58"/>
      <c r="AT757" s="58"/>
      <c r="AU757" s="58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64"/>
    </row>
    <row r="758">
      <c r="A758" s="28">
        <v>1.0</v>
      </c>
      <c r="B758" s="29">
        <v>51700.0</v>
      </c>
      <c r="C758" s="30"/>
      <c r="D758" s="30"/>
      <c r="E758" s="30"/>
      <c r="F758" s="30"/>
      <c r="G758" s="30"/>
      <c r="H758" s="30"/>
      <c r="I758" s="31" t="str">
        <f t="shared" ref="I758:I960" si="6">CONCATENATE(B758,C758,D758,E758,F758,G758,H758)</f>
        <v>51700</v>
      </c>
      <c r="J758" s="32"/>
      <c r="K758" s="32"/>
      <c r="L758" s="31" t="s">
        <v>1226</v>
      </c>
      <c r="M758" s="33">
        <v>1.0</v>
      </c>
      <c r="N758" s="32"/>
      <c r="O758" s="30"/>
      <c r="P758" s="32"/>
      <c r="Q758" s="32"/>
      <c r="R758" s="32"/>
      <c r="S758" s="32"/>
      <c r="T758" s="32"/>
      <c r="U758" s="34">
        <v>1.0</v>
      </c>
      <c r="V758" s="32"/>
      <c r="W758" s="34" t="s">
        <v>70</v>
      </c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  <c r="BF758" s="32"/>
      <c r="BG758" s="32"/>
      <c r="BH758" s="32"/>
      <c r="BI758" s="32"/>
      <c r="BJ758" s="32"/>
      <c r="BK758" s="32"/>
      <c r="BL758" s="32"/>
      <c r="BM758" s="32"/>
      <c r="BN758" s="35"/>
      <c r="BO758" s="32"/>
      <c r="BP758" s="32"/>
      <c r="BQ758" s="10"/>
    </row>
    <row r="759">
      <c r="A759" s="36">
        <v>2.0</v>
      </c>
      <c r="B759" s="37">
        <v>51720.0</v>
      </c>
      <c r="C759" s="38"/>
      <c r="D759" s="38"/>
      <c r="E759" s="38"/>
      <c r="F759" s="38"/>
      <c r="G759" s="38"/>
      <c r="H759" s="38"/>
      <c r="I759" s="39" t="str">
        <f t="shared" si="6"/>
        <v>51720</v>
      </c>
      <c r="J759" s="40"/>
      <c r="K759" s="40"/>
      <c r="L759" s="39" t="s">
        <v>1227</v>
      </c>
      <c r="M759" s="41">
        <v>1.0</v>
      </c>
      <c r="N759" s="42"/>
      <c r="O759" s="38"/>
      <c r="P759" s="42"/>
      <c r="Q759" s="42"/>
      <c r="R759" s="42"/>
      <c r="S759" s="42"/>
      <c r="T759" s="40"/>
      <c r="U759" s="43">
        <v>1.0</v>
      </c>
      <c r="V759" s="40"/>
      <c r="W759" s="43" t="s">
        <v>70</v>
      </c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2"/>
      <c r="AQ759" s="42"/>
      <c r="AR759" s="42"/>
      <c r="AS759" s="42"/>
      <c r="AT759" s="42"/>
      <c r="AU759" s="42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2"/>
      <c r="BI759" s="42"/>
      <c r="BJ759" s="42"/>
      <c r="BK759" s="42"/>
      <c r="BL759" s="42"/>
      <c r="BM759" s="40"/>
      <c r="BN759" s="44"/>
      <c r="BO759" s="40"/>
      <c r="BP759" s="42"/>
      <c r="BQ759" s="10"/>
    </row>
    <row r="760">
      <c r="A760" s="45">
        <v>3.0</v>
      </c>
      <c r="B760" s="46">
        <v>51721.0</v>
      </c>
      <c r="C760" s="47"/>
      <c r="D760" s="47"/>
      <c r="E760" s="47"/>
      <c r="F760" s="47"/>
      <c r="G760" s="47"/>
      <c r="H760" s="47"/>
      <c r="I760" s="48" t="str">
        <f t="shared" si="6"/>
        <v>51721</v>
      </c>
      <c r="J760" s="49"/>
      <c r="K760" s="49"/>
      <c r="L760" s="48" t="s">
        <v>1227</v>
      </c>
      <c r="M760" s="50">
        <v>1.0</v>
      </c>
      <c r="N760" s="51"/>
      <c r="O760" s="47"/>
      <c r="P760" s="51"/>
      <c r="Q760" s="51"/>
      <c r="R760" s="51"/>
      <c r="S760" s="51"/>
      <c r="T760" s="49"/>
      <c r="U760" s="52">
        <v>1.0</v>
      </c>
      <c r="V760" s="49"/>
      <c r="W760" s="52" t="s">
        <v>70</v>
      </c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51"/>
      <c r="AQ760" s="51"/>
      <c r="AR760" s="51"/>
      <c r="AS760" s="51"/>
      <c r="AT760" s="51"/>
      <c r="AU760" s="51"/>
      <c r="AV760" s="49"/>
      <c r="AW760" s="49"/>
      <c r="AX760" s="49"/>
      <c r="AY760" s="49"/>
      <c r="AZ760" s="49"/>
      <c r="BA760" s="49"/>
      <c r="BB760" s="49"/>
      <c r="BC760" s="49"/>
      <c r="BD760" s="49"/>
      <c r="BE760" s="49"/>
      <c r="BF760" s="49"/>
      <c r="BG760" s="49"/>
      <c r="BH760" s="51"/>
      <c r="BI760" s="51"/>
      <c r="BJ760" s="51"/>
      <c r="BK760" s="51"/>
      <c r="BL760" s="51"/>
      <c r="BM760" s="49"/>
      <c r="BN760" s="53"/>
      <c r="BO760" s="49"/>
      <c r="BP760" s="51"/>
      <c r="BQ760" s="10"/>
    </row>
    <row r="761">
      <c r="A761" s="70">
        <v>4.0</v>
      </c>
      <c r="B761" s="71">
        <v>51721.0</v>
      </c>
      <c r="C761" s="71" t="s">
        <v>76</v>
      </c>
      <c r="D761" s="56"/>
      <c r="E761" s="56"/>
      <c r="F761" s="56"/>
      <c r="G761" s="56"/>
      <c r="H761" s="56"/>
      <c r="I761" s="57" t="str">
        <f t="shared" si="6"/>
        <v>5172101</v>
      </c>
      <c r="J761" s="58"/>
      <c r="K761" s="58"/>
      <c r="L761" s="116" t="s">
        <v>1228</v>
      </c>
      <c r="M761" s="60">
        <v>1.0</v>
      </c>
      <c r="N761" s="58"/>
      <c r="O761" s="56"/>
      <c r="P761" s="58"/>
      <c r="Q761" s="58"/>
      <c r="R761" s="58"/>
      <c r="S761" s="58"/>
      <c r="T761" s="58"/>
      <c r="U761" s="72">
        <v>1.0</v>
      </c>
      <c r="V761" s="58"/>
      <c r="W761" s="72" t="s">
        <v>78</v>
      </c>
      <c r="X761" s="58"/>
      <c r="Y761" s="58"/>
      <c r="Z761" s="58"/>
      <c r="AA761" s="62" t="s">
        <v>79</v>
      </c>
      <c r="AB761" s="58"/>
      <c r="AC761" s="58"/>
      <c r="AD761" s="58"/>
      <c r="AE761" s="58"/>
      <c r="AF761" s="58"/>
      <c r="AG761" s="58"/>
      <c r="AH761" s="58"/>
      <c r="AI761" s="58"/>
      <c r="AJ761" s="58"/>
      <c r="AK761" s="58"/>
      <c r="AL761" s="58"/>
      <c r="AM761" s="58"/>
      <c r="AN761" s="58"/>
      <c r="AO761" s="58"/>
      <c r="AP761" s="58"/>
      <c r="AQ761" s="58"/>
      <c r="AR761" s="58"/>
      <c r="AS761" s="58"/>
      <c r="AT761" s="58"/>
      <c r="AU761" s="58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63"/>
      <c r="BO761" s="58"/>
      <c r="BP761" s="58"/>
      <c r="BQ761" s="64"/>
    </row>
    <row r="762">
      <c r="A762" s="117">
        <v>4.0</v>
      </c>
      <c r="B762" s="118">
        <v>51721.0</v>
      </c>
      <c r="C762" s="118" t="s">
        <v>119</v>
      </c>
      <c r="D762" s="56"/>
      <c r="E762" s="56"/>
      <c r="F762" s="56"/>
      <c r="G762" s="56"/>
      <c r="H762" s="56"/>
      <c r="I762" s="57" t="str">
        <f t="shared" si="6"/>
        <v>5172102</v>
      </c>
      <c r="J762" s="58"/>
      <c r="K762" s="58"/>
      <c r="L762" s="116" t="s">
        <v>1229</v>
      </c>
      <c r="M762" s="117">
        <v>1.0</v>
      </c>
      <c r="N762" s="58"/>
      <c r="O762" s="56"/>
      <c r="P762" s="58"/>
      <c r="Q762" s="58"/>
      <c r="R762" s="58"/>
      <c r="S762" s="58"/>
      <c r="T762" s="58"/>
      <c r="U762" s="117">
        <v>1.0</v>
      </c>
      <c r="V762" s="58"/>
      <c r="W762" s="117" t="s">
        <v>304</v>
      </c>
      <c r="X762" s="58"/>
      <c r="Y762" s="58"/>
      <c r="Z762" s="58"/>
      <c r="AA762" s="58"/>
      <c r="AB762" s="58"/>
      <c r="AC762" s="58"/>
      <c r="AD762" s="58"/>
      <c r="AE762" s="58"/>
      <c r="AF762" s="58"/>
      <c r="AG762" s="58"/>
      <c r="AH762" s="58"/>
      <c r="AI762" s="58"/>
      <c r="AJ762" s="58"/>
      <c r="AK762" s="58"/>
      <c r="AL762" s="58"/>
      <c r="AM762" s="58"/>
      <c r="AN762" s="58"/>
      <c r="AO762" s="58"/>
      <c r="AP762" s="58"/>
      <c r="AQ762" s="58"/>
      <c r="AR762" s="58"/>
      <c r="AS762" s="58"/>
      <c r="AT762" s="58"/>
      <c r="AU762" s="58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64"/>
    </row>
    <row r="763">
      <c r="A763" s="20">
        <v>1.0</v>
      </c>
      <c r="B763" s="21" t="s">
        <v>1230</v>
      </c>
      <c r="C763" s="22"/>
      <c r="D763" s="22"/>
      <c r="E763" s="22"/>
      <c r="F763" s="22"/>
      <c r="G763" s="22"/>
      <c r="H763" s="22"/>
      <c r="I763" s="23" t="str">
        <f t="shared" si="6"/>
        <v>52000</v>
      </c>
      <c r="J763" s="24"/>
      <c r="K763" s="24"/>
      <c r="L763" s="23" t="s">
        <v>1231</v>
      </c>
      <c r="M763" s="25">
        <v>1.0</v>
      </c>
      <c r="N763" s="24"/>
      <c r="O763" s="22"/>
      <c r="P763" s="24"/>
      <c r="Q763" s="24"/>
      <c r="R763" s="24"/>
      <c r="S763" s="24"/>
      <c r="T763" s="24"/>
      <c r="U763" s="26">
        <v>1.0</v>
      </c>
      <c r="V763" s="24"/>
      <c r="W763" s="26" t="s">
        <v>70</v>
      </c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7"/>
      <c r="BO763" s="24"/>
      <c r="BP763" s="24"/>
      <c r="BQ763" s="10"/>
    </row>
    <row r="764">
      <c r="A764" s="28">
        <v>1.0</v>
      </c>
      <c r="B764" s="29">
        <v>52100.0</v>
      </c>
      <c r="C764" s="30"/>
      <c r="D764" s="30"/>
      <c r="E764" s="30"/>
      <c r="F764" s="30"/>
      <c r="G764" s="30"/>
      <c r="H764" s="30"/>
      <c r="I764" s="31" t="str">
        <f t="shared" si="6"/>
        <v>52100</v>
      </c>
      <c r="J764" s="74"/>
      <c r="K764" s="74"/>
      <c r="L764" s="31" t="s">
        <v>1232</v>
      </c>
      <c r="M764" s="75">
        <v>1.0</v>
      </c>
      <c r="N764" s="32"/>
      <c r="O764" s="30"/>
      <c r="P764" s="32"/>
      <c r="Q764" s="32"/>
      <c r="R764" s="32"/>
      <c r="S764" s="32"/>
      <c r="T764" s="74"/>
      <c r="U764" s="34">
        <v>1.0</v>
      </c>
      <c r="V764" s="74"/>
      <c r="W764" s="34" t="s">
        <v>70</v>
      </c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32"/>
      <c r="AQ764" s="32"/>
      <c r="AR764" s="32"/>
      <c r="AS764" s="32"/>
      <c r="AT764" s="32"/>
      <c r="AU764" s="32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32"/>
      <c r="BI764" s="32"/>
      <c r="BJ764" s="32"/>
      <c r="BK764" s="32"/>
      <c r="BL764" s="32"/>
      <c r="BM764" s="74"/>
      <c r="BN764" s="76"/>
      <c r="BO764" s="74"/>
      <c r="BP764" s="32"/>
      <c r="BQ764" s="10"/>
    </row>
    <row r="765">
      <c r="A765" s="36">
        <v>2.0</v>
      </c>
      <c r="B765" s="37">
        <v>52110.0</v>
      </c>
      <c r="C765" s="38"/>
      <c r="D765" s="38"/>
      <c r="E765" s="38"/>
      <c r="F765" s="38"/>
      <c r="G765" s="38"/>
      <c r="H765" s="38"/>
      <c r="I765" s="39" t="str">
        <f t="shared" si="6"/>
        <v>52110</v>
      </c>
      <c r="J765" s="40"/>
      <c r="K765" s="40"/>
      <c r="L765" s="39" t="s">
        <v>1233</v>
      </c>
      <c r="M765" s="41">
        <v>1.0</v>
      </c>
      <c r="N765" s="42"/>
      <c r="O765" s="38"/>
      <c r="P765" s="42"/>
      <c r="Q765" s="42"/>
      <c r="R765" s="42"/>
      <c r="S765" s="42"/>
      <c r="T765" s="40"/>
      <c r="U765" s="43">
        <v>1.0</v>
      </c>
      <c r="V765" s="40"/>
      <c r="W765" s="43" t="s">
        <v>70</v>
      </c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2"/>
      <c r="AQ765" s="42"/>
      <c r="AR765" s="42"/>
      <c r="AS765" s="42"/>
      <c r="AT765" s="42"/>
      <c r="AU765" s="42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2"/>
      <c r="BI765" s="42"/>
      <c r="BJ765" s="42"/>
      <c r="BK765" s="42"/>
      <c r="BL765" s="42"/>
      <c r="BM765" s="40"/>
      <c r="BN765" s="44"/>
      <c r="BO765" s="40"/>
      <c r="BP765" s="42"/>
      <c r="BQ765" s="10"/>
    </row>
    <row r="766">
      <c r="A766" s="45">
        <v>3.0</v>
      </c>
      <c r="B766" s="46">
        <v>52111.0</v>
      </c>
      <c r="C766" s="47"/>
      <c r="D766" s="47"/>
      <c r="E766" s="47"/>
      <c r="F766" s="47"/>
      <c r="G766" s="47"/>
      <c r="H766" s="47"/>
      <c r="I766" s="48" t="str">
        <f t="shared" si="6"/>
        <v>52111</v>
      </c>
      <c r="J766" s="49"/>
      <c r="K766" s="49"/>
      <c r="L766" s="48" t="s">
        <v>1234</v>
      </c>
      <c r="M766" s="50">
        <v>1.0</v>
      </c>
      <c r="N766" s="51"/>
      <c r="O766" s="47"/>
      <c r="P766" s="51"/>
      <c r="Q766" s="51"/>
      <c r="R766" s="51"/>
      <c r="S766" s="51"/>
      <c r="T766" s="49"/>
      <c r="U766" s="52">
        <v>1.0</v>
      </c>
      <c r="V766" s="49"/>
      <c r="W766" s="52" t="s">
        <v>70</v>
      </c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51"/>
      <c r="AQ766" s="51"/>
      <c r="AR766" s="51"/>
      <c r="AS766" s="51"/>
      <c r="AT766" s="51"/>
      <c r="AU766" s="51"/>
      <c r="AV766" s="49"/>
      <c r="AW766" s="49"/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51"/>
      <c r="BI766" s="51"/>
      <c r="BJ766" s="51"/>
      <c r="BK766" s="51"/>
      <c r="BL766" s="51"/>
      <c r="BM766" s="49"/>
      <c r="BN766" s="53"/>
      <c r="BO766" s="49"/>
      <c r="BP766" s="51"/>
      <c r="BQ766" s="10"/>
    </row>
    <row r="767">
      <c r="A767" s="1">
        <v>4.0</v>
      </c>
      <c r="B767" s="2">
        <v>52111.0</v>
      </c>
      <c r="C767" s="2" t="s">
        <v>76</v>
      </c>
      <c r="D767" s="93"/>
      <c r="E767" s="93"/>
      <c r="F767" s="93"/>
      <c r="G767" s="93"/>
      <c r="H767" s="93"/>
      <c r="I767" s="3" t="str">
        <f t="shared" si="6"/>
        <v>5211101</v>
      </c>
      <c r="J767" s="3"/>
      <c r="K767" s="3"/>
      <c r="L767" s="94" t="s">
        <v>1235</v>
      </c>
      <c r="M767" s="4">
        <v>2.0</v>
      </c>
      <c r="N767" s="3"/>
      <c r="O767" s="93"/>
      <c r="P767" s="3"/>
      <c r="Q767" s="3"/>
      <c r="R767" s="3"/>
      <c r="S767" s="3"/>
      <c r="T767" s="3"/>
      <c r="U767" s="6" t="s">
        <v>79</v>
      </c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97"/>
      <c r="BO767" s="3"/>
      <c r="BP767" s="3"/>
      <c r="BQ767" s="10"/>
    </row>
    <row r="768">
      <c r="A768" s="36">
        <v>2.0</v>
      </c>
      <c r="B768" s="37">
        <v>52120.0</v>
      </c>
      <c r="C768" s="38"/>
      <c r="D768" s="38"/>
      <c r="E768" s="38"/>
      <c r="F768" s="38"/>
      <c r="G768" s="38"/>
      <c r="H768" s="38"/>
      <c r="I768" s="39" t="str">
        <f t="shared" si="6"/>
        <v>52120</v>
      </c>
      <c r="J768" s="40"/>
      <c r="K768" s="40"/>
      <c r="L768" s="39" t="s">
        <v>1236</v>
      </c>
      <c r="M768" s="41">
        <v>1.0</v>
      </c>
      <c r="N768" s="42"/>
      <c r="O768" s="38"/>
      <c r="P768" s="43" t="s">
        <v>1237</v>
      </c>
      <c r="Q768" s="104" t="s">
        <v>491</v>
      </c>
      <c r="R768" s="43" t="s">
        <v>1237</v>
      </c>
      <c r="S768" s="104" t="s">
        <v>491</v>
      </c>
      <c r="T768" s="40"/>
      <c r="U768" s="43">
        <v>1.0</v>
      </c>
      <c r="V768" s="40"/>
      <c r="W768" s="43" t="s">
        <v>70</v>
      </c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2"/>
      <c r="AQ768" s="42"/>
      <c r="AR768" s="42"/>
      <c r="AS768" s="42"/>
      <c r="AT768" s="42"/>
      <c r="AU768" s="42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104" t="s">
        <v>1238</v>
      </c>
      <c r="BI768" s="42"/>
      <c r="BJ768" s="104" t="s">
        <v>1237</v>
      </c>
      <c r="BK768" s="43" t="s">
        <v>1237</v>
      </c>
      <c r="BL768" s="42"/>
      <c r="BM768" s="40"/>
      <c r="BN768" s="44"/>
      <c r="BO768" s="40"/>
      <c r="BP768" s="42"/>
      <c r="BQ768" s="10"/>
    </row>
    <row r="769">
      <c r="A769" s="65">
        <v>3.0</v>
      </c>
      <c r="B769" s="66">
        <v>52121.0</v>
      </c>
      <c r="C769" s="56"/>
      <c r="D769" s="56"/>
      <c r="E769" s="56"/>
      <c r="F769" s="56"/>
      <c r="G769" s="56"/>
      <c r="H769" s="56"/>
      <c r="I769" s="67" t="str">
        <f t="shared" si="6"/>
        <v>52121</v>
      </c>
      <c r="J769" s="58"/>
      <c r="K769" s="58"/>
      <c r="L769" s="67" t="s">
        <v>1239</v>
      </c>
      <c r="M769" s="68">
        <v>1.0</v>
      </c>
      <c r="N769" s="69" t="s">
        <v>1240</v>
      </c>
      <c r="O769" s="66" t="s">
        <v>1241</v>
      </c>
      <c r="P769" s="69">
        <v>419354.0</v>
      </c>
      <c r="Q769" s="114" t="s">
        <v>1242</v>
      </c>
      <c r="R769" s="69">
        <v>419354.0</v>
      </c>
      <c r="S769" s="114" t="s">
        <v>1242</v>
      </c>
      <c r="T769" s="58"/>
      <c r="U769" s="69">
        <v>1.0</v>
      </c>
      <c r="V769" s="58"/>
      <c r="W769" s="69" t="s">
        <v>70</v>
      </c>
      <c r="X769" s="58"/>
      <c r="Y769" s="58"/>
      <c r="Z769" s="58"/>
      <c r="AA769" s="62" t="s">
        <v>79</v>
      </c>
      <c r="AB769" s="62" t="s">
        <v>79</v>
      </c>
      <c r="AC769" s="58"/>
      <c r="AD769" s="58"/>
      <c r="AE769" s="58"/>
      <c r="AF769" s="58"/>
      <c r="AG769" s="58"/>
      <c r="AH769" s="58"/>
      <c r="AI769" s="58"/>
      <c r="AJ769" s="58"/>
      <c r="AK769" s="58"/>
      <c r="AL769" s="58"/>
      <c r="AM769" s="58"/>
      <c r="AN769" s="58"/>
      <c r="AO769" s="58"/>
      <c r="AP769" s="69" t="s">
        <v>1243</v>
      </c>
      <c r="AQ769" s="69">
        <v>338.0</v>
      </c>
      <c r="AR769" s="69">
        <v>700.0</v>
      </c>
      <c r="AS769" s="69">
        <v>550.0</v>
      </c>
      <c r="AT769" s="69">
        <v>1466.0</v>
      </c>
      <c r="AU769" s="69">
        <f t="shared" ref="AU769:AU771" si="7">AR769*AS769*AT769/(10^9)</f>
        <v>0.56441</v>
      </c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114" t="s">
        <v>1238</v>
      </c>
      <c r="BI769" s="58"/>
      <c r="BJ769" s="114" t="s">
        <v>1237</v>
      </c>
      <c r="BK769" s="69" t="s">
        <v>1241</v>
      </c>
      <c r="BL769" s="58"/>
      <c r="BM769" s="58"/>
      <c r="BN769" s="63"/>
      <c r="BO769" s="58"/>
      <c r="BP769" s="58"/>
      <c r="BQ769" s="64"/>
    </row>
    <row r="770">
      <c r="A770" s="65">
        <v>3.0</v>
      </c>
      <c r="B770" s="66">
        <v>52122.0</v>
      </c>
      <c r="C770" s="56"/>
      <c r="D770" s="56"/>
      <c r="E770" s="56"/>
      <c r="F770" s="56"/>
      <c r="G770" s="56"/>
      <c r="H770" s="56"/>
      <c r="I770" s="67" t="str">
        <f t="shared" si="6"/>
        <v>52122</v>
      </c>
      <c r="J770" s="58"/>
      <c r="K770" s="58"/>
      <c r="L770" s="67" t="s">
        <v>1244</v>
      </c>
      <c r="M770" s="68">
        <v>1.0</v>
      </c>
      <c r="N770" s="69" t="s">
        <v>1240</v>
      </c>
      <c r="O770" s="66" t="s">
        <v>1245</v>
      </c>
      <c r="P770" s="69">
        <v>419354.0</v>
      </c>
      <c r="Q770" s="114" t="s">
        <v>1242</v>
      </c>
      <c r="R770" s="69">
        <v>419354.0</v>
      </c>
      <c r="S770" s="114" t="s">
        <v>1242</v>
      </c>
      <c r="T770" s="58"/>
      <c r="U770" s="69">
        <v>1.0</v>
      </c>
      <c r="V770" s="58"/>
      <c r="W770" s="69" t="s">
        <v>70</v>
      </c>
      <c r="X770" s="58"/>
      <c r="Y770" s="58"/>
      <c r="Z770" s="58"/>
      <c r="AA770" s="62" t="s">
        <v>79</v>
      </c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69" t="s">
        <v>1246</v>
      </c>
      <c r="AQ770" s="69">
        <v>338.0</v>
      </c>
      <c r="AR770" s="69">
        <v>700.0</v>
      </c>
      <c r="AS770" s="69">
        <v>550.0</v>
      </c>
      <c r="AT770" s="69">
        <v>1466.0</v>
      </c>
      <c r="AU770" s="69">
        <f t="shared" si="7"/>
        <v>0.56441</v>
      </c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114" t="s">
        <v>1238</v>
      </c>
      <c r="BI770" s="58"/>
      <c r="BJ770" s="114" t="s">
        <v>1237</v>
      </c>
      <c r="BK770" s="69" t="s">
        <v>1241</v>
      </c>
      <c r="BL770" s="58"/>
      <c r="BM770" s="58"/>
      <c r="BN770" s="63"/>
      <c r="BO770" s="58"/>
      <c r="BP770" s="58"/>
      <c r="BQ770" s="64"/>
    </row>
    <row r="771">
      <c r="A771" s="65">
        <v>3.0</v>
      </c>
      <c r="B771" s="66">
        <v>52123.0</v>
      </c>
      <c r="C771" s="56"/>
      <c r="D771" s="56"/>
      <c r="E771" s="56"/>
      <c r="F771" s="56"/>
      <c r="G771" s="56"/>
      <c r="H771" s="56"/>
      <c r="I771" s="67" t="str">
        <f t="shared" si="6"/>
        <v>52123</v>
      </c>
      <c r="J771" s="58"/>
      <c r="K771" s="58"/>
      <c r="L771" s="67" t="s">
        <v>1247</v>
      </c>
      <c r="M771" s="68">
        <v>1.0</v>
      </c>
      <c r="N771" s="69" t="s">
        <v>1248</v>
      </c>
      <c r="O771" s="66" t="s">
        <v>1249</v>
      </c>
      <c r="P771" s="69">
        <v>419354.0</v>
      </c>
      <c r="Q771" s="114" t="s">
        <v>1242</v>
      </c>
      <c r="R771" s="69">
        <v>419354.0</v>
      </c>
      <c r="S771" s="114" t="s">
        <v>1242</v>
      </c>
      <c r="T771" s="58"/>
      <c r="U771" s="69">
        <v>1.0</v>
      </c>
      <c r="V771" s="58"/>
      <c r="W771" s="69" t="s">
        <v>70</v>
      </c>
      <c r="X771" s="58"/>
      <c r="Y771" s="58"/>
      <c r="Z771" s="58"/>
      <c r="AA771" s="62" t="s">
        <v>79</v>
      </c>
      <c r="AB771" s="62" t="s">
        <v>79</v>
      </c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69" t="s">
        <v>1250</v>
      </c>
      <c r="AQ771" s="69">
        <v>338.0</v>
      </c>
      <c r="AR771" s="69">
        <v>630.0</v>
      </c>
      <c r="AS771" s="69">
        <v>405.0</v>
      </c>
      <c r="AT771" s="69">
        <v>1395.0</v>
      </c>
      <c r="AU771" s="69">
        <f t="shared" si="7"/>
        <v>0.35593425</v>
      </c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114" t="s">
        <v>1238</v>
      </c>
      <c r="BI771" s="58"/>
      <c r="BJ771" s="114" t="s">
        <v>1237</v>
      </c>
      <c r="BK771" s="69" t="s">
        <v>1241</v>
      </c>
      <c r="BL771" s="58"/>
      <c r="BM771" s="58"/>
      <c r="BN771" s="63"/>
      <c r="BO771" s="58"/>
      <c r="BP771" s="58"/>
      <c r="BQ771" s="64"/>
    </row>
    <row r="772">
      <c r="A772" s="28">
        <v>1.0</v>
      </c>
      <c r="B772" s="29">
        <v>52200.0</v>
      </c>
      <c r="C772" s="30"/>
      <c r="D772" s="30"/>
      <c r="E772" s="30"/>
      <c r="F772" s="30"/>
      <c r="G772" s="30"/>
      <c r="H772" s="30"/>
      <c r="I772" s="31" t="str">
        <f t="shared" si="6"/>
        <v>52200</v>
      </c>
      <c r="J772" s="74"/>
      <c r="K772" s="74"/>
      <c r="L772" s="31" t="s">
        <v>1251</v>
      </c>
      <c r="M772" s="75">
        <v>1.0</v>
      </c>
      <c r="N772" s="32"/>
      <c r="O772" s="30"/>
      <c r="P772" s="32"/>
      <c r="Q772" s="32"/>
      <c r="R772" s="32"/>
      <c r="S772" s="32"/>
      <c r="T772" s="74"/>
      <c r="U772" s="34">
        <v>1.0</v>
      </c>
      <c r="V772" s="74"/>
      <c r="W772" s="34" t="s">
        <v>70</v>
      </c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32"/>
      <c r="AQ772" s="32"/>
      <c r="AR772" s="32"/>
      <c r="AS772" s="32"/>
      <c r="AT772" s="32"/>
      <c r="AU772" s="32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32"/>
      <c r="BI772" s="32"/>
      <c r="BJ772" s="32"/>
      <c r="BK772" s="32"/>
      <c r="BL772" s="32"/>
      <c r="BM772" s="74"/>
      <c r="BN772" s="76"/>
      <c r="BO772" s="74"/>
      <c r="BP772" s="32"/>
      <c r="BQ772" s="10"/>
    </row>
    <row r="773">
      <c r="A773" s="36">
        <v>2.0</v>
      </c>
      <c r="B773" s="37">
        <v>52210.0</v>
      </c>
      <c r="C773" s="38"/>
      <c r="D773" s="38"/>
      <c r="E773" s="38"/>
      <c r="F773" s="38"/>
      <c r="G773" s="38"/>
      <c r="H773" s="38"/>
      <c r="I773" s="39" t="str">
        <f t="shared" si="6"/>
        <v>52210</v>
      </c>
      <c r="J773" s="40"/>
      <c r="K773" s="40"/>
      <c r="L773" s="39" t="s">
        <v>1252</v>
      </c>
      <c r="M773" s="41">
        <v>1.0</v>
      </c>
      <c r="N773" s="42"/>
      <c r="O773" s="38"/>
      <c r="P773" s="42"/>
      <c r="Q773" s="42"/>
      <c r="R773" s="42"/>
      <c r="S773" s="42"/>
      <c r="T773" s="40"/>
      <c r="U773" s="43">
        <v>1.0</v>
      </c>
      <c r="V773" s="40"/>
      <c r="W773" s="43" t="s">
        <v>70</v>
      </c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2"/>
      <c r="AQ773" s="42"/>
      <c r="AR773" s="42"/>
      <c r="AS773" s="42"/>
      <c r="AT773" s="42"/>
      <c r="AU773" s="42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2"/>
      <c r="BI773" s="42"/>
      <c r="BJ773" s="42"/>
      <c r="BK773" s="42"/>
      <c r="BL773" s="42"/>
      <c r="BM773" s="40"/>
      <c r="BN773" s="44"/>
      <c r="BO773" s="40"/>
      <c r="BP773" s="42"/>
      <c r="BQ773" s="10"/>
    </row>
    <row r="774">
      <c r="A774" s="45">
        <v>3.0</v>
      </c>
      <c r="B774" s="46">
        <v>52211.0</v>
      </c>
      <c r="C774" s="47"/>
      <c r="D774" s="47"/>
      <c r="E774" s="47"/>
      <c r="F774" s="47"/>
      <c r="G774" s="47"/>
      <c r="H774" s="47"/>
      <c r="I774" s="48" t="str">
        <f t="shared" si="6"/>
        <v>52211</v>
      </c>
      <c r="J774" s="49"/>
      <c r="K774" s="49"/>
      <c r="L774" s="48" t="s">
        <v>1253</v>
      </c>
      <c r="M774" s="50">
        <v>1.0</v>
      </c>
      <c r="N774" s="51"/>
      <c r="O774" s="47"/>
      <c r="P774" s="51"/>
      <c r="Q774" s="51"/>
      <c r="R774" s="51"/>
      <c r="S774" s="51"/>
      <c r="T774" s="49"/>
      <c r="U774" s="52">
        <v>1.0</v>
      </c>
      <c r="V774" s="49"/>
      <c r="W774" s="52" t="s">
        <v>70</v>
      </c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51"/>
      <c r="AQ774" s="51"/>
      <c r="AR774" s="51"/>
      <c r="AS774" s="51"/>
      <c r="AT774" s="51"/>
      <c r="AU774" s="51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51"/>
      <c r="BI774" s="51"/>
      <c r="BJ774" s="51"/>
      <c r="BK774" s="51"/>
      <c r="BL774" s="51"/>
      <c r="BM774" s="49"/>
      <c r="BN774" s="53"/>
      <c r="BO774" s="49"/>
      <c r="BP774" s="51"/>
      <c r="BQ774" s="10"/>
    </row>
    <row r="775">
      <c r="A775" s="1">
        <v>4.0</v>
      </c>
      <c r="B775" s="2">
        <v>52211.0</v>
      </c>
      <c r="C775" s="2" t="s">
        <v>76</v>
      </c>
      <c r="D775" s="93"/>
      <c r="E775" s="93"/>
      <c r="F775" s="93"/>
      <c r="G775" s="93"/>
      <c r="H775" s="93"/>
      <c r="I775" s="3" t="str">
        <f t="shared" si="6"/>
        <v>5221101</v>
      </c>
      <c r="J775" s="3"/>
      <c r="K775" s="3"/>
      <c r="L775" s="94" t="s">
        <v>1254</v>
      </c>
      <c r="M775" s="4">
        <v>2.0</v>
      </c>
      <c r="N775" s="3"/>
      <c r="O775" s="93"/>
      <c r="P775" s="3"/>
      <c r="Q775" s="3"/>
      <c r="R775" s="3"/>
      <c r="S775" s="3"/>
      <c r="T775" s="3"/>
      <c r="U775" s="6">
        <v>1.0</v>
      </c>
      <c r="V775" s="3"/>
      <c r="W775" s="6" t="s">
        <v>304</v>
      </c>
      <c r="X775" s="3"/>
      <c r="Y775" s="3"/>
      <c r="Z775" s="3"/>
      <c r="AA775" s="96" t="s">
        <v>79</v>
      </c>
      <c r="AB775" s="96" t="s">
        <v>79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6" t="s">
        <v>80</v>
      </c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97"/>
      <c r="BO775" s="3"/>
      <c r="BP775" s="3"/>
      <c r="BQ775" s="10"/>
    </row>
    <row r="776">
      <c r="A776" s="28">
        <v>1.0</v>
      </c>
      <c r="B776" s="29" t="s">
        <v>1255</v>
      </c>
      <c r="C776" s="30"/>
      <c r="D776" s="30"/>
      <c r="E776" s="30"/>
      <c r="F776" s="30"/>
      <c r="G776" s="30"/>
      <c r="H776" s="30"/>
      <c r="I776" s="31" t="str">
        <f t="shared" si="6"/>
        <v>52400</v>
      </c>
      <c r="J776" s="74"/>
      <c r="K776" s="74"/>
      <c r="L776" s="31" t="s">
        <v>1256</v>
      </c>
      <c r="M776" s="75">
        <v>1.0</v>
      </c>
      <c r="N776" s="32"/>
      <c r="O776" s="30"/>
      <c r="P776" s="32"/>
      <c r="Q776" s="32"/>
      <c r="R776" s="32"/>
      <c r="S776" s="32"/>
      <c r="T776" s="74"/>
      <c r="U776" s="34">
        <v>1.0</v>
      </c>
      <c r="V776" s="74"/>
      <c r="W776" s="34" t="s">
        <v>70</v>
      </c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32"/>
      <c r="AQ776" s="32"/>
      <c r="AR776" s="32"/>
      <c r="AS776" s="32"/>
      <c r="AT776" s="32"/>
      <c r="AU776" s="32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32"/>
      <c r="BI776" s="32"/>
      <c r="BJ776" s="32"/>
      <c r="BK776" s="32"/>
      <c r="BL776" s="32"/>
      <c r="BM776" s="74"/>
      <c r="BN776" s="76"/>
      <c r="BO776" s="74"/>
      <c r="BP776" s="32"/>
      <c r="BQ776" s="10"/>
    </row>
    <row r="777">
      <c r="A777" s="36">
        <v>2.0</v>
      </c>
      <c r="B777" s="37" t="s">
        <v>1257</v>
      </c>
      <c r="C777" s="38"/>
      <c r="D777" s="38"/>
      <c r="E777" s="38"/>
      <c r="F777" s="38"/>
      <c r="G777" s="38"/>
      <c r="H777" s="38"/>
      <c r="I777" s="39" t="str">
        <f t="shared" si="6"/>
        <v>52430</v>
      </c>
      <c r="J777" s="40"/>
      <c r="K777" s="40"/>
      <c r="L777" s="39" t="s">
        <v>1258</v>
      </c>
      <c r="M777" s="41">
        <v>1.0</v>
      </c>
      <c r="N777" s="42"/>
      <c r="O777" s="38"/>
      <c r="P777" s="42"/>
      <c r="Q777" s="42"/>
      <c r="R777" s="42"/>
      <c r="S777" s="42"/>
      <c r="T777" s="40"/>
      <c r="U777" s="43">
        <v>1.0</v>
      </c>
      <c r="V777" s="40"/>
      <c r="W777" s="43" t="s">
        <v>70</v>
      </c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2"/>
      <c r="AQ777" s="42"/>
      <c r="AR777" s="42"/>
      <c r="AS777" s="42"/>
      <c r="AT777" s="42"/>
      <c r="AU777" s="42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2"/>
      <c r="BI777" s="42"/>
      <c r="BJ777" s="42"/>
      <c r="BK777" s="42"/>
      <c r="BL777" s="42"/>
      <c r="BM777" s="40"/>
      <c r="BN777" s="44"/>
      <c r="BO777" s="40"/>
      <c r="BP777" s="42"/>
      <c r="BQ777" s="10"/>
    </row>
    <row r="778">
      <c r="A778" s="65">
        <v>3.0</v>
      </c>
      <c r="B778" s="66" t="s">
        <v>1259</v>
      </c>
      <c r="C778" s="56"/>
      <c r="D778" s="56"/>
      <c r="E778" s="56"/>
      <c r="F778" s="56"/>
      <c r="G778" s="56"/>
      <c r="H778" s="56"/>
      <c r="I778" s="67" t="str">
        <f t="shared" si="6"/>
        <v>52431</v>
      </c>
      <c r="J778" s="58"/>
      <c r="K778" s="58"/>
      <c r="L778" s="67" t="s">
        <v>1260</v>
      </c>
      <c r="M778" s="68">
        <v>1.0</v>
      </c>
      <c r="N778" s="69" t="s">
        <v>1261</v>
      </c>
      <c r="O778" s="56"/>
      <c r="P778" s="69" t="s">
        <v>1262</v>
      </c>
      <c r="Q778" s="114" t="s">
        <v>491</v>
      </c>
      <c r="R778" s="69" t="s">
        <v>1262</v>
      </c>
      <c r="S778" s="114" t="s">
        <v>1263</v>
      </c>
      <c r="T778" s="58"/>
      <c r="U778" s="69">
        <v>1.0</v>
      </c>
      <c r="V778" s="58"/>
      <c r="W778" s="69" t="s">
        <v>70</v>
      </c>
      <c r="X778" s="58"/>
      <c r="Y778" s="58"/>
      <c r="Z778" s="58"/>
      <c r="AA778" s="62" t="s">
        <v>79</v>
      </c>
      <c r="AB778" s="62" t="s">
        <v>79</v>
      </c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69">
        <v>18064.0</v>
      </c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114" t="s">
        <v>1264</v>
      </c>
      <c r="BI778" s="69">
        <v>18.0</v>
      </c>
      <c r="BJ778" s="114" t="s">
        <v>1262</v>
      </c>
      <c r="BK778" s="69" t="s">
        <v>1262</v>
      </c>
      <c r="BL778" s="66" t="s">
        <v>133</v>
      </c>
      <c r="BM778" s="58"/>
      <c r="BN778" s="58"/>
      <c r="BO778" s="63"/>
      <c r="BP778" s="58"/>
      <c r="BQ778" s="64"/>
    </row>
    <row r="779">
      <c r="A779" s="28">
        <v>1.0</v>
      </c>
      <c r="B779" s="29" t="s">
        <v>1265</v>
      </c>
      <c r="C779" s="30"/>
      <c r="D779" s="30"/>
      <c r="E779" s="30"/>
      <c r="F779" s="30"/>
      <c r="G779" s="30"/>
      <c r="H779" s="30"/>
      <c r="I779" s="31" t="str">
        <f t="shared" si="6"/>
        <v>52600</v>
      </c>
      <c r="J779" s="74"/>
      <c r="K779" s="74"/>
      <c r="L779" s="31" t="s">
        <v>1266</v>
      </c>
      <c r="M779" s="75">
        <v>1.0</v>
      </c>
      <c r="N779" s="32"/>
      <c r="O779" s="30"/>
      <c r="P779" s="32"/>
      <c r="Q779" s="32"/>
      <c r="R779" s="32"/>
      <c r="S779" s="32"/>
      <c r="T779" s="74"/>
      <c r="U779" s="34">
        <v>1.0</v>
      </c>
      <c r="V779" s="74"/>
      <c r="W779" s="34" t="s">
        <v>70</v>
      </c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32"/>
      <c r="AQ779" s="32"/>
      <c r="AR779" s="32"/>
      <c r="AS779" s="32"/>
      <c r="AT779" s="32"/>
      <c r="AU779" s="32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32"/>
      <c r="BI779" s="32"/>
      <c r="BJ779" s="32"/>
      <c r="BK779" s="32"/>
      <c r="BL779" s="32"/>
      <c r="BM779" s="74"/>
      <c r="BN779" s="76"/>
      <c r="BO779" s="74"/>
      <c r="BP779" s="32"/>
      <c r="BQ779" s="10"/>
    </row>
    <row r="780">
      <c r="A780" s="36">
        <v>2.0</v>
      </c>
      <c r="B780" s="37" t="s">
        <v>1267</v>
      </c>
      <c r="C780" s="38"/>
      <c r="D780" s="38"/>
      <c r="E780" s="38"/>
      <c r="F780" s="38"/>
      <c r="G780" s="38"/>
      <c r="H780" s="38"/>
      <c r="I780" s="39" t="str">
        <f t="shared" si="6"/>
        <v>52610</v>
      </c>
      <c r="J780" s="40"/>
      <c r="K780" s="40"/>
      <c r="L780" s="39" t="s">
        <v>1266</v>
      </c>
      <c r="M780" s="41">
        <v>1.0</v>
      </c>
      <c r="N780" s="42"/>
      <c r="O780" s="38"/>
      <c r="P780" s="42"/>
      <c r="Q780" s="42"/>
      <c r="R780" s="42"/>
      <c r="S780" s="42"/>
      <c r="T780" s="40"/>
      <c r="U780" s="43">
        <v>1.0</v>
      </c>
      <c r="V780" s="40"/>
      <c r="W780" s="43" t="s">
        <v>70</v>
      </c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2"/>
      <c r="AQ780" s="42"/>
      <c r="AR780" s="42"/>
      <c r="AS780" s="42"/>
      <c r="AT780" s="42"/>
      <c r="AU780" s="42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2"/>
      <c r="BI780" s="42"/>
      <c r="BJ780" s="42"/>
      <c r="BK780" s="42"/>
      <c r="BL780" s="42"/>
      <c r="BM780" s="40"/>
      <c r="BN780" s="44"/>
      <c r="BO780" s="40"/>
      <c r="BP780" s="42"/>
      <c r="BQ780" s="10"/>
    </row>
    <row r="781">
      <c r="A781" s="45">
        <v>3.0</v>
      </c>
      <c r="B781" s="46" t="s">
        <v>1268</v>
      </c>
      <c r="C781" s="47"/>
      <c r="D781" s="47"/>
      <c r="E781" s="47"/>
      <c r="F781" s="47"/>
      <c r="G781" s="47"/>
      <c r="H781" s="47"/>
      <c r="I781" s="48" t="str">
        <f t="shared" si="6"/>
        <v>52611</v>
      </c>
      <c r="J781" s="49"/>
      <c r="K781" s="49"/>
      <c r="L781" s="48" t="s">
        <v>1266</v>
      </c>
      <c r="M781" s="50">
        <v>1.0</v>
      </c>
      <c r="N781" s="51"/>
      <c r="O781" s="47"/>
      <c r="P781" s="51"/>
      <c r="Q781" s="51"/>
      <c r="R781" s="51"/>
      <c r="S781" s="51"/>
      <c r="T781" s="49"/>
      <c r="U781" s="52">
        <v>1.0</v>
      </c>
      <c r="V781" s="49"/>
      <c r="W781" s="52" t="s">
        <v>70</v>
      </c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52" t="s">
        <v>80</v>
      </c>
      <c r="AQ781" s="51"/>
      <c r="AR781" s="51"/>
      <c r="AS781" s="51"/>
      <c r="AT781" s="51"/>
      <c r="AU781" s="51"/>
      <c r="AV781" s="49"/>
      <c r="AW781" s="49"/>
      <c r="AX781" s="49"/>
      <c r="AY781" s="49"/>
      <c r="AZ781" s="49"/>
      <c r="BA781" s="49"/>
      <c r="BB781" s="49"/>
      <c r="BC781" s="49"/>
      <c r="BD781" s="49"/>
      <c r="BE781" s="49"/>
      <c r="BF781" s="49"/>
      <c r="BG781" s="49"/>
      <c r="BH781" s="51"/>
      <c r="BI781" s="51"/>
      <c r="BJ781" s="51"/>
      <c r="BK781" s="51"/>
      <c r="BL781" s="51"/>
      <c r="BM781" s="49"/>
      <c r="BN781" s="53"/>
      <c r="BO781" s="49"/>
      <c r="BP781" s="51"/>
      <c r="BQ781" s="10"/>
    </row>
    <row r="782">
      <c r="A782" s="28">
        <v>1.0</v>
      </c>
      <c r="B782" s="29">
        <v>52800.0</v>
      </c>
      <c r="C782" s="30"/>
      <c r="D782" s="30"/>
      <c r="E782" s="30"/>
      <c r="F782" s="30"/>
      <c r="G782" s="30"/>
      <c r="H782" s="30"/>
      <c r="I782" s="31" t="str">
        <f t="shared" si="6"/>
        <v>52800</v>
      </c>
      <c r="J782" s="32"/>
      <c r="K782" s="32"/>
      <c r="L782" s="31" t="s">
        <v>1269</v>
      </c>
      <c r="M782" s="33">
        <v>1.0</v>
      </c>
      <c r="N782" s="32"/>
      <c r="O782" s="30"/>
      <c r="P782" s="32"/>
      <c r="Q782" s="32"/>
      <c r="R782" s="32"/>
      <c r="S782" s="32"/>
      <c r="T782" s="32"/>
      <c r="U782" s="34">
        <v>1.0</v>
      </c>
      <c r="V782" s="32"/>
      <c r="W782" s="34" t="s">
        <v>70</v>
      </c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  <c r="BF782" s="32"/>
      <c r="BG782" s="32"/>
      <c r="BH782" s="32"/>
      <c r="BI782" s="32"/>
      <c r="BJ782" s="32"/>
      <c r="BK782" s="32"/>
      <c r="BL782" s="32"/>
      <c r="BM782" s="32"/>
      <c r="BN782" s="35"/>
      <c r="BO782" s="32"/>
      <c r="BP782" s="32"/>
      <c r="BQ782" s="10"/>
    </row>
    <row r="783">
      <c r="A783" s="36">
        <v>2.0</v>
      </c>
      <c r="B783" s="37">
        <v>52810.0</v>
      </c>
      <c r="C783" s="38"/>
      <c r="D783" s="38"/>
      <c r="E783" s="38"/>
      <c r="F783" s="38"/>
      <c r="G783" s="38"/>
      <c r="H783" s="38"/>
      <c r="I783" s="39" t="str">
        <f t="shared" si="6"/>
        <v>52810</v>
      </c>
      <c r="J783" s="40"/>
      <c r="K783" s="40"/>
      <c r="L783" s="39" t="s">
        <v>1270</v>
      </c>
      <c r="M783" s="41">
        <v>1.0</v>
      </c>
      <c r="N783" s="42"/>
      <c r="O783" s="38"/>
      <c r="P783" s="42"/>
      <c r="Q783" s="42"/>
      <c r="R783" s="42"/>
      <c r="S783" s="42"/>
      <c r="T783" s="40"/>
      <c r="U783" s="43">
        <v>1.0</v>
      </c>
      <c r="V783" s="40"/>
      <c r="W783" s="43" t="s">
        <v>70</v>
      </c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2"/>
      <c r="AQ783" s="42"/>
      <c r="AR783" s="42"/>
      <c r="AS783" s="42"/>
      <c r="AT783" s="42"/>
      <c r="AU783" s="42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2"/>
      <c r="BI783" s="42"/>
      <c r="BJ783" s="42"/>
      <c r="BK783" s="42"/>
      <c r="BL783" s="42"/>
      <c r="BM783" s="40"/>
      <c r="BN783" s="44"/>
      <c r="BO783" s="40"/>
      <c r="BP783" s="42"/>
      <c r="BQ783" s="10"/>
    </row>
    <row r="784">
      <c r="A784" s="45">
        <v>3.0</v>
      </c>
      <c r="B784" s="46">
        <v>52811.0</v>
      </c>
      <c r="C784" s="47"/>
      <c r="D784" s="47"/>
      <c r="E784" s="47"/>
      <c r="F784" s="47"/>
      <c r="G784" s="47"/>
      <c r="H784" s="47"/>
      <c r="I784" s="48" t="str">
        <f t="shared" si="6"/>
        <v>52811</v>
      </c>
      <c r="J784" s="49"/>
      <c r="K784" s="49"/>
      <c r="L784" s="48" t="s">
        <v>1270</v>
      </c>
      <c r="M784" s="50">
        <v>1.0</v>
      </c>
      <c r="N784" s="51"/>
      <c r="O784" s="47"/>
      <c r="P784" s="51"/>
      <c r="Q784" s="51"/>
      <c r="R784" s="51"/>
      <c r="S784" s="51"/>
      <c r="T784" s="49"/>
      <c r="U784" s="52">
        <v>1.0</v>
      </c>
      <c r="V784" s="49"/>
      <c r="W784" s="52" t="s">
        <v>70</v>
      </c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51"/>
      <c r="AQ784" s="51"/>
      <c r="AR784" s="51"/>
      <c r="AS784" s="51"/>
      <c r="AT784" s="51"/>
      <c r="AU784" s="51"/>
      <c r="AV784" s="49"/>
      <c r="AW784" s="49"/>
      <c r="AX784" s="49"/>
      <c r="AY784" s="49"/>
      <c r="AZ784" s="49"/>
      <c r="BA784" s="49"/>
      <c r="BB784" s="49"/>
      <c r="BC784" s="49"/>
      <c r="BD784" s="49"/>
      <c r="BE784" s="49"/>
      <c r="BF784" s="49"/>
      <c r="BG784" s="49"/>
      <c r="BH784" s="51"/>
      <c r="BI784" s="51"/>
      <c r="BJ784" s="51"/>
      <c r="BK784" s="51"/>
      <c r="BL784" s="51"/>
      <c r="BM784" s="49"/>
      <c r="BN784" s="53"/>
      <c r="BO784" s="49"/>
      <c r="BP784" s="51"/>
      <c r="BQ784" s="10"/>
    </row>
    <row r="785">
      <c r="A785" s="1">
        <v>4.0</v>
      </c>
      <c r="B785" s="2">
        <v>52811.0</v>
      </c>
      <c r="C785" s="2" t="s">
        <v>76</v>
      </c>
      <c r="D785" s="93"/>
      <c r="E785" s="93"/>
      <c r="F785" s="93"/>
      <c r="G785" s="93"/>
      <c r="H785" s="93"/>
      <c r="I785" s="3" t="str">
        <f t="shared" si="6"/>
        <v>5281101</v>
      </c>
      <c r="J785" s="3"/>
      <c r="K785" s="3"/>
      <c r="L785" s="94" t="s">
        <v>1271</v>
      </c>
      <c r="M785" s="4">
        <v>2.0</v>
      </c>
      <c r="N785" s="3"/>
      <c r="O785" s="93"/>
      <c r="P785" s="3"/>
      <c r="Q785" s="3"/>
      <c r="R785" s="3"/>
      <c r="S785" s="3"/>
      <c r="T785" s="3"/>
      <c r="U785" s="6">
        <v>1.0</v>
      </c>
      <c r="V785" s="3"/>
      <c r="W785" s="6" t="s">
        <v>304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97"/>
      <c r="BO785" s="3"/>
      <c r="BP785" s="3"/>
      <c r="BQ785" s="10"/>
    </row>
    <row r="786">
      <c r="A786" s="70">
        <v>5.0</v>
      </c>
      <c r="B786" s="71">
        <v>52811.0</v>
      </c>
      <c r="C786" s="71" t="s">
        <v>76</v>
      </c>
      <c r="D786" s="71" t="s">
        <v>76</v>
      </c>
      <c r="E786" s="56"/>
      <c r="F786" s="56"/>
      <c r="G786" s="56"/>
      <c r="H786" s="56"/>
      <c r="I786" s="58" t="str">
        <f t="shared" si="6"/>
        <v>528110101</v>
      </c>
      <c r="J786" s="58"/>
      <c r="K786" s="58"/>
      <c r="L786" s="59" t="s">
        <v>1272</v>
      </c>
      <c r="M786" s="72">
        <v>1.0</v>
      </c>
      <c r="N786" s="72" t="s">
        <v>1273</v>
      </c>
      <c r="O786" s="73" t="s">
        <v>1274</v>
      </c>
      <c r="P786" s="72">
        <v>497493.0</v>
      </c>
      <c r="Q786" s="90" t="s">
        <v>1242</v>
      </c>
      <c r="R786" s="72">
        <v>497493.0</v>
      </c>
      <c r="S786" s="90" t="s">
        <v>1242</v>
      </c>
      <c r="T786" s="58"/>
      <c r="U786" s="72">
        <v>1.0</v>
      </c>
      <c r="V786" s="58"/>
      <c r="W786" s="72" t="s">
        <v>78</v>
      </c>
      <c r="X786" s="58"/>
      <c r="Y786" s="58"/>
      <c r="Z786" s="58"/>
      <c r="AA786" s="62" t="s">
        <v>79</v>
      </c>
      <c r="AB786" s="62" t="s">
        <v>79</v>
      </c>
      <c r="AC786" s="58"/>
      <c r="AD786" s="58"/>
      <c r="AE786" s="58"/>
      <c r="AF786" s="58"/>
      <c r="AG786" s="58"/>
      <c r="AH786" s="58"/>
      <c r="AI786" s="58"/>
      <c r="AJ786" s="58"/>
      <c r="AK786" s="58"/>
      <c r="AL786" s="58"/>
      <c r="AM786" s="58"/>
      <c r="AN786" s="58"/>
      <c r="AO786" s="58"/>
      <c r="AP786" s="72" t="s">
        <v>1275</v>
      </c>
      <c r="AQ786" s="72">
        <v>29.6</v>
      </c>
      <c r="AR786" s="72">
        <v>300.0</v>
      </c>
      <c r="AS786" s="72">
        <v>200.0</v>
      </c>
      <c r="AT786" s="72">
        <v>515.0</v>
      </c>
      <c r="AU786" s="72">
        <f t="shared" ref="AU786:AU787" si="8">AR786*AS786*AT786/(10^9)</f>
        <v>0.0309</v>
      </c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90" t="s">
        <v>1276</v>
      </c>
      <c r="BK786" s="73" t="s">
        <v>1274</v>
      </c>
      <c r="BL786" s="58"/>
      <c r="BM786" s="58"/>
      <c r="BN786" s="63"/>
      <c r="BO786" s="58"/>
      <c r="BP786" s="58"/>
      <c r="BQ786" s="64"/>
    </row>
    <row r="787">
      <c r="A787" s="70">
        <v>5.0</v>
      </c>
      <c r="B787" s="71">
        <v>52811.0</v>
      </c>
      <c r="C787" s="71" t="s">
        <v>76</v>
      </c>
      <c r="D787" s="71" t="s">
        <v>119</v>
      </c>
      <c r="E787" s="56"/>
      <c r="F787" s="56"/>
      <c r="G787" s="56"/>
      <c r="H787" s="56"/>
      <c r="I787" s="58" t="str">
        <f t="shared" si="6"/>
        <v>528110102</v>
      </c>
      <c r="J787" s="58"/>
      <c r="K787" s="58"/>
      <c r="L787" s="59" t="s">
        <v>1277</v>
      </c>
      <c r="M787" s="72">
        <v>1.0</v>
      </c>
      <c r="N787" s="72" t="s">
        <v>1273</v>
      </c>
      <c r="O787" s="73" t="s">
        <v>1278</v>
      </c>
      <c r="P787" s="72">
        <v>497493.0</v>
      </c>
      <c r="Q787" s="90" t="s">
        <v>1242</v>
      </c>
      <c r="R787" s="72">
        <v>497493.0</v>
      </c>
      <c r="S787" s="90" t="s">
        <v>1242</v>
      </c>
      <c r="T787" s="58"/>
      <c r="U787" s="72">
        <v>1.0</v>
      </c>
      <c r="V787" s="58"/>
      <c r="W787" s="72" t="s">
        <v>78</v>
      </c>
      <c r="X787" s="58"/>
      <c r="Y787" s="58"/>
      <c r="Z787" s="58"/>
      <c r="AA787" s="62" t="s">
        <v>79</v>
      </c>
      <c r="AB787" s="58"/>
      <c r="AC787" s="58"/>
      <c r="AD787" s="58"/>
      <c r="AE787" s="58"/>
      <c r="AF787" s="58"/>
      <c r="AG787" s="58"/>
      <c r="AH787" s="58"/>
      <c r="AI787" s="58"/>
      <c r="AJ787" s="58"/>
      <c r="AK787" s="58"/>
      <c r="AL787" s="58"/>
      <c r="AM787" s="58"/>
      <c r="AN787" s="58"/>
      <c r="AO787" s="58"/>
      <c r="AP787" s="72" t="s">
        <v>1279</v>
      </c>
      <c r="AQ787" s="72">
        <v>29.6</v>
      </c>
      <c r="AR787" s="72">
        <v>300.0</v>
      </c>
      <c r="AS787" s="72">
        <v>200.0</v>
      </c>
      <c r="AT787" s="72">
        <v>515.0</v>
      </c>
      <c r="AU787" s="72">
        <f t="shared" si="8"/>
        <v>0.0309</v>
      </c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90" t="s">
        <v>1276</v>
      </c>
      <c r="BK787" s="73" t="s">
        <v>1278</v>
      </c>
      <c r="BL787" s="58"/>
      <c r="BM787" s="58"/>
      <c r="BN787" s="63"/>
      <c r="BO787" s="58"/>
      <c r="BP787" s="58"/>
      <c r="BQ787" s="64"/>
    </row>
    <row r="788">
      <c r="A788" s="1">
        <v>5.0</v>
      </c>
      <c r="B788" s="2">
        <v>52811.0</v>
      </c>
      <c r="C788" s="2" t="s">
        <v>76</v>
      </c>
      <c r="D788" s="2" t="s">
        <v>124</v>
      </c>
      <c r="E788" s="93"/>
      <c r="F788" s="93"/>
      <c r="G788" s="93"/>
      <c r="H788" s="93"/>
      <c r="I788" s="3" t="str">
        <f t="shared" si="6"/>
        <v>528110103</v>
      </c>
      <c r="J788" s="3"/>
      <c r="K788" s="3"/>
      <c r="L788" s="94" t="s">
        <v>1280</v>
      </c>
      <c r="M788" s="4">
        <v>1.0</v>
      </c>
      <c r="N788" s="3"/>
      <c r="O788" s="95" t="s">
        <v>1281</v>
      </c>
      <c r="P788" s="3"/>
      <c r="Q788" s="3"/>
      <c r="R788" s="3"/>
      <c r="S788" s="3"/>
      <c r="T788" s="3"/>
      <c r="U788" s="6">
        <v>1.0</v>
      </c>
      <c r="V788" s="3"/>
      <c r="W788" s="6" t="s">
        <v>78</v>
      </c>
      <c r="X788" s="3"/>
      <c r="Y788" s="3"/>
      <c r="Z788" s="3"/>
      <c r="AA788" s="96" t="s">
        <v>79</v>
      </c>
      <c r="AB788" s="96" t="s">
        <v>79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6" t="s">
        <v>1282</v>
      </c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8" t="s">
        <v>1276</v>
      </c>
      <c r="BI788" s="3"/>
      <c r="BJ788" s="8" t="s">
        <v>1283</v>
      </c>
      <c r="BK788" s="6" t="s">
        <v>1281</v>
      </c>
      <c r="BL788" s="3"/>
      <c r="BM788" s="3"/>
      <c r="BN788" s="97"/>
      <c r="BO788" s="3"/>
      <c r="BP788" s="3"/>
      <c r="BQ788" s="10"/>
    </row>
    <row r="789">
      <c r="A789" s="1">
        <v>5.0</v>
      </c>
      <c r="B789" s="2">
        <v>52811.0</v>
      </c>
      <c r="C789" s="2" t="s">
        <v>76</v>
      </c>
      <c r="D789" s="2" t="s">
        <v>127</v>
      </c>
      <c r="E789" s="93"/>
      <c r="F789" s="93"/>
      <c r="G789" s="93"/>
      <c r="H789" s="93"/>
      <c r="I789" s="3" t="str">
        <f t="shared" si="6"/>
        <v>528110104</v>
      </c>
      <c r="J789" s="3"/>
      <c r="K789" s="3"/>
      <c r="L789" s="94" t="s">
        <v>1284</v>
      </c>
      <c r="M789" s="4">
        <v>1.0</v>
      </c>
      <c r="N789" s="3"/>
      <c r="O789" s="95" t="s">
        <v>1285</v>
      </c>
      <c r="P789" s="3"/>
      <c r="Q789" s="3"/>
      <c r="R789" s="3"/>
      <c r="S789" s="3"/>
      <c r="T789" s="3"/>
      <c r="U789" s="6">
        <v>1.0</v>
      </c>
      <c r="V789" s="3"/>
      <c r="W789" s="6" t="s">
        <v>78</v>
      </c>
      <c r="X789" s="3"/>
      <c r="Y789" s="3"/>
      <c r="Z789" s="3"/>
      <c r="AA789" s="96" t="s">
        <v>79</v>
      </c>
      <c r="AB789" s="96" t="s">
        <v>79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6" t="s">
        <v>1282</v>
      </c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8" t="s">
        <v>1276</v>
      </c>
      <c r="BI789" s="3"/>
      <c r="BJ789" s="8" t="s">
        <v>1283</v>
      </c>
      <c r="BK789" s="6" t="s">
        <v>1285</v>
      </c>
      <c r="BL789" s="3"/>
      <c r="BM789" s="3"/>
      <c r="BN789" s="97"/>
      <c r="BO789" s="3"/>
      <c r="BP789" s="3"/>
      <c r="BQ789" s="10"/>
    </row>
    <row r="790">
      <c r="A790" s="70">
        <v>5.0</v>
      </c>
      <c r="B790" s="71">
        <v>52811.0</v>
      </c>
      <c r="C790" s="71" t="s">
        <v>76</v>
      </c>
      <c r="D790" s="71" t="s">
        <v>91</v>
      </c>
      <c r="E790" s="56"/>
      <c r="F790" s="56"/>
      <c r="G790" s="56"/>
      <c r="H790" s="56"/>
      <c r="I790" s="58" t="str">
        <f t="shared" si="6"/>
        <v>528110105</v>
      </c>
      <c r="J790" s="58"/>
      <c r="K790" s="58"/>
      <c r="L790" s="59" t="s">
        <v>1286</v>
      </c>
      <c r="M790" s="72">
        <v>1.0</v>
      </c>
      <c r="N790" s="72" t="s">
        <v>1287</v>
      </c>
      <c r="O790" s="73" t="s">
        <v>1288</v>
      </c>
      <c r="P790" s="72">
        <v>497493.0</v>
      </c>
      <c r="Q790" s="90" t="s">
        <v>1242</v>
      </c>
      <c r="R790" s="72">
        <v>497493.0</v>
      </c>
      <c r="S790" s="90" t="s">
        <v>1242</v>
      </c>
      <c r="T790" s="58"/>
      <c r="U790" s="72">
        <v>1.0</v>
      </c>
      <c r="V790" s="58"/>
      <c r="W790" s="72" t="s">
        <v>78</v>
      </c>
      <c r="X790" s="58"/>
      <c r="Y790" s="58"/>
      <c r="Z790" s="58"/>
      <c r="AA790" s="62" t="s">
        <v>79</v>
      </c>
      <c r="AB790" s="62" t="s">
        <v>79</v>
      </c>
      <c r="AC790" s="58"/>
      <c r="AD790" s="58"/>
      <c r="AE790" s="58"/>
      <c r="AF790" s="58"/>
      <c r="AG790" s="58"/>
      <c r="AH790" s="58"/>
      <c r="AI790" s="58"/>
      <c r="AJ790" s="58"/>
      <c r="AK790" s="58"/>
      <c r="AL790" s="58"/>
      <c r="AM790" s="58"/>
      <c r="AN790" s="58"/>
      <c r="AO790" s="58"/>
      <c r="AP790" s="72" t="s">
        <v>1289</v>
      </c>
      <c r="AQ790" s="72">
        <v>28.12</v>
      </c>
      <c r="AR790" s="72">
        <v>300.0</v>
      </c>
      <c r="AS790" s="72">
        <v>200.0</v>
      </c>
      <c r="AT790" s="72">
        <v>515.0</v>
      </c>
      <c r="AU790" s="72">
        <f t="shared" ref="AU790:AU792" si="9">AR790*AS790*AT790/(10^9)</f>
        <v>0.0309</v>
      </c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90" t="s">
        <v>1276</v>
      </c>
      <c r="BK790" s="73" t="s">
        <v>1288</v>
      </c>
      <c r="BL790" s="58"/>
      <c r="BM790" s="58"/>
      <c r="BN790" s="63"/>
      <c r="BO790" s="58"/>
      <c r="BP790" s="58"/>
      <c r="BQ790" s="64"/>
    </row>
    <row r="791">
      <c r="A791" s="70">
        <v>5.0</v>
      </c>
      <c r="B791" s="71">
        <v>52811.0</v>
      </c>
      <c r="C791" s="71" t="s">
        <v>76</v>
      </c>
      <c r="D791" s="71" t="s">
        <v>133</v>
      </c>
      <c r="E791" s="56"/>
      <c r="F791" s="56"/>
      <c r="G791" s="56"/>
      <c r="H791" s="56"/>
      <c r="I791" s="58" t="str">
        <f t="shared" si="6"/>
        <v>528110106</v>
      </c>
      <c r="J791" s="58"/>
      <c r="K791" s="58"/>
      <c r="L791" s="59" t="s">
        <v>1290</v>
      </c>
      <c r="M791" s="72">
        <v>1.0</v>
      </c>
      <c r="N791" s="72" t="s">
        <v>1287</v>
      </c>
      <c r="O791" s="73" t="s">
        <v>1291</v>
      </c>
      <c r="P791" s="72">
        <v>497493.0</v>
      </c>
      <c r="Q791" s="90" t="s">
        <v>1242</v>
      </c>
      <c r="R791" s="72">
        <v>497493.0</v>
      </c>
      <c r="S791" s="90" t="s">
        <v>1242</v>
      </c>
      <c r="T791" s="58"/>
      <c r="U791" s="72">
        <v>1.0</v>
      </c>
      <c r="V791" s="58"/>
      <c r="W791" s="72" t="s">
        <v>78</v>
      </c>
      <c r="X791" s="58"/>
      <c r="Y791" s="58"/>
      <c r="Z791" s="58"/>
      <c r="AA791" s="62" t="s">
        <v>79</v>
      </c>
      <c r="AB791" s="58"/>
      <c r="AC791" s="58"/>
      <c r="AD791" s="58"/>
      <c r="AE791" s="58"/>
      <c r="AF791" s="58"/>
      <c r="AG791" s="58"/>
      <c r="AH791" s="58"/>
      <c r="AI791" s="58"/>
      <c r="AJ791" s="58"/>
      <c r="AK791" s="58"/>
      <c r="AL791" s="58"/>
      <c r="AM791" s="58"/>
      <c r="AN791" s="58"/>
      <c r="AO791" s="58"/>
      <c r="AP791" s="72" t="s">
        <v>1292</v>
      </c>
      <c r="AQ791" s="72">
        <v>28.12</v>
      </c>
      <c r="AR791" s="72">
        <v>300.0</v>
      </c>
      <c r="AS791" s="72">
        <v>200.0</v>
      </c>
      <c r="AT791" s="72">
        <v>515.0</v>
      </c>
      <c r="AU791" s="72">
        <f t="shared" si="9"/>
        <v>0.0309</v>
      </c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90" t="s">
        <v>1276</v>
      </c>
      <c r="BK791" s="73" t="s">
        <v>1291</v>
      </c>
      <c r="BL791" s="58"/>
      <c r="BM791" s="58"/>
      <c r="BN791" s="63"/>
      <c r="BO791" s="58"/>
      <c r="BP791" s="58"/>
      <c r="BQ791" s="64"/>
    </row>
    <row r="792">
      <c r="A792" s="70">
        <v>5.0</v>
      </c>
      <c r="B792" s="71">
        <v>52811.0</v>
      </c>
      <c r="C792" s="71" t="s">
        <v>76</v>
      </c>
      <c r="D792" s="71" t="s">
        <v>136</v>
      </c>
      <c r="E792" s="56"/>
      <c r="F792" s="56"/>
      <c r="G792" s="56"/>
      <c r="H792" s="56"/>
      <c r="I792" s="58" t="str">
        <f t="shared" si="6"/>
        <v>528110107</v>
      </c>
      <c r="J792" s="58"/>
      <c r="K792" s="58"/>
      <c r="L792" s="59" t="s">
        <v>1293</v>
      </c>
      <c r="M792" s="72">
        <v>1.0</v>
      </c>
      <c r="N792" s="72" t="s">
        <v>1287</v>
      </c>
      <c r="O792" s="73" t="s">
        <v>1294</v>
      </c>
      <c r="P792" s="72">
        <v>497493.0</v>
      </c>
      <c r="Q792" s="90" t="s">
        <v>1242</v>
      </c>
      <c r="R792" s="72">
        <v>497493.0</v>
      </c>
      <c r="S792" s="90" t="s">
        <v>1242</v>
      </c>
      <c r="T792" s="58"/>
      <c r="U792" s="72">
        <v>1.0</v>
      </c>
      <c r="V792" s="58"/>
      <c r="W792" s="72" t="s">
        <v>78</v>
      </c>
      <c r="X792" s="58"/>
      <c r="Y792" s="58"/>
      <c r="Z792" s="58"/>
      <c r="AA792" s="62" t="s">
        <v>79</v>
      </c>
      <c r="AB792" s="58"/>
      <c r="AC792" s="58"/>
      <c r="AD792" s="58"/>
      <c r="AE792" s="58"/>
      <c r="AF792" s="58"/>
      <c r="AG792" s="58"/>
      <c r="AH792" s="58"/>
      <c r="AI792" s="58"/>
      <c r="AJ792" s="58"/>
      <c r="AK792" s="58"/>
      <c r="AL792" s="58"/>
      <c r="AM792" s="58"/>
      <c r="AN792" s="58"/>
      <c r="AO792" s="58"/>
      <c r="AP792" s="72" t="s">
        <v>1295</v>
      </c>
      <c r="AQ792" s="72">
        <v>38.41</v>
      </c>
      <c r="AR792" s="72">
        <v>300.0</v>
      </c>
      <c r="AS792" s="72">
        <v>200.0</v>
      </c>
      <c r="AT792" s="72">
        <v>515.0</v>
      </c>
      <c r="AU792" s="72">
        <f t="shared" si="9"/>
        <v>0.0309</v>
      </c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90" t="s">
        <v>1296</v>
      </c>
      <c r="BK792" s="120" t="s">
        <v>1294</v>
      </c>
      <c r="BL792" s="58"/>
      <c r="BM792" s="58"/>
      <c r="BN792" s="63"/>
      <c r="BO792" s="58"/>
      <c r="BP792" s="58"/>
      <c r="BQ792" s="64"/>
    </row>
    <row r="793">
      <c r="A793" s="70">
        <v>5.0</v>
      </c>
      <c r="B793" s="71">
        <v>52811.0</v>
      </c>
      <c r="C793" s="71" t="s">
        <v>76</v>
      </c>
      <c r="D793" s="71" t="s">
        <v>138</v>
      </c>
      <c r="E793" s="56"/>
      <c r="F793" s="56"/>
      <c r="G793" s="56"/>
      <c r="H793" s="56"/>
      <c r="I793" s="58" t="str">
        <f t="shared" si="6"/>
        <v>528110108</v>
      </c>
      <c r="J793" s="58"/>
      <c r="K793" s="58"/>
      <c r="L793" s="59" t="s">
        <v>1297</v>
      </c>
      <c r="M793" s="72">
        <v>2.0</v>
      </c>
      <c r="N793" s="58"/>
      <c r="O793" s="56"/>
      <c r="P793" s="58"/>
      <c r="Q793" s="58"/>
      <c r="R793" s="58"/>
      <c r="S793" s="58"/>
      <c r="T793" s="58"/>
      <c r="U793" s="72">
        <v>1.0</v>
      </c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  <c r="AG793" s="58"/>
      <c r="AH793" s="58"/>
      <c r="AI793" s="58"/>
      <c r="AJ793" s="58"/>
      <c r="AK793" s="58"/>
      <c r="AL793" s="58"/>
      <c r="AM793" s="58"/>
      <c r="AN793" s="58"/>
      <c r="AO793" s="58"/>
      <c r="AP793" s="58"/>
      <c r="AQ793" s="58"/>
      <c r="AR793" s="58"/>
      <c r="AS793" s="58"/>
      <c r="AT793" s="58"/>
      <c r="AU793" s="58"/>
      <c r="AV793" s="72">
        <v>690.0</v>
      </c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63"/>
      <c r="BO793" s="58"/>
      <c r="BP793" s="58"/>
      <c r="BQ793" s="64"/>
    </row>
    <row r="794">
      <c r="A794" s="70">
        <v>5.0</v>
      </c>
      <c r="B794" s="71">
        <v>52811.0</v>
      </c>
      <c r="C794" s="71" t="s">
        <v>76</v>
      </c>
      <c r="D794" s="71" t="s">
        <v>142</v>
      </c>
      <c r="E794" s="56"/>
      <c r="F794" s="56"/>
      <c r="G794" s="56"/>
      <c r="H794" s="56"/>
      <c r="I794" s="58" t="str">
        <f t="shared" si="6"/>
        <v>528110109</v>
      </c>
      <c r="J794" s="58"/>
      <c r="K794" s="58"/>
      <c r="L794" s="59" t="s">
        <v>1298</v>
      </c>
      <c r="M794" s="72">
        <v>2.0</v>
      </c>
      <c r="N794" s="58"/>
      <c r="O794" s="56"/>
      <c r="P794" s="58"/>
      <c r="Q794" s="58"/>
      <c r="R794" s="58"/>
      <c r="S794" s="58"/>
      <c r="T794" s="58"/>
      <c r="U794" s="72">
        <v>1.0</v>
      </c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  <c r="AG794" s="58"/>
      <c r="AH794" s="58"/>
      <c r="AI794" s="58"/>
      <c r="AJ794" s="58"/>
      <c r="AK794" s="58"/>
      <c r="AL794" s="58"/>
      <c r="AM794" s="58"/>
      <c r="AN794" s="58"/>
      <c r="AO794" s="58"/>
      <c r="AP794" s="58"/>
      <c r="AQ794" s="58"/>
      <c r="AR794" s="58"/>
      <c r="AS794" s="58"/>
      <c r="AT794" s="58"/>
      <c r="AU794" s="58"/>
      <c r="AV794" s="72">
        <v>690.0</v>
      </c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63"/>
      <c r="BO794" s="58"/>
      <c r="BP794" s="58"/>
      <c r="BQ794" s="64"/>
    </row>
    <row r="795">
      <c r="A795" s="1">
        <v>5.0</v>
      </c>
      <c r="B795" s="2">
        <v>52811.0</v>
      </c>
      <c r="C795" s="2" t="s">
        <v>76</v>
      </c>
      <c r="D795" s="2" t="s">
        <v>149</v>
      </c>
      <c r="E795" s="93"/>
      <c r="F795" s="93"/>
      <c r="G795" s="93"/>
      <c r="H795" s="93"/>
      <c r="I795" s="3" t="str">
        <f t="shared" si="6"/>
        <v>52811010A</v>
      </c>
      <c r="J795" s="3"/>
      <c r="K795" s="3"/>
      <c r="L795" s="94" t="s">
        <v>1299</v>
      </c>
      <c r="M795" s="4">
        <v>2.0</v>
      </c>
      <c r="N795" s="3"/>
      <c r="O795" s="93"/>
      <c r="P795" s="3"/>
      <c r="Q795" s="3"/>
      <c r="R795" s="3"/>
      <c r="S795" s="3"/>
      <c r="T795" s="3"/>
      <c r="U795" s="6">
        <v>1.0</v>
      </c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97"/>
      <c r="BO795" s="3"/>
      <c r="BP795" s="3"/>
      <c r="BQ795" s="10"/>
    </row>
    <row r="796">
      <c r="A796" s="1">
        <v>5.0</v>
      </c>
      <c r="B796" s="2">
        <v>52811.0</v>
      </c>
      <c r="C796" s="2" t="s">
        <v>76</v>
      </c>
      <c r="D796" s="2" t="s">
        <v>151</v>
      </c>
      <c r="E796" s="93"/>
      <c r="F796" s="93"/>
      <c r="G796" s="93"/>
      <c r="H796" s="93"/>
      <c r="I796" s="3" t="str">
        <f t="shared" si="6"/>
        <v>52811010B</v>
      </c>
      <c r="J796" s="3"/>
      <c r="K796" s="3"/>
      <c r="L796" s="94" t="s">
        <v>1300</v>
      </c>
      <c r="M796" s="4">
        <v>2.0</v>
      </c>
      <c r="N796" s="3"/>
      <c r="O796" s="93"/>
      <c r="P796" s="3"/>
      <c r="Q796" s="3"/>
      <c r="R796" s="3"/>
      <c r="S796" s="3"/>
      <c r="T796" s="3"/>
      <c r="U796" s="6" t="s">
        <v>79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97"/>
      <c r="BO796" s="3"/>
      <c r="BP796" s="3"/>
      <c r="BQ796" s="10"/>
    </row>
    <row r="797">
      <c r="A797" s="1">
        <v>4.0</v>
      </c>
      <c r="B797" s="2">
        <v>52811.0</v>
      </c>
      <c r="C797" s="2" t="s">
        <v>119</v>
      </c>
      <c r="D797" s="93"/>
      <c r="E797" s="93"/>
      <c r="F797" s="93"/>
      <c r="G797" s="93"/>
      <c r="H797" s="93"/>
      <c r="I797" s="3" t="str">
        <f t="shared" si="6"/>
        <v>5281102</v>
      </c>
      <c r="J797" s="3"/>
      <c r="K797" s="3"/>
      <c r="L797" s="94" t="s">
        <v>1301</v>
      </c>
      <c r="M797" s="4">
        <v>2.0</v>
      </c>
      <c r="N797" s="3"/>
      <c r="O797" s="93"/>
      <c r="P797" s="3"/>
      <c r="Q797" s="3"/>
      <c r="R797" s="3"/>
      <c r="S797" s="3"/>
      <c r="T797" s="3"/>
      <c r="U797" s="6">
        <v>1.0</v>
      </c>
      <c r="V797" s="3"/>
      <c r="W797" s="6" t="s">
        <v>304</v>
      </c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97"/>
      <c r="BO797" s="3"/>
      <c r="BP797" s="3"/>
      <c r="BQ797" s="10"/>
    </row>
    <row r="798">
      <c r="A798" s="1">
        <v>5.0</v>
      </c>
      <c r="B798" s="2">
        <v>52811.0</v>
      </c>
      <c r="C798" s="2" t="s">
        <v>119</v>
      </c>
      <c r="D798" s="2" t="s">
        <v>76</v>
      </c>
      <c r="E798" s="93"/>
      <c r="F798" s="93"/>
      <c r="G798" s="93"/>
      <c r="H798" s="93"/>
      <c r="I798" s="3" t="str">
        <f t="shared" si="6"/>
        <v>528110201</v>
      </c>
      <c r="J798" s="3"/>
      <c r="K798" s="3"/>
      <c r="L798" s="94" t="s">
        <v>1302</v>
      </c>
      <c r="M798" s="4">
        <v>1.0</v>
      </c>
      <c r="N798" s="6">
        <v>8543.0</v>
      </c>
      <c r="O798" s="95" t="s">
        <v>1303</v>
      </c>
      <c r="P798" s="3"/>
      <c r="Q798" s="3"/>
      <c r="R798" s="3"/>
      <c r="S798" s="3"/>
      <c r="T798" s="3"/>
      <c r="U798" s="6">
        <v>1.0</v>
      </c>
      <c r="V798" s="3"/>
      <c r="W798" s="6" t="s">
        <v>78</v>
      </c>
      <c r="X798" s="3"/>
      <c r="Y798" s="3"/>
      <c r="Z798" s="3"/>
      <c r="AA798" s="96" t="s">
        <v>79</v>
      </c>
      <c r="AB798" s="96" t="s">
        <v>79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6" t="s">
        <v>1304</v>
      </c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8" t="s">
        <v>1276</v>
      </c>
      <c r="BI798" s="3"/>
      <c r="BJ798" s="8" t="s">
        <v>1283</v>
      </c>
      <c r="BK798" s="6" t="s">
        <v>1303</v>
      </c>
      <c r="BL798" s="3"/>
      <c r="BM798" s="3"/>
      <c r="BN798" s="97"/>
      <c r="BO798" s="3"/>
      <c r="BP798" s="3"/>
      <c r="BQ798" s="10"/>
    </row>
    <row r="799">
      <c r="A799" s="70">
        <v>5.0</v>
      </c>
      <c r="B799" s="71">
        <v>52811.0</v>
      </c>
      <c r="C799" s="71" t="s">
        <v>119</v>
      </c>
      <c r="D799" s="71" t="s">
        <v>119</v>
      </c>
      <c r="E799" s="56"/>
      <c r="F799" s="56"/>
      <c r="G799" s="56"/>
      <c r="H799" s="56"/>
      <c r="I799" s="58" t="str">
        <f t="shared" si="6"/>
        <v>528110202</v>
      </c>
      <c r="J799" s="58"/>
      <c r="K799" s="58"/>
      <c r="L799" s="59" t="s">
        <v>1305</v>
      </c>
      <c r="M799" s="72">
        <v>1.0</v>
      </c>
      <c r="N799" s="58"/>
      <c r="O799" s="73" t="s">
        <v>1306</v>
      </c>
      <c r="P799" s="72">
        <v>497493.0</v>
      </c>
      <c r="Q799" s="90" t="s">
        <v>1242</v>
      </c>
      <c r="R799" s="72">
        <v>497493.0</v>
      </c>
      <c r="S799" s="90" t="s">
        <v>1242</v>
      </c>
      <c r="T799" s="58"/>
      <c r="U799" s="72">
        <v>1.0</v>
      </c>
      <c r="V799" s="58"/>
      <c r="W799" s="72" t="s">
        <v>78</v>
      </c>
      <c r="X799" s="58"/>
      <c r="Y799" s="58"/>
      <c r="Z799" s="58"/>
      <c r="AA799" s="62" t="s">
        <v>79</v>
      </c>
      <c r="AB799" s="62" t="s">
        <v>79</v>
      </c>
      <c r="AC799" s="58"/>
      <c r="AD799" s="58"/>
      <c r="AE799" s="58"/>
      <c r="AF799" s="58"/>
      <c r="AG799" s="58"/>
      <c r="AH799" s="58"/>
      <c r="AI799" s="58"/>
      <c r="AJ799" s="58"/>
      <c r="AK799" s="58"/>
      <c r="AL799" s="58"/>
      <c r="AM799" s="58"/>
      <c r="AN799" s="58"/>
      <c r="AO799" s="58"/>
      <c r="AP799" s="72" t="s">
        <v>80</v>
      </c>
      <c r="AQ799" s="72">
        <v>38.41</v>
      </c>
      <c r="AR799" s="72">
        <v>300.0</v>
      </c>
      <c r="AS799" s="72">
        <v>200.0</v>
      </c>
      <c r="AT799" s="72">
        <v>515.0</v>
      </c>
      <c r="AU799" s="72">
        <f t="shared" ref="AU799:AU800" si="10">AR799*AS799*AT799/(10^9)</f>
        <v>0.0309</v>
      </c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90" t="s">
        <v>1276</v>
      </c>
      <c r="BK799" s="73" t="s">
        <v>1306</v>
      </c>
      <c r="BL799" s="58"/>
      <c r="BM799" s="58"/>
      <c r="BN799" s="63"/>
      <c r="BO799" s="58"/>
      <c r="BP799" s="58"/>
      <c r="BQ799" s="64"/>
    </row>
    <row r="800">
      <c r="A800" s="70">
        <v>5.0</v>
      </c>
      <c r="B800" s="71">
        <v>52811.0</v>
      </c>
      <c r="C800" s="71" t="s">
        <v>119</v>
      </c>
      <c r="D800" s="71" t="s">
        <v>124</v>
      </c>
      <c r="E800" s="56"/>
      <c r="F800" s="56"/>
      <c r="G800" s="56"/>
      <c r="H800" s="56"/>
      <c r="I800" s="58" t="str">
        <f t="shared" si="6"/>
        <v>528110203</v>
      </c>
      <c r="J800" s="58"/>
      <c r="K800" s="58"/>
      <c r="L800" s="59" t="s">
        <v>1307</v>
      </c>
      <c r="M800" s="72">
        <v>1.0</v>
      </c>
      <c r="N800" s="58"/>
      <c r="O800" s="73" t="s">
        <v>1308</v>
      </c>
      <c r="P800" s="72">
        <v>497493.0</v>
      </c>
      <c r="Q800" s="90" t="s">
        <v>1242</v>
      </c>
      <c r="R800" s="72">
        <v>497493.0</v>
      </c>
      <c r="S800" s="90" t="s">
        <v>1242</v>
      </c>
      <c r="T800" s="58"/>
      <c r="U800" s="72">
        <v>1.0</v>
      </c>
      <c r="V800" s="58"/>
      <c r="W800" s="72" t="s">
        <v>78</v>
      </c>
      <c r="X800" s="58"/>
      <c r="Y800" s="58"/>
      <c r="Z800" s="58"/>
      <c r="AA800" s="62" t="s">
        <v>79</v>
      </c>
      <c r="AB800" s="58"/>
      <c r="AC800" s="58"/>
      <c r="AD800" s="58"/>
      <c r="AE800" s="58"/>
      <c r="AF800" s="58"/>
      <c r="AG800" s="58"/>
      <c r="AH800" s="58"/>
      <c r="AI800" s="58"/>
      <c r="AJ800" s="58"/>
      <c r="AK800" s="58"/>
      <c r="AL800" s="58"/>
      <c r="AM800" s="58"/>
      <c r="AN800" s="58"/>
      <c r="AO800" s="58"/>
      <c r="AP800" s="72" t="s">
        <v>80</v>
      </c>
      <c r="AQ800" s="72">
        <v>38.41</v>
      </c>
      <c r="AR800" s="72">
        <v>300.0</v>
      </c>
      <c r="AS800" s="72">
        <v>200.0</v>
      </c>
      <c r="AT800" s="72">
        <v>515.0</v>
      </c>
      <c r="AU800" s="72">
        <f t="shared" si="10"/>
        <v>0.0309</v>
      </c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90" t="s">
        <v>1276</v>
      </c>
      <c r="BK800" s="73" t="s">
        <v>1308</v>
      </c>
      <c r="BL800" s="58"/>
      <c r="BM800" s="58"/>
      <c r="BN800" s="63"/>
      <c r="BO800" s="58"/>
      <c r="BP800" s="58"/>
      <c r="BQ800" s="64"/>
    </row>
    <row r="801">
      <c r="A801" s="70">
        <v>5.0</v>
      </c>
      <c r="B801" s="71">
        <v>52811.0</v>
      </c>
      <c r="C801" s="71" t="s">
        <v>119</v>
      </c>
      <c r="D801" s="71" t="s">
        <v>127</v>
      </c>
      <c r="E801" s="56"/>
      <c r="F801" s="56"/>
      <c r="G801" s="56"/>
      <c r="H801" s="56"/>
      <c r="I801" s="58" t="str">
        <f t="shared" si="6"/>
        <v>528110204</v>
      </c>
      <c r="J801" s="58"/>
      <c r="K801" s="58"/>
      <c r="L801" s="59" t="s">
        <v>1309</v>
      </c>
      <c r="M801" s="72">
        <v>2.0</v>
      </c>
      <c r="N801" s="58"/>
      <c r="O801" s="56"/>
      <c r="P801" s="58"/>
      <c r="Q801" s="58"/>
      <c r="R801" s="58"/>
      <c r="S801" s="58"/>
      <c r="T801" s="58"/>
      <c r="U801" s="72">
        <v>1.0</v>
      </c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  <c r="AG801" s="58"/>
      <c r="AH801" s="58"/>
      <c r="AI801" s="58"/>
      <c r="AJ801" s="58"/>
      <c r="AK801" s="58"/>
      <c r="AL801" s="58"/>
      <c r="AM801" s="58"/>
      <c r="AN801" s="58"/>
      <c r="AO801" s="58"/>
      <c r="AP801" s="58"/>
      <c r="AQ801" s="58"/>
      <c r="AR801" s="58"/>
      <c r="AS801" s="58"/>
      <c r="AT801" s="58"/>
      <c r="AU801" s="58"/>
      <c r="AV801" s="72">
        <v>690.0</v>
      </c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63"/>
      <c r="BO801" s="58"/>
      <c r="BP801" s="58"/>
      <c r="BQ801" s="64"/>
    </row>
    <row r="802">
      <c r="A802" s="1">
        <v>5.0</v>
      </c>
      <c r="B802" s="2">
        <v>52811.0</v>
      </c>
      <c r="C802" s="2" t="s">
        <v>119</v>
      </c>
      <c r="D802" s="2" t="s">
        <v>91</v>
      </c>
      <c r="E802" s="93"/>
      <c r="F802" s="93"/>
      <c r="G802" s="93"/>
      <c r="H802" s="93"/>
      <c r="I802" s="3" t="str">
        <f t="shared" si="6"/>
        <v>528110205</v>
      </c>
      <c r="J802" s="3"/>
      <c r="K802" s="3"/>
      <c r="L802" s="94" t="s">
        <v>1299</v>
      </c>
      <c r="M802" s="4">
        <v>2.0</v>
      </c>
      <c r="N802" s="3"/>
      <c r="O802" s="93"/>
      <c r="P802" s="3"/>
      <c r="Q802" s="3"/>
      <c r="R802" s="3"/>
      <c r="S802" s="3"/>
      <c r="T802" s="3"/>
      <c r="U802" s="6">
        <v>1.0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97"/>
      <c r="BO802" s="3"/>
      <c r="BP802" s="3"/>
      <c r="BQ802" s="10"/>
    </row>
    <row r="803">
      <c r="A803" s="1">
        <v>4.0</v>
      </c>
      <c r="B803" s="2">
        <v>52811.0</v>
      </c>
      <c r="C803" s="2" t="s">
        <v>124</v>
      </c>
      <c r="D803" s="93"/>
      <c r="E803" s="93"/>
      <c r="F803" s="93"/>
      <c r="G803" s="93"/>
      <c r="H803" s="93"/>
      <c r="I803" s="3" t="str">
        <f t="shared" si="6"/>
        <v>5281103</v>
      </c>
      <c r="J803" s="3"/>
      <c r="K803" s="3"/>
      <c r="L803" s="94" t="s">
        <v>1310</v>
      </c>
      <c r="M803" s="4">
        <v>2.0</v>
      </c>
      <c r="N803" s="3"/>
      <c r="O803" s="93"/>
      <c r="P803" s="3"/>
      <c r="Q803" s="3"/>
      <c r="R803" s="3"/>
      <c r="S803" s="3"/>
      <c r="T803" s="3"/>
      <c r="U803" s="6">
        <v>1.0</v>
      </c>
      <c r="V803" s="3"/>
      <c r="W803" s="6" t="s">
        <v>304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97"/>
      <c r="BO803" s="3"/>
      <c r="BP803" s="3"/>
      <c r="BQ803" s="10"/>
    </row>
    <row r="804">
      <c r="A804" s="1">
        <v>5.0</v>
      </c>
      <c r="B804" s="2">
        <v>52811.0</v>
      </c>
      <c r="C804" s="2" t="s">
        <v>124</v>
      </c>
      <c r="D804" s="2" t="s">
        <v>76</v>
      </c>
      <c r="E804" s="93"/>
      <c r="F804" s="93"/>
      <c r="G804" s="93"/>
      <c r="H804" s="93"/>
      <c r="I804" s="3" t="str">
        <f t="shared" si="6"/>
        <v>528110301</v>
      </c>
      <c r="J804" s="3"/>
      <c r="K804" s="3"/>
      <c r="L804" s="94" t="s">
        <v>1311</v>
      </c>
      <c r="M804" s="4">
        <v>1.0</v>
      </c>
      <c r="N804" s="3"/>
      <c r="O804" s="95" t="s">
        <v>1312</v>
      </c>
      <c r="P804" s="3"/>
      <c r="Q804" s="3"/>
      <c r="R804" s="3"/>
      <c r="S804" s="3"/>
      <c r="T804" s="3"/>
      <c r="U804" s="6">
        <v>1.0</v>
      </c>
      <c r="V804" s="3"/>
      <c r="W804" s="6" t="s">
        <v>78</v>
      </c>
      <c r="X804" s="3"/>
      <c r="Y804" s="3"/>
      <c r="Z804" s="3"/>
      <c r="AA804" s="96" t="s">
        <v>79</v>
      </c>
      <c r="AB804" s="96" t="s">
        <v>79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6" t="s">
        <v>1313</v>
      </c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8" t="s">
        <v>1314</v>
      </c>
      <c r="BI804" s="3"/>
      <c r="BJ804" s="8" t="s">
        <v>1315</v>
      </c>
      <c r="BK804" s="6" t="s">
        <v>1312</v>
      </c>
      <c r="BL804" s="3"/>
      <c r="BM804" s="3"/>
      <c r="BN804" s="97"/>
      <c r="BO804" s="3"/>
      <c r="BP804" s="3"/>
      <c r="BQ804" s="10"/>
    </row>
    <row r="805">
      <c r="A805" s="70">
        <v>5.0</v>
      </c>
      <c r="B805" s="71">
        <v>52811.0</v>
      </c>
      <c r="C805" s="71" t="s">
        <v>124</v>
      </c>
      <c r="D805" s="71" t="s">
        <v>119</v>
      </c>
      <c r="E805" s="56"/>
      <c r="F805" s="56"/>
      <c r="G805" s="56"/>
      <c r="H805" s="56"/>
      <c r="I805" s="58" t="str">
        <f t="shared" si="6"/>
        <v>528110302</v>
      </c>
      <c r="J805" s="58"/>
      <c r="K805" s="58"/>
      <c r="L805" s="59" t="s">
        <v>1316</v>
      </c>
      <c r="M805" s="60">
        <v>1.0</v>
      </c>
      <c r="N805" s="58"/>
      <c r="O805" s="56"/>
      <c r="P805" s="58"/>
      <c r="Q805" s="58"/>
      <c r="R805" s="58"/>
      <c r="S805" s="58"/>
      <c r="T805" s="58"/>
      <c r="U805" s="72">
        <v>1.0</v>
      </c>
      <c r="V805" s="58"/>
      <c r="W805" s="72" t="s">
        <v>141</v>
      </c>
      <c r="X805" s="58"/>
      <c r="Y805" s="58"/>
      <c r="Z805" s="58"/>
      <c r="AA805" s="62" t="s">
        <v>79</v>
      </c>
      <c r="AB805" s="62" t="s">
        <v>79</v>
      </c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72" t="s">
        <v>1317</v>
      </c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90" t="s">
        <v>1318</v>
      </c>
      <c r="BI805" s="58"/>
      <c r="BJ805" s="90" t="s">
        <v>1319</v>
      </c>
      <c r="BK805" s="72">
        <v>165.0</v>
      </c>
      <c r="BL805" s="58"/>
      <c r="BM805" s="58"/>
      <c r="BN805" s="63"/>
      <c r="BO805" s="58"/>
      <c r="BP805" s="58"/>
      <c r="BQ805" s="64"/>
    </row>
    <row r="806">
      <c r="A806" s="70">
        <v>6.0</v>
      </c>
      <c r="B806" s="71">
        <v>52811.0</v>
      </c>
      <c r="C806" s="71" t="s">
        <v>124</v>
      </c>
      <c r="D806" s="71" t="s">
        <v>119</v>
      </c>
      <c r="E806" s="71" t="s">
        <v>76</v>
      </c>
      <c r="F806" s="79"/>
      <c r="G806" s="79"/>
      <c r="H806" s="79"/>
      <c r="I806" s="81" t="str">
        <f t="shared" si="6"/>
        <v>52811030201</v>
      </c>
      <c r="J806" s="56"/>
      <c r="K806" s="79"/>
      <c r="L806" s="121" t="s">
        <v>1320</v>
      </c>
      <c r="M806" s="60">
        <v>1.0</v>
      </c>
      <c r="N806" s="81"/>
      <c r="O806" s="81"/>
      <c r="P806" s="122" t="s">
        <v>1321</v>
      </c>
      <c r="Q806" s="121" t="s">
        <v>1322</v>
      </c>
      <c r="R806" s="81"/>
      <c r="S806" s="81"/>
      <c r="T806" s="58"/>
      <c r="U806" s="123">
        <v>1.0</v>
      </c>
      <c r="V806" s="81"/>
      <c r="W806" s="123" t="s">
        <v>78</v>
      </c>
      <c r="X806" s="58"/>
      <c r="Y806" s="58"/>
      <c r="Z806" s="58"/>
      <c r="AA806" s="99" t="s">
        <v>79</v>
      </c>
      <c r="AB806" s="56"/>
      <c r="AC806" s="58"/>
      <c r="AD806" s="58"/>
      <c r="AE806" s="58"/>
      <c r="AF806" s="58"/>
      <c r="AG806" s="58"/>
      <c r="AH806" s="58"/>
      <c r="AI806" s="58"/>
      <c r="AJ806" s="58"/>
      <c r="AK806" s="58"/>
      <c r="AL806" s="58"/>
      <c r="AM806" s="58"/>
      <c r="AN806" s="58"/>
      <c r="AO806" s="58"/>
      <c r="AP806" s="124" t="s">
        <v>80</v>
      </c>
      <c r="AQ806" s="81"/>
      <c r="AR806" s="81"/>
      <c r="AS806" s="81"/>
      <c r="AT806" s="81"/>
      <c r="AU806" s="125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81"/>
      <c r="BK806" s="81"/>
      <c r="BL806" s="58"/>
      <c r="BM806" s="58"/>
      <c r="BN806" s="58"/>
      <c r="BO806" s="58"/>
      <c r="BP806" s="81"/>
      <c r="BQ806" s="64"/>
    </row>
    <row r="807">
      <c r="A807" s="126">
        <v>6.0</v>
      </c>
      <c r="B807" s="124">
        <v>52811.0</v>
      </c>
      <c r="C807" s="126" t="s">
        <v>124</v>
      </c>
      <c r="D807" s="126" t="s">
        <v>119</v>
      </c>
      <c r="E807" s="126" t="s">
        <v>119</v>
      </c>
      <c r="F807" s="79"/>
      <c r="G807" s="79"/>
      <c r="H807" s="79"/>
      <c r="I807" s="81" t="str">
        <f t="shared" si="6"/>
        <v>52811030202</v>
      </c>
      <c r="J807" s="56"/>
      <c r="K807" s="79"/>
      <c r="L807" s="121" t="s">
        <v>1323</v>
      </c>
      <c r="M807" s="60">
        <v>1.0</v>
      </c>
      <c r="N807" s="81"/>
      <c r="O807" s="81"/>
      <c r="P807" s="122" t="s">
        <v>1324</v>
      </c>
      <c r="Q807" s="121" t="s">
        <v>1322</v>
      </c>
      <c r="R807" s="81"/>
      <c r="S807" s="81"/>
      <c r="T807" s="58"/>
      <c r="U807" s="123">
        <v>20.0</v>
      </c>
      <c r="V807" s="81"/>
      <c r="W807" s="123" t="s">
        <v>78</v>
      </c>
      <c r="X807" s="58"/>
      <c r="Y807" s="58"/>
      <c r="Z807" s="58"/>
      <c r="AA807" s="99" t="s">
        <v>79</v>
      </c>
      <c r="AB807" s="56"/>
      <c r="AC807" s="58"/>
      <c r="AD807" s="58"/>
      <c r="AE807" s="58"/>
      <c r="AF807" s="58"/>
      <c r="AG807" s="58"/>
      <c r="AH807" s="58"/>
      <c r="AI807" s="58"/>
      <c r="AJ807" s="58"/>
      <c r="AK807" s="58"/>
      <c r="AL807" s="58"/>
      <c r="AM807" s="58"/>
      <c r="AN807" s="58"/>
      <c r="AO807" s="58"/>
      <c r="AP807" s="124" t="s">
        <v>80</v>
      </c>
      <c r="AQ807" s="81"/>
      <c r="AR807" s="81"/>
      <c r="AS807" s="81"/>
      <c r="AT807" s="81"/>
      <c r="AU807" s="125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81"/>
      <c r="BK807" s="81"/>
      <c r="BL807" s="81"/>
      <c r="BM807" s="81"/>
      <c r="BN807" s="81"/>
      <c r="BO807" s="81"/>
      <c r="BP807" s="81"/>
      <c r="BQ807" s="64"/>
    </row>
    <row r="808">
      <c r="A808" s="70">
        <v>5.0</v>
      </c>
      <c r="B808" s="71">
        <v>52811.0</v>
      </c>
      <c r="C808" s="71" t="s">
        <v>124</v>
      </c>
      <c r="D808" s="71" t="s">
        <v>124</v>
      </c>
      <c r="E808" s="56"/>
      <c r="F808" s="56"/>
      <c r="G808" s="56"/>
      <c r="H808" s="56"/>
      <c r="I808" s="58" t="str">
        <f t="shared" si="6"/>
        <v>528110303</v>
      </c>
      <c r="J808" s="58"/>
      <c r="K808" s="58"/>
      <c r="L808" s="59" t="s">
        <v>1325</v>
      </c>
      <c r="M808" s="60">
        <v>1.0</v>
      </c>
      <c r="N808" s="72" t="s">
        <v>1326</v>
      </c>
      <c r="O808" s="73" t="s">
        <v>1327</v>
      </c>
      <c r="P808" s="58"/>
      <c r="Q808" s="58"/>
      <c r="R808" s="58"/>
      <c r="S808" s="58"/>
      <c r="T808" s="58"/>
      <c r="U808" s="72">
        <v>1.0</v>
      </c>
      <c r="V808" s="58"/>
      <c r="W808" s="72" t="s">
        <v>78</v>
      </c>
      <c r="X808" s="58"/>
      <c r="Y808" s="58"/>
      <c r="Z808" s="58"/>
      <c r="AA808" s="62" t="s">
        <v>79</v>
      </c>
      <c r="AB808" s="62" t="s">
        <v>79</v>
      </c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72" t="s">
        <v>1328</v>
      </c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90" t="s">
        <v>1318</v>
      </c>
      <c r="BI808" s="58"/>
      <c r="BJ808" s="90" t="s">
        <v>1319</v>
      </c>
      <c r="BK808" s="72">
        <v>166.0</v>
      </c>
      <c r="BL808" s="58"/>
      <c r="BM808" s="58"/>
      <c r="BN808" s="63"/>
      <c r="BO808" s="58"/>
      <c r="BP808" s="58"/>
      <c r="BQ808" s="64"/>
    </row>
    <row r="809">
      <c r="A809" s="1">
        <v>4.0</v>
      </c>
      <c r="B809" s="2">
        <v>52811.0</v>
      </c>
      <c r="C809" s="2" t="s">
        <v>127</v>
      </c>
      <c r="D809" s="93"/>
      <c r="E809" s="93"/>
      <c r="F809" s="93"/>
      <c r="G809" s="93"/>
      <c r="H809" s="93"/>
      <c r="I809" s="3" t="str">
        <f t="shared" si="6"/>
        <v>5281104</v>
      </c>
      <c r="J809" s="3"/>
      <c r="K809" s="3"/>
      <c r="L809" s="94" t="s">
        <v>1329</v>
      </c>
      <c r="M809" s="4">
        <v>2.0</v>
      </c>
      <c r="N809" s="3"/>
      <c r="O809" s="93"/>
      <c r="P809" s="3"/>
      <c r="Q809" s="3"/>
      <c r="R809" s="3"/>
      <c r="S809" s="3"/>
      <c r="T809" s="3"/>
      <c r="U809" s="6">
        <v>1.0</v>
      </c>
      <c r="V809" s="3"/>
      <c r="W809" s="6" t="s">
        <v>435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97"/>
      <c r="BO809" s="3"/>
      <c r="BP809" s="3"/>
      <c r="BQ809" s="10"/>
    </row>
    <row r="810">
      <c r="A810" s="28">
        <v>1.0</v>
      </c>
      <c r="B810" s="29">
        <v>52900.0</v>
      </c>
      <c r="C810" s="30"/>
      <c r="D810" s="30"/>
      <c r="E810" s="30"/>
      <c r="F810" s="30"/>
      <c r="G810" s="30"/>
      <c r="H810" s="30"/>
      <c r="I810" s="31" t="str">
        <f t="shared" si="6"/>
        <v>52900</v>
      </c>
      <c r="J810" s="32"/>
      <c r="K810" s="32"/>
      <c r="L810" s="31" t="s">
        <v>1330</v>
      </c>
      <c r="M810" s="33">
        <v>1.0</v>
      </c>
      <c r="N810" s="32"/>
      <c r="O810" s="30"/>
      <c r="P810" s="32"/>
      <c r="Q810" s="32"/>
      <c r="R810" s="32"/>
      <c r="S810" s="32"/>
      <c r="T810" s="32"/>
      <c r="U810" s="34">
        <v>1.0</v>
      </c>
      <c r="V810" s="32"/>
      <c r="W810" s="34" t="s">
        <v>70</v>
      </c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  <c r="BF810" s="32"/>
      <c r="BG810" s="32"/>
      <c r="BH810" s="32"/>
      <c r="BI810" s="32"/>
      <c r="BJ810" s="32"/>
      <c r="BK810" s="32"/>
      <c r="BL810" s="32"/>
      <c r="BM810" s="32"/>
      <c r="BN810" s="35"/>
      <c r="BO810" s="32"/>
      <c r="BP810" s="32"/>
      <c r="BQ810" s="10"/>
    </row>
    <row r="811">
      <c r="A811" s="36">
        <v>2.0</v>
      </c>
      <c r="B811" s="37">
        <v>52910.0</v>
      </c>
      <c r="C811" s="38"/>
      <c r="D811" s="38"/>
      <c r="E811" s="38"/>
      <c r="F811" s="38"/>
      <c r="G811" s="38"/>
      <c r="H811" s="38"/>
      <c r="I811" s="39" t="str">
        <f t="shared" si="6"/>
        <v>52910</v>
      </c>
      <c r="J811" s="40"/>
      <c r="K811" s="40"/>
      <c r="L811" s="39" t="s">
        <v>1331</v>
      </c>
      <c r="M811" s="41">
        <v>1.0</v>
      </c>
      <c r="N811" s="42"/>
      <c r="O811" s="38"/>
      <c r="P811" s="42"/>
      <c r="Q811" s="42"/>
      <c r="R811" s="42"/>
      <c r="S811" s="42"/>
      <c r="T811" s="40"/>
      <c r="U811" s="43">
        <v>1.0</v>
      </c>
      <c r="V811" s="40"/>
      <c r="W811" s="43" t="s">
        <v>70</v>
      </c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2"/>
      <c r="AQ811" s="42"/>
      <c r="AR811" s="42"/>
      <c r="AS811" s="42"/>
      <c r="AT811" s="42"/>
      <c r="AU811" s="42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2"/>
      <c r="BI811" s="42"/>
      <c r="BJ811" s="42"/>
      <c r="BK811" s="42"/>
      <c r="BL811" s="42"/>
      <c r="BM811" s="40"/>
      <c r="BN811" s="44"/>
      <c r="BO811" s="40"/>
      <c r="BP811" s="42"/>
      <c r="BQ811" s="10"/>
    </row>
    <row r="812">
      <c r="A812" s="45">
        <v>3.0</v>
      </c>
      <c r="B812" s="46">
        <v>52911.0</v>
      </c>
      <c r="C812" s="47"/>
      <c r="D812" s="47"/>
      <c r="E812" s="47"/>
      <c r="F812" s="47"/>
      <c r="G812" s="47"/>
      <c r="H812" s="47"/>
      <c r="I812" s="48" t="str">
        <f t="shared" si="6"/>
        <v>52911</v>
      </c>
      <c r="J812" s="49"/>
      <c r="K812" s="49"/>
      <c r="L812" s="48" t="s">
        <v>1332</v>
      </c>
      <c r="M812" s="50">
        <v>1.0</v>
      </c>
      <c r="N812" s="51"/>
      <c r="O812" s="47"/>
      <c r="P812" s="51"/>
      <c r="Q812" s="51"/>
      <c r="R812" s="51"/>
      <c r="S812" s="51"/>
      <c r="T812" s="49"/>
      <c r="U812" s="52">
        <v>1.0</v>
      </c>
      <c r="V812" s="49"/>
      <c r="W812" s="52" t="s">
        <v>70</v>
      </c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51"/>
      <c r="AQ812" s="51"/>
      <c r="AR812" s="51"/>
      <c r="AS812" s="51"/>
      <c r="AT812" s="51"/>
      <c r="AU812" s="51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51"/>
      <c r="BI812" s="51"/>
      <c r="BJ812" s="51"/>
      <c r="BK812" s="51"/>
      <c r="BL812" s="51"/>
      <c r="BM812" s="49"/>
      <c r="BN812" s="53"/>
      <c r="BO812" s="49"/>
      <c r="BP812" s="51"/>
      <c r="BQ812" s="10"/>
    </row>
    <row r="813">
      <c r="A813" s="1">
        <v>4.0</v>
      </c>
      <c r="B813" s="2">
        <v>52911.0</v>
      </c>
      <c r="C813" s="2" t="s">
        <v>76</v>
      </c>
      <c r="D813" s="93"/>
      <c r="E813" s="93"/>
      <c r="F813" s="93"/>
      <c r="G813" s="93"/>
      <c r="H813" s="93"/>
      <c r="I813" s="3" t="str">
        <f t="shared" si="6"/>
        <v>5291101</v>
      </c>
      <c r="J813" s="3"/>
      <c r="K813" s="3"/>
      <c r="L813" s="94" t="s">
        <v>1333</v>
      </c>
      <c r="M813" s="4">
        <v>2.0</v>
      </c>
      <c r="N813" s="3"/>
      <c r="O813" s="93"/>
      <c r="P813" s="3"/>
      <c r="Q813" s="3"/>
      <c r="R813" s="3"/>
      <c r="S813" s="3"/>
      <c r="T813" s="3"/>
      <c r="U813" s="6">
        <v>1.0</v>
      </c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97"/>
      <c r="BO813" s="3"/>
      <c r="BP813" s="3"/>
      <c r="BQ813" s="10"/>
    </row>
    <row r="814">
      <c r="A814" s="36">
        <v>2.0</v>
      </c>
      <c r="B814" s="37">
        <v>52920.0</v>
      </c>
      <c r="C814" s="38"/>
      <c r="D814" s="38"/>
      <c r="E814" s="38"/>
      <c r="F814" s="38"/>
      <c r="G814" s="38"/>
      <c r="H814" s="38"/>
      <c r="I814" s="39" t="str">
        <f t="shared" si="6"/>
        <v>52920</v>
      </c>
      <c r="J814" s="40"/>
      <c r="K814" s="40"/>
      <c r="L814" s="39" t="s">
        <v>1334</v>
      </c>
      <c r="M814" s="41">
        <v>1.0</v>
      </c>
      <c r="N814" s="42"/>
      <c r="O814" s="38"/>
      <c r="P814" s="42"/>
      <c r="Q814" s="42"/>
      <c r="R814" s="42"/>
      <c r="S814" s="42"/>
      <c r="T814" s="40"/>
      <c r="U814" s="43">
        <v>1.0</v>
      </c>
      <c r="V814" s="40"/>
      <c r="W814" s="43" t="s">
        <v>70</v>
      </c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2"/>
      <c r="AQ814" s="42"/>
      <c r="AR814" s="42"/>
      <c r="AS814" s="42"/>
      <c r="AT814" s="42"/>
      <c r="AU814" s="42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2"/>
      <c r="BI814" s="42"/>
      <c r="BJ814" s="42"/>
      <c r="BK814" s="42"/>
      <c r="BL814" s="42"/>
      <c r="BM814" s="40"/>
      <c r="BN814" s="44"/>
      <c r="BO814" s="40"/>
      <c r="BP814" s="42"/>
      <c r="BQ814" s="10"/>
    </row>
    <row r="815">
      <c r="A815" s="45">
        <v>3.0</v>
      </c>
      <c r="B815" s="46">
        <v>52921.0</v>
      </c>
      <c r="C815" s="47"/>
      <c r="D815" s="47"/>
      <c r="E815" s="47"/>
      <c r="F815" s="47"/>
      <c r="G815" s="47"/>
      <c r="H815" s="47"/>
      <c r="I815" s="48" t="str">
        <f t="shared" si="6"/>
        <v>52921</v>
      </c>
      <c r="J815" s="49"/>
      <c r="K815" s="49"/>
      <c r="L815" s="48" t="s">
        <v>1334</v>
      </c>
      <c r="M815" s="50">
        <v>1.0</v>
      </c>
      <c r="N815" s="51"/>
      <c r="O815" s="47"/>
      <c r="P815" s="51"/>
      <c r="Q815" s="51"/>
      <c r="R815" s="51"/>
      <c r="S815" s="51"/>
      <c r="T815" s="49"/>
      <c r="U815" s="52">
        <v>1.0</v>
      </c>
      <c r="V815" s="49"/>
      <c r="W815" s="52" t="s">
        <v>70</v>
      </c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51"/>
      <c r="AQ815" s="51"/>
      <c r="AR815" s="51"/>
      <c r="AS815" s="51"/>
      <c r="AT815" s="51"/>
      <c r="AU815" s="51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51"/>
      <c r="BI815" s="51"/>
      <c r="BJ815" s="51"/>
      <c r="BK815" s="51"/>
      <c r="BL815" s="51"/>
      <c r="BM815" s="49"/>
      <c r="BN815" s="53"/>
      <c r="BO815" s="49"/>
      <c r="BP815" s="51"/>
      <c r="BQ815" s="10"/>
    </row>
    <row r="816">
      <c r="A816" s="70">
        <v>4.0</v>
      </c>
      <c r="B816" s="71">
        <v>52921.0</v>
      </c>
      <c r="C816" s="71" t="s">
        <v>76</v>
      </c>
      <c r="D816" s="56"/>
      <c r="E816" s="56"/>
      <c r="F816" s="56"/>
      <c r="G816" s="56"/>
      <c r="H816" s="56"/>
      <c r="I816" s="58" t="str">
        <f t="shared" si="6"/>
        <v>5292101</v>
      </c>
      <c r="J816" s="58"/>
      <c r="K816" s="58"/>
      <c r="L816" s="59" t="s">
        <v>1335</v>
      </c>
      <c r="M816" s="72">
        <v>2.0</v>
      </c>
      <c r="N816" s="58"/>
      <c r="O816" s="56"/>
      <c r="P816" s="72" t="s">
        <v>1336</v>
      </c>
      <c r="Q816" s="90" t="s">
        <v>491</v>
      </c>
      <c r="R816" s="72" t="s">
        <v>1336</v>
      </c>
      <c r="S816" s="90" t="s">
        <v>491</v>
      </c>
      <c r="T816" s="58"/>
      <c r="U816" s="72">
        <v>1.0</v>
      </c>
      <c r="V816" s="58"/>
      <c r="W816" s="72" t="s">
        <v>141</v>
      </c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90" t="s">
        <v>1337</v>
      </c>
      <c r="BI816" s="58"/>
      <c r="BJ816" s="90" t="s">
        <v>1336</v>
      </c>
      <c r="BK816" s="72" t="s">
        <v>1336</v>
      </c>
      <c r="BL816" s="58"/>
      <c r="BM816" s="58"/>
      <c r="BN816" s="63"/>
      <c r="BO816" s="58"/>
      <c r="BP816" s="58"/>
      <c r="BQ816" s="64"/>
    </row>
    <row r="817">
      <c r="A817" s="70">
        <v>5.0</v>
      </c>
      <c r="B817" s="71">
        <v>52921.0</v>
      </c>
      <c r="C817" s="71" t="s">
        <v>76</v>
      </c>
      <c r="D817" s="71" t="s">
        <v>76</v>
      </c>
      <c r="E817" s="56"/>
      <c r="F817" s="56"/>
      <c r="G817" s="56"/>
      <c r="H817" s="56"/>
      <c r="I817" s="58" t="str">
        <f t="shared" si="6"/>
        <v>529210101</v>
      </c>
      <c r="J817" s="58"/>
      <c r="K817" s="56"/>
      <c r="L817" s="59" t="s">
        <v>1338</v>
      </c>
      <c r="M817" s="72">
        <v>1.0</v>
      </c>
      <c r="N817" s="72" t="s">
        <v>1339</v>
      </c>
      <c r="O817" s="73" t="s">
        <v>1340</v>
      </c>
      <c r="P817" s="72">
        <v>419288.0</v>
      </c>
      <c r="Q817" s="90" t="s">
        <v>1242</v>
      </c>
      <c r="R817" s="72">
        <v>419288.0</v>
      </c>
      <c r="S817" s="90" t="s">
        <v>1242</v>
      </c>
      <c r="T817" s="58"/>
      <c r="U817" s="72">
        <v>1.0</v>
      </c>
      <c r="V817" s="58"/>
      <c r="W817" s="72" t="s">
        <v>78</v>
      </c>
      <c r="X817" s="58"/>
      <c r="Y817" s="58"/>
      <c r="Z817" s="58"/>
      <c r="AA817" s="62" t="s">
        <v>79</v>
      </c>
      <c r="AB817" s="62" t="s">
        <v>79</v>
      </c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72" t="s">
        <v>1341</v>
      </c>
      <c r="AQ817" s="72">
        <v>479.78</v>
      </c>
      <c r="AR817" s="72">
        <v>900.0</v>
      </c>
      <c r="AS817" s="72">
        <v>500.0</v>
      </c>
      <c r="AT817" s="72">
        <v>2058.0</v>
      </c>
      <c r="AU817" s="72">
        <f t="shared" ref="AU817:AU818" si="11">AR817*AS817*AT817/(10^9)</f>
        <v>0.9261</v>
      </c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90" t="s">
        <v>1296</v>
      </c>
      <c r="BI817" s="58"/>
      <c r="BJ817" s="90" t="s">
        <v>1342</v>
      </c>
      <c r="BK817" s="72" t="s">
        <v>1343</v>
      </c>
      <c r="BL817" s="58"/>
      <c r="BM817" s="58"/>
      <c r="BN817" s="63"/>
      <c r="BO817" s="58"/>
      <c r="BP817" s="58"/>
      <c r="BQ817" s="64"/>
    </row>
    <row r="818">
      <c r="A818" s="70">
        <v>5.0</v>
      </c>
      <c r="B818" s="71">
        <v>52921.0</v>
      </c>
      <c r="C818" s="71" t="s">
        <v>76</v>
      </c>
      <c r="D818" s="71" t="s">
        <v>119</v>
      </c>
      <c r="E818" s="56"/>
      <c r="F818" s="56"/>
      <c r="G818" s="56"/>
      <c r="H818" s="56"/>
      <c r="I818" s="58" t="str">
        <f t="shared" si="6"/>
        <v>529210102</v>
      </c>
      <c r="J818" s="58"/>
      <c r="K818" s="58"/>
      <c r="L818" s="59" t="s">
        <v>1344</v>
      </c>
      <c r="M818" s="72">
        <v>1.0</v>
      </c>
      <c r="N818" s="72" t="s">
        <v>1339</v>
      </c>
      <c r="O818" s="73" t="s">
        <v>1345</v>
      </c>
      <c r="P818" s="72">
        <v>419288.0</v>
      </c>
      <c r="Q818" s="90" t="s">
        <v>1242</v>
      </c>
      <c r="R818" s="72">
        <v>419288.0</v>
      </c>
      <c r="S818" s="90" t="s">
        <v>1242</v>
      </c>
      <c r="T818" s="58"/>
      <c r="U818" s="72">
        <v>1.0</v>
      </c>
      <c r="V818" s="58"/>
      <c r="W818" s="72" t="s">
        <v>78</v>
      </c>
      <c r="X818" s="58"/>
      <c r="Y818" s="58"/>
      <c r="Z818" s="58"/>
      <c r="AA818" s="62" t="s">
        <v>79</v>
      </c>
      <c r="AB818" s="58"/>
      <c r="AC818" s="58"/>
      <c r="AD818" s="58"/>
      <c r="AE818" s="58"/>
      <c r="AF818" s="58"/>
      <c r="AG818" s="58"/>
      <c r="AH818" s="58"/>
      <c r="AI818" s="58"/>
      <c r="AJ818" s="58"/>
      <c r="AK818" s="58"/>
      <c r="AL818" s="58"/>
      <c r="AM818" s="58"/>
      <c r="AN818" s="58"/>
      <c r="AO818" s="58"/>
      <c r="AP818" s="72" t="s">
        <v>1346</v>
      </c>
      <c r="AQ818" s="72">
        <v>479.78</v>
      </c>
      <c r="AR818" s="72">
        <v>900.0</v>
      </c>
      <c r="AS818" s="72">
        <v>500.0</v>
      </c>
      <c r="AT818" s="72">
        <v>2058.0</v>
      </c>
      <c r="AU818" s="72">
        <f t="shared" si="11"/>
        <v>0.9261</v>
      </c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90" t="s">
        <v>1296</v>
      </c>
      <c r="BI818" s="58"/>
      <c r="BJ818" s="90" t="s">
        <v>1342</v>
      </c>
      <c r="BK818" s="72" t="s">
        <v>1343</v>
      </c>
      <c r="BL818" s="58"/>
      <c r="BM818" s="58"/>
      <c r="BN818" s="63"/>
      <c r="BO818" s="58"/>
      <c r="BP818" s="58"/>
      <c r="BQ818" s="64"/>
    </row>
    <row r="819">
      <c r="A819" s="70">
        <v>5.0</v>
      </c>
      <c r="B819" s="71">
        <v>52921.0</v>
      </c>
      <c r="C819" s="71" t="s">
        <v>76</v>
      </c>
      <c r="D819" s="71" t="s">
        <v>124</v>
      </c>
      <c r="E819" s="56"/>
      <c r="F819" s="56"/>
      <c r="G819" s="56"/>
      <c r="H819" s="56"/>
      <c r="I819" s="58" t="str">
        <f t="shared" si="6"/>
        <v>529210103</v>
      </c>
      <c r="J819" s="58"/>
      <c r="K819" s="56"/>
      <c r="L819" s="59" t="s">
        <v>1347</v>
      </c>
      <c r="M819" s="72">
        <v>2.0</v>
      </c>
      <c r="N819" s="58"/>
      <c r="O819" s="56"/>
      <c r="P819" s="58"/>
      <c r="Q819" s="90" t="s">
        <v>1242</v>
      </c>
      <c r="R819" s="58"/>
      <c r="S819" s="90" t="s">
        <v>1242</v>
      </c>
      <c r="T819" s="58"/>
      <c r="U819" s="72">
        <v>1.0</v>
      </c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  <c r="AG819" s="58"/>
      <c r="AH819" s="58"/>
      <c r="AI819" s="58"/>
      <c r="AJ819" s="58"/>
      <c r="AK819" s="58"/>
      <c r="AL819" s="58"/>
      <c r="AM819" s="58"/>
      <c r="AN819" s="58"/>
      <c r="AO819" s="58"/>
      <c r="AP819" s="58"/>
      <c r="AQ819" s="58"/>
      <c r="AR819" s="58"/>
      <c r="AS819" s="58"/>
      <c r="AT819" s="58"/>
      <c r="AU819" s="58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63"/>
      <c r="BO819" s="58"/>
      <c r="BP819" s="58"/>
      <c r="BQ819" s="64"/>
    </row>
    <row r="820">
      <c r="A820" s="70">
        <v>5.0</v>
      </c>
      <c r="B820" s="71">
        <v>52921.0</v>
      </c>
      <c r="C820" s="71" t="s">
        <v>76</v>
      </c>
      <c r="D820" s="71" t="s">
        <v>127</v>
      </c>
      <c r="E820" s="56"/>
      <c r="F820" s="56"/>
      <c r="G820" s="56"/>
      <c r="H820" s="56"/>
      <c r="I820" s="58" t="str">
        <f t="shared" si="6"/>
        <v>529210104</v>
      </c>
      <c r="J820" s="58"/>
      <c r="K820" s="56"/>
      <c r="L820" s="59" t="s">
        <v>1348</v>
      </c>
      <c r="M820" s="72">
        <v>2.0</v>
      </c>
      <c r="N820" s="58"/>
      <c r="O820" s="56"/>
      <c r="P820" s="58"/>
      <c r="Q820" s="90" t="s">
        <v>1242</v>
      </c>
      <c r="R820" s="58"/>
      <c r="S820" s="90" t="s">
        <v>1242</v>
      </c>
      <c r="T820" s="58"/>
      <c r="U820" s="72">
        <v>1.0</v>
      </c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  <c r="AG820" s="58"/>
      <c r="AH820" s="58"/>
      <c r="AI820" s="58"/>
      <c r="AJ820" s="58"/>
      <c r="AK820" s="58"/>
      <c r="AL820" s="58"/>
      <c r="AM820" s="58"/>
      <c r="AN820" s="58"/>
      <c r="AO820" s="58"/>
      <c r="AP820" s="58"/>
      <c r="AQ820" s="58"/>
      <c r="AR820" s="58"/>
      <c r="AS820" s="58"/>
      <c r="AT820" s="58"/>
      <c r="AU820" s="58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63"/>
      <c r="BO820" s="58"/>
      <c r="BP820" s="58"/>
      <c r="BQ820" s="64"/>
    </row>
    <row r="821">
      <c r="A821" s="70">
        <v>4.0</v>
      </c>
      <c r="B821" s="71">
        <v>52921.0</v>
      </c>
      <c r="C821" s="71" t="s">
        <v>119</v>
      </c>
      <c r="D821" s="56"/>
      <c r="E821" s="56"/>
      <c r="F821" s="56"/>
      <c r="G821" s="56"/>
      <c r="H821" s="56"/>
      <c r="I821" s="58" t="str">
        <f t="shared" si="6"/>
        <v>5292102</v>
      </c>
      <c r="J821" s="58"/>
      <c r="K821" s="58"/>
      <c r="L821" s="59" t="s">
        <v>1349</v>
      </c>
      <c r="M821" s="60">
        <v>2.0</v>
      </c>
      <c r="N821" s="58"/>
      <c r="O821" s="56"/>
      <c r="P821" s="72" t="s">
        <v>1350</v>
      </c>
      <c r="Q821" s="90" t="s">
        <v>491</v>
      </c>
      <c r="R821" s="72" t="s">
        <v>1350</v>
      </c>
      <c r="S821" s="90" t="s">
        <v>491</v>
      </c>
      <c r="T821" s="58"/>
      <c r="U821" s="72">
        <v>1.0</v>
      </c>
      <c r="V821" s="58"/>
      <c r="W821" s="72" t="s">
        <v>141</v>
      </c>
      <c r="X821" s="58"/>
      <c r="Y821" s="58"/>
      <c r="Z821" s="58"/>
      <c r="AA821" s="58"/>
      <c r="AB821" s="58"/>
      <c r="AC821" s="58"/>
      <c r="AD821" s="58"/>
      <c r="AE821" s="58"/>
      <c r="AF821" s="58"/>
      <c r="AG821" s="58"/>
      <c r="AH821" s="58"/>
      <c r="AI821" s="58"/>
      <c r="AJ821" s="58"/>
      <c r="AK821" s="58"/>
      <c r="AL821" s="58"/>
      <c r="AM821" s="58"/>
      <c r="AN821" s="58"/>
      <c r="AO821" s="58"/>
      <c r="AP821" s="58"/>
      <c r="AQ821" s="58"/>
      <c r="AR821" s="58"/>
      <c r="AS821" s="58"/>
      <c r="AT821" s="58"/>
      <c r="AU821" s="58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90" t="s">
        <v>1351</v>
      </c>
      <c r="BI821" s="58"/>
      <c r="BJ821" s="90" t="s">
        <v>1350</v>
      </c>
      <c r="BK821" s="72" t="s">
        <v>1350</v>
      </c>
      <c r="BL821" s="58"/>
      <c r="BM821" s="58"/>
      <c r="BN821" s="63"/>
      <c r="BO821" s="58"/>
      <c r="BP821" s="58"/>
      <c r="BQ821" s="64"/>
    </row>
    <row r="822">
      <c r="A822" s="70">
        <v>5.0</v>
      </c>
      <c r="B822" s="71">
        <v>52921.0</v>
      </c>
      <c r="C822" s="71" t="s">
        <v>119</v>
      </c>
      <c r="D822" s="71" t="s">
        <v>76</v>
      </c>
      <c r="E822" s="56"/>
      <c r="F822" s="56"/>
      <c r="G822" s="56"/>
      <c r="H822" s="56"/>
      <c r="I822" s="58" t="str">
        <f t="shared" si="6"/>
        <v>529210201</v>
      </c>
      <c r="J822" s="58"/>
      <c r="K822" s="58"/>
      <c r="L822" s="59" t="s">
        <v>1352</v>
      </c>
      <c r="M822" s="72">
        <v>1.0</v>
      </c>
      <c r="N822" s="72" t="s">
        <v>1353</v>
      </c>
      <c r="O822" s="73" t="s">
        <v>1354</v>
      </c>
      <c r="P822" s="72">
        <v>410089.0</v>
      </c>
      <c r="Q822" s="90" t="s">
        <v>1242</v>
      </c>
      <c r="R822" s="72">
        <v>410089.0</v>
      </c>
      <c r="S822" s="90" t="s">
        <v>1242</v>
      </c>
      <c r="T822" s="58"/>
      <c r="U822" s="72">
        <v>1.0</v>
      </c>
      <c r="V822" s="58"/>
      <c r="W822" s="72" t="s">
        <v>78</v>
      </c>
      <c r="X822" s="58"/>
      <c r="Y822" s="58"/>
      <c r="Z822" s="58"/>
      <c r="AA822" s="62" t="s">
        <v>79</v>
      </c>
      <c r="AB822" s="62" t="s">
        <v>79</v>
      </c>
      <c r="AC822" s="58"/>
      <c r="AD822" s="58"/>
      <c r="AE822" s="58"/>
      <c r="AF822" s="58"/>
      <c r="AG822" s="58"/>
      <c r="AH822" s="58"/>
      <c r="AI822" s="58"/>
      <c r="AJ822" s="58"/>
      <c r="AK822" s="58"/>
      <c r="AL822" s="58"/>
      <c r="AM822" s="58"/>
      <c r="AN822" s="58"/>
      <c r="AO822" s="58"/>
      <c r="AP822" s="72" t="s">
        <v>1355</v>
      </c>
      <c r="AQ822" s="72">
        <v>265.0</v>
      </c>
      <c r="AR822" s="72">
        <v>650.0</v>
      </c>
      <c r="AS822" s="72">
        <v>650.0</v>
      </c>
      <c r="AT822" s="72">
        <v>1313.0</v>
      </c>
      <c r="AU822" s="72">
        <f t="shared" ref="AU822:AU828" si="12">AR822*AS822*AT822/(10^9)</f>
        <v>0.5547425</v>
      </c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90" t="s">
        <v>1296</v>
      </c>
      <c r="BI822" s="58"/>
      <c r="BJ822" s="90" t="s">
        <v>1342</v>
      </c>
      <c r="BK822" s="72" t="s">
        <v>1343</v>
      </c>
      <c r="BL822" s="58"/>
      <c r="BM822" s="58"/>
      <c r="BN822" s="63"/>
      <c r="BO822" s="58"/>
      <c r="BP822" s="58"/>
      <c r="BQ822" s="64"/>
    </row>
    <row r="823">
      <c r="A823" s="70">
        <v>5.0</v>
      </c>
      <c r="B823" s="71">
        <v>52921.0</v>
      </c>
      <c r="C823" s="71" t="s">
        <v>119</v>
      </c>
      <c r="D823" s="71" t="s">
        <v>119</v>
      </c>
      <c r="E823" s="56"/>
      <c r="F823" s="56"/>
      <c r="G823" s="56"/>
      <c r="H823" s="56"/>
      <c r="I823" s="58" t="str">
        <f t="shared" si="6"/>
        <v>529210202</v>
      </c>
      <c r="J823" s="58"/>
      <c r="K823" s="58"/>
      <c r="L823" s="59" t="s">
        <v>1356</v>
      </c>
      <c r="M823" s="60">
        <v>1.0</v>
      </c>
      <c r="N823" s="72" t="s">
        <v>1357</v>
      </c>
      <c r="O823" s="73" t="s">
        <v>1358</v>
      </c>
      <c r="P823" s="72" t="s">
        <v>1359</v>
      </c>
      <c r="Q823" s="90" t="s">
        <v>1242</v>
      </c>
      <c r="R823" s="72" t="s">
        <v>1359</v>
      </c>
      <c r="S823" s="90" t="s">
        <v>1360</v>
      </c>
      <c r="T823" s="58"/>
      <c r="U823" s="72">
        <v>1.0</v>
      </c>
      <c r="V823" s="58"/>
      <c r="W823" s="72" t="s">
        <v>78</v>
      </c>
      <c r="X823" s="58"/>
      <c r="Y823" s="58"/>
      <c r="Z823" s="58"/>
      <c r="AA823" s="62" t="s">
        <v>79</v>
      </c>
      <c r="AB823" s="62" t="s">
        <v>79</v>
      </c>
      <c r="AC823" s="58"/>
      <c r="AD823" s="58"/>
      <c r="AE823" s="58"/>
      <c r="AF823" s="58"/>
      <c r="AG823" s="58"/>
      <c r="AH823" s="58"/>
      <c r="AI823" s="58"/>
      <c r="AJ823" s="58"/>
      <c r="AK823" s="58"/>
      <c r="AL823" s="58"/>
      <c r="AM823" s="58"/>
      <c r="AN823" s="58"/>
      <c r="AO823" s="58"/>
      <c r="AP823" s="72" t="s">
        <v>1361</v>
      </c>
      <c r="AQ823" s="72">
        <v>28.0</v>
      </c>
      <c r="AR823" s="72">
        <v>37.3</v>
      </c>
      <c r="AS823" s="72">
        <v>37.3</v>
      </c>
      <c r="AT823" s="72">
        <v>40.49</v>
      </c>
      <c r="AU823" s="72">
        <f t="shared" si="12"/>
        <v>0.0000563333321</v>
      </c>
      <c r="AV823" s="60">
        <v>240.0</v>
      </c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60">
        <v>0.7</v>
      </c>
      <c r="BH823" s="90" t="s">
        <v>1351</v>
      </c>
      <c r="BI823" s="58"/>
      <c r="BJ823" s="90" t="s">
        <v>1350</v>
      </c>
      <c r="BK823" s="72" t="s">
        <v>1358</v>
      </c>
      <c r="BL823" s="58"/>
      <c r="BM823" s="58"/>
      <c r="BN823" s="63"/>
      <c r="BO823" s="58"/>
      <c r="BP823" s="58"/>
      <c r="BQ823" s="64"/>
    </row>
    <row r="824">
      <c r="A824" s="70">
        <v>5.0</v>
      </c>
      <c r="B824" s="71">
        <v>52921.0</v>
      </c>
      <c r="C824" s="71" t="s">
        <v>119</v>
      </c>
      <c r="D824" s="71" t="s">
        <v>124</v>
      </c>
      <c r="E824" s="56"/>
      <c r="F824" s="56"/>
      <c r="G824" s="56"/>
      <c r="H824" s="56"/>
      <c r="I824" s="58" t="str">
        <f t="shared" si="6"/>
        <v>529210203</v>
      </c>
      <c r="J824" s="58"/>
      <c r="K824" s="58"/>
      <c r="L824" s="59" t="s">
        <v>1362</v>
      </c>
      <c r="M824" s="60">
        <v>1.0</v>
      </c>
      <c r="N824" s="72" t="s">
        <v>1363</v>
      </c>
      <c r="O824" s="73" t="s">
        <v>1364</v>
      </c>
      <c r="P824" s="72" t="s">
        <v>1365</v>
      </c>
      <c r="Q824" s="90" t="s">
        <v>1242</v>
      </c>
      <c r="R824" s="72" t="s">
        <v>1365</v>
      </c>
      <c r="S824" s="90" t="s">
        <v>1242</v>
      </c>
      <c r="T824" s="58"/>
      <c r="U824" s="72">
        <v>1.0</v>
      </c>
      <c r="V824" s="58"/>
      <c r="W824" s="72" t="s">
        <v>78</v>
      </c>
      <c r="X824" s="58"/>
      <c r="Y824" s="58"/>
      <c r="Z824" s="58"/>
      <c r="AA824" s="62" t="s">
        <v>79</v>
      </c>
      <c r="AB824" s="58"/>
      <c r="AC824" s="58"/>
      <c r="AD824" s="58"/>
      <c r="AE824" s="58"/>
      <c r="AF824" s="58"/>
      <c r="AG824" s="58"/>
      <c r="AH824" s="58"/>
      <c r="AI824" s="58"/>
      <c r="AJ824" s="58"/>
      <c r="AK824" s="58"/>
      <c r="AL824" s="58"/>
      <c r="AM824" s="58"/>
      <c r="AN824" s="58"/>
      <c r="AO824" s="58"/>
      <c r="AP824" s="72" t="s">
        <v>1366</v>
      </c>
      <c r="AQ824" s="72">
        <v>50.8</v>
      </c>
      <c r="AR824" s="72">
        <v>447.0</v>
      </c>
      <c r="AS824" s="72">
        <v>352.0</v>
      </c>
      <c r="AT824" s="72">
        <v>559.0</v>
      </c>
      <c r="AU824" s="72">
        <f t="shared" si="12"/>
        <v>0.087955296</v>
      </c>
      <c r="AV824" s="60">
        <v>240.0</v>
      </c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60">
        <v>6.9</v>
      </c>
      <c r="BH824" s="90" t="s">
        <v>1351</v>
      </c>
      <c r="BI824" s="58"/>
      <c r="BJ824" s="90" t="s">
        <v>1350</v>
      </c>
      <c r="BK824" s="72" t="s">
        <v>1364</v>
      </c>
      <c r="BL824" s="58"/>
      <c r="BM824" s="58"/>
      <c r="BN824" s="63"/>
      <c r="BO824" s="58"/>
      <c r="BP824" s="58"/>
      <c r="BQ824" s="64"/>
    </row>
    <row r="825">
      <c r="A825" s="70">
        <v>5.0</v>
      </c>
      <c r="B825" s="71">
        <v>52921.0</v>
      </c>
      <c r="C825" s="71" t="s">
        <v>119</v>
      </c>
      <c r="D825" s="71" t="s">
        <v>127</v>
      </c>
      <c r="E825" s="56"/>
      <c r="F825" s="56"/>
      <c r="G825" s="56"/>
      <c r="H825" s="56"/>
      <c r="I825" s="58" t="str">
        <f t="shared" si="6"/>
        <v>529210204</v>
      </c>
      <c r="J825" s="58"/>
      <c r="K825" s="58"/>
      <c r="L825" s="59" t="s">
        <v>1367</v>
      </c>
      <c r="M825" s="60">
        <v>2.0</v>
      </c>
      <c r="N825" s="73" t="s">
        <v>1368</v>
      </c>
      <c r="O825" s="73" t="s">
        <v>1369</v>
      </c>
      <c r="P825" s="72" t="s">
        <v>1370</v>
      </c>
      <c r="Q825" s="90" t="s">
        <v>1242</v>
      </c>
      <c r="R825" s="72" t="s">
        <v>1370</v>
      </c>
      <c r="S825" s="90" t="s">
        <v>1371</v>
      </c>
      <c r="T825" s="58"/>
      <c r="U825" s="72">
        <v>1.0</v>
      </c>
      <c r="V825" s="58"/>
      <c r="W825" s="72" t="s">
        <v>160</v>
      </c>
      <c r="X825" s="58"/>
      <c r="Y825" s="58"/>
      <c r="Z825" s="58"/>
      <c r="AA825" s="62" t="s">
        <v>79</v>
      </c>
      <c r="AB825" s="62" t="s">
        <v>79</v>
      </c>
      <c r="AC825" s="58"/>
      <c r="AD825" s="58"/>
      <c r="AE825" s="58"/>
      <c r="AF825" s="58"/>
      <c r="AG825" s="58"/>
      <c r="AH825" s="58"/>
      <c r="AI825" s="58"/>
      <c r="AJ825" s="58"/>
      <c r="AK825" s="58"/>
      <c r="AL825" s="58"/>
      <c r="AM825" s="58"/>
      <c r="AN825" s="58"/>
      <c r="AO825" s="58"/>
      <c r="AP825" s="72" t="s">
        <v>80</v>
      </c>
      <c r="AQ825" s="58"/>
      <c r="AR825" s="72">
        <v>680.0</v>
      </c>
      <c r="AS825" s="72">
        <v>150.0</v>
      </c>
      <c r="AT825" s="72">
        <v>200.0</v>
      </c>
      <c r="AU825" s="127">
        <f t="shared" si="12"/>
        <v>0.0204</v>
      </c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72" t="str">
        <f>26,1*1000/3600</f>
        <v>#ERROR!</v>
      </c>
      <c r="BG825" s="72">
        <v>5.0</v>
      </c>
      <c r="BH825" s="90" t="s">
        <v>1351</v>
      </c>
      <c r="BI825" s="58"/>
      <c r="BJ825" s="90" t="s">
        <v>1350</v>
      </c>
      <c r="BK825" s="72" t="s">
        <v>1369</v>
      </c>
      <c r="BL825" s="58"/>
      <c r="BM825" s="58"/>
      <c r="BN825" s="63"/>
      <c r="BO825" s="58"/>
      <c r="BP825" s="58"/>
      <c r="BQ825" s="64"/>
    </row>
    <row r="826">
      <c r="A826" s="70">
        <v>5.0</v>
      </c>
      <c r="B826" s="71">
        <v>52921.0</v>
      </c>
      <c r="C826" s="71" t="s">
        <v>119</v>
      </c>
      <c r="D826" s="71" t="s">
        <v>91</v>
      </c>
      <c r="E826" s="56"/>
      <c r="F826" s="56"/>
      <c r="G826" s="56"/>
      <c r="H826" s="56"/>
      <c r="I826" s="58" t="str">
        <f t="shared" si="6"/>
        <v>529210205</v>
      </c>
      <c r="J826" s="58"/>
      <c r="K826" s="58"/>
      <c r="L826" s="59" t="s">
        <v>1372</v>
      </c>
      <c r="M826" s="60">
        <v>2.0</v>
      </c>
      <c r="N826" s="73" t="s">
        <v>1368</v>
      </c>
      <c r="O826" s="73" t="s">
        <v>1373</v>
      </c>
      <c r="P826" s="72" t="s">
        <v>1370</v>
      </c>
      <c r="Q826" s="90" t="s">
        <v>1242</v>
      </c>
      <c r="R826" s="72" t="s">
        <v>1370</v>
      </c>
      <c r="S826" s="90" t="s">
        <v>1371</v>
      </c>
      <c r="T826" s="58"/>
      <c r="U826" s="72">
        <v>1.0</v>
      </c>
      <c r="V826" s="58"/>
      <c r="W826" s="72" t="s">
        <v>160</v>
      </c>
      <c r="X826" s="58"/>
      <c r="Y826" s="58"/>
      <c r="Z826" s="58"/>
      <c r="AA826" s="62" t="s">
        <v>79</v>
      </c>
      <c r="AB826" s="58"/>
      <c r="AC826" s="58"/>
      <c r="AD826" s="58"/>
      <c r="AE826" s="58"/>
      <c r="AF826" s="58"/>
      <c r="AG826" s="58"/>
      <c r="AH826" s="58"/>
      <c r="AI826" s="58"/>
      <c r="AJ826" s="58"/>
      <c r="AK826" s="58"/>
      <c r="AL826" s="58"/>
      <c r="AM826" s="58"/>
      <c r="AN826" s="58"/>
      <c r="AO826" s="58"/>
      <c r="AP826" s="72" t="s">
        <v>80</v>
      </c>
      <c r="AQ826" s="58"/>
      <c r="AR826" s="72">
        <v>680.0</v>
      </c>
      <c r="AS826" s="72">
        <v>150.0</v>
      </c>
      <c r="AT826" s="72">
        <v>200.0</v>
      </c>
      <c r="AU826" s="127">
        <f t="shared" si="12"/>
        <v>0.0204</v>
      </c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127" t="str">
        <f>15,1*1000/3600</f>
        <v>#ERROR!</v>
      </c>
      <c r="BG826" s="72">
        <v>5.0</v>
      </c>
      <c r="BH826" s="90" t="s">
        <v>1351</v>
      </c>
      <c r="BI826" s="58"/>
      <c r="BJ826" s="90" t="s">
        <v>1350</v>
      </c>
      <c r="BK826" s="72" t="s">
        <v>1373</v>
      </c>
      <c r="BL826" s="58"/>
      <c r="BM826" s="58"/>
      <c r="BN826" s="63"/>
      <c r="BO826" s="58"/>
      <c r="BP826" s="58"/>
      <c r="BQ826" s="64"/>
    </row>
    <row r="827">
      <c r="A827" s="70">
        <v>5.0</v>
      </c>
      <c r="B827" s="71">
        <v>52921.0</v>
      </c>
      <c r="C827" s="71" t="s">
        <v>119</v>
      </c>
      <c r="D827" s="71" t="s">
        <v>133</v>
      </c>
      <c r="E827" s="56"/>
      <c r="F827" s="56"/>
      <c r="G827" s="56"/>
      <c r="H827" s="56"/>
      <c r="I827" s="58" t="str">
        <f t="shared" si="6"/>
        <v>529210206</v>
      </c>
      <c r="J827" s="58"/>
      <c r="K827" s="58"/>
      <c r="L827" s="59" t="s">
        <v>1374</v>
      </c>
      <c r="M827" s="60">
        <v>2.0</v>
      </c>
      <c r="N827" s="73" t="s">
        <v>1375</v>
      </c>
      <c r="O827" s="73" t="s">
        <v>1376</v>
      </c>
      <c r="P827" s="72" t="s">
        <v>1377</v>
      </c>
      <c r="Q827" s="90" t="s">
        <v>1242</v>
      </c>
      <c r="R827" s="72" t="s">
        <v>1377</v>
      </c>
      <c r="S827" s="90" t="s">
        <v>1371</v>
      </c>
      <c r="T827" s="58"/>
      <c r="U827" s="72">
        <v>6.0</v>
      </c>
      <c r="V827" s="58"/>
      <c r="W827" s="72" t="s">
        <v>160</v>
      </c>
      <c r="X827" s="58"/>
      <c r="Y827" s="58"/>
      <c r="Z827" s="58"/>
      <c r="AA827" s="62" t="s">
        <v>79</v>
      </c>
      <c r="AB827" s="62" t="s">
        <v>79</v>
      </c>
      <c r="AC827" s="58"/>
      <c r="AD827" s="58"/>
      <c r="AE827" s="58"/>
      <c r="AF827" s="58"/>
      <c r="AG827" s="58"/>
      <c r="AH827" s="58"/>
      <c r="AI827" s="58"/>
      <c r="AJ827" s="58"/>
      <c r="AK827" s="58"/>
      <c r="AL827" s="58"/>
      <c r="AM827" s="58"/>
      <c r="AN827" s="58"/>
      <c r="AO827" s="58"/>
      <c r="AP827" s="72" t="s">
        <v>80</v>
      </c>
      <c r="AQ827" s="58"/>
      <c r="AR827" s="72">
        <v>1000.0</v>
      </c>
      <c r="AS827" s="72">
        <v>220.0</v>
      </c>
      <c r="AT827" s="72">
        <v>220.0</v>
      </c>
      <c r="AU827" s="127">
        <f t="shared" si="12"/>
        <v>0.0484</v>
      </c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127">
        <f>56*1000/3600</f>
        <v>15.55555556</v>
      </c>
      <c r="BG827" s="72">
        <v>5.0</v>
      </c>
      <c r="BH827" s="90" t="s">
        <v>1351</v>
      </c>
      <c r="BI827" s="58"/>
      <c r="BJ827" s="90" t="s">
        <v>1350</v>
      </c>
      <c r="BK827" s="72" t="s">
        <v>1376</v>
      </c>
      <c r="BL827" s="58"/>
      <c r="BM827" s="58"/>
      <c r="BN827" s="63"/>
      <c r="BO827" s="58"/>
      <c r="BP827" s="58"/>
      <c r="BQ827" s="64"/>
    </row>
    <row r="828">
      <c r="A828" s="70">
        <v>5.0</v>
      </c>
      <c r="B828" s="71">
        <v>52921.0</v>
      </c>
      <c r="C828" s="71" t="s">
        <v>119</v>
      </c>
      <c r="D828" s="71" t="s">
        <v>136</v>
      </c>
      <c r="E828" s="56"/>
      <c r="F828" s="56"/>
      <c r="G828" s="56"/>
      <c r="H828" s="56"/>
      <c r="I828" s="58" t="str">
        <f t="shared" si="6"/>
        <v>529210207</v>
      </c>
      <c r="J828" s="58"/>
      <c r="K828" s="58"/>
      <c r="L828" s="59" t="s">
        <v>1378</v>
      </c>
      <c r="M828" s="60">
        <v>2.0</v>
      </c>
      <c r="N828" s="73" t="s">
        <v>1368</v>
      </c>
      <c r="O828" s="73" t="s">
        <v>1379</v>
      </c>
      <c r="P828" s="72" t="s">
        <v>1370</v>
      </c>
      <c r="Q828" s="90" t="s">
        <v>1242</v>
      </c>
      <c r="R828" s="72" t="s">
        <v>1370</v>
      </c>
      <c r="S828" s="90" t="s">
        <v>1371</v>
      </c>
      <c r="T828" s="58"/>
      <c r="U828" s="72">
        <v>4.0</v>
      </c>
      <c r="V828" s="58"/>
      <c r="W828" s="72" t="s">
        <v>160</v>
      </c>
      <c r="X828" s="58"/>
      <c r="Y828" s="58"/>
      <c r="Z828" s="58"/>
      <c r="AA828" s="62" t="s">
        <v>79</v>
      </c>
      <c r="AB828" s="58"/>
      <c r="AC828" s="58"/>
      <c r="AD828" s="58"/>
      <c r="AE828" s="58"/>
      <c r="AF828" s="58"/>
      <c r="AG828" s="58"/>
      <c r="AH828" s="58"/>
      <c r="AI828" s="58"/>
      <c r="AJ828" s="58"/>
      <c r="AK828" s="58"/>
      <c r="AL828" s="58"/>
      <c r="AM828" s="58"/>
      <c r="AN828" s="58"/>
      <c r="AO828" s="58"/>
      <c r="AP828" s="72" t="s">
        <v>80</v>
      </c>
      <c r="AQ828" s="58"/>
      <c r="AR828" s="72">
        <v>680.0</v>
      </c>
      <c r="AS828" s="72">
        <v>150.0</v>
      </c>
      <c r="AT828" s="72">
        <v>200.0</v>
      </c>
      <c r="AU828" s="127">
        <f t="shared" si="12"/>
        <v>0.0204</v>
      </c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72" t="str">
        <f>26,1*1000/3600</f>
        <v>#ERROR!</v>
      </c>
      <c r="BG828" s="72">
        <v>5.0</v>
      </c>
      <c r="BH828" s="90" t="s">
        <v>1351</v>
      </c>
      <c r="BI828" s="58"/>
      <c r="BJ828" s="90" t="s">
        <v>1350</v>
      </c>
      <c r="BK828" s="72" t="s">
        <v>1379</v>
      </c>
      <c r="BL828" s="58"/>
      <c r="BM828" s="58"/>
      <c r="BN828" s="63"/>
      <c r="BO828" s="58"/>
      <c r="BP828" s="58"/>
      <c r="BQ828" s="64"/>
    </row>
    <row r="829">
      <c r="A829" s="70">
        <v>5.0</v>
      </c>
      <c r="B829" s="71">
        <v>52921.0</v>
      </c>
      <c r="C829" s="71" t="s">
        <v>119</v>
      </c>
      <c r="D829" s="71" t="s">
        <v>138</v>
      </c>
      <c r="E829" s="56"/>
      <c r="F829" s="56"/>
      <c r="G829" s="56"/>
      <c r="H829" s="56"/>
      <c r="I829" s="58" t="str">
        <f t="shared" si="6"/>
        <v>529210208</v>
      </c>
      <c r="J829" s="58"/>
      <c r="K829" s="58"/>
      <c r="L829" s="59" t="s">
        <v>1380</v>
      </c>
      <c r="M829" s="72">
        <v>2.0</v>
      </c>
      <c r="N829" s="58"/>
      <c r="O829" s="56"/>
      <c r="P829" s="72">
        <v>605804.0</v>
      </c>
      <c r="Q829" s="90" t="s">
        <v>1381</v>
      </c>
      <c r="R829" s="72">
        <v>605804.0</v>
      </c>
      <c r="S829" s="90" t="s">
        <v>1381</v>
      </c>
      <c r="T829" s="58"/>
      <c r="U829" s="72">
        <v>1.0</v>
      </c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  <c r="AG829" s="58"/>
      <c r="AH829" s="58"/>
      <c r="AI829" s="58"/>
      <c r="AJ829" s="58"/>
      <c r="AK829" s="58"/>
      <c r="AL829" s="58"/>
      <c r="AM829" s="58"/>
      <c r="AN829" s="58"/>
      <c r="AO829" s="58"/>
      <c r="AP829" s="58"/>
      <c r="AQ829" s="58"/>
      <c r="AR829" s="58"/>
      <c r="AS829" s="58"/>
      <c r="AT829" s="58"/>
      <c r="AU829" s="58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63"/>
      <c r="BO829" s="58"/>
      <c r="BP829" s="58"/>
      <c r="BQ829" s="64"/>
    </row>
    <row r="830">
      <c r="A830" s="20">
        <v>1.0</v>
      </c>
      <c r="B830" s="21" t="s">
        <v>1382</v>
      </c>
      <c r="C830" s="22"/>
      <c r="D830" s="22"/>
      <c r="E830" s="22"/>
      <c r="F830" s="22"/>
      <c r="G830" s="22"/>
      <c r="H830" s="22"/>
      <c r="I830" s="23" t="str">
        <f t="shared" si="6"/>
        <v>53000</v>
      </c>
      <c r="J830" s="24"/>
      <c r="K830" s="24"/>
      <c r="L830" s="23" t="s">
        <v>1383</v>
      </c>
      <c r="M830" s="25">
        <v>1.0</v>
      </c>
      <c r="N830" s="24"/>
      <c r="O830" s="22"/>
      <c r="P830" s="24"/>
      <c r="Q830" s="24"/>
      <c r="R830" s="24"/>
      <c r="S830" s="24"/>
      <c r="T830" s="24"/>
      <c r="U830" s="26">
        <v>1.0</v>
      </c>
      <c r="V830" s="24"/>
      <c r="W830" s="26" t="s">
        <v>70</v>
      </c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7"/>
      <c r="BO830" s="24"/>
      <c r="BP830" s="24"/>
      <c r="BQ830" s="10"/>
    </row>
    <row r="831">
      <c r="A831" s="28">
        <v>1.0</v>
      </c>
      <c r="B831" s="29" t="s">
        <v>1384</v>
      </c>
      <c r="C831" s="30"/>
      <c r="D831" s="30"/>
      <c r="E831" s="30"/>
      <c r="F831" s="30"/>
      <c r="G831" s="30"/>
      <c r="H831" s="30"/>
      <c r="I831" s="31" t="str">
        <f t="shared" si="6"/>
        <v>53100</v>
      </c>
      <c r="J831" s="74"/>
      <c r="K831" s="74"/>
      <c r="L831" s="31" t="s">
        <v>1385</v>
      </c>
      <c r="M831" s="75">
        <v>1.0</v>
      </c>
      <c r="N831" s="32"/>
      <c r="O831" s="30"/>
      <c r="P831" s="32"/>
      <c r="Q831" s="32"/>
      <c r="R831" s="32"/>
      <c r="S831" s="32"/>
      <c r="T831" s="74"/>
      <c r="U831" s="34">
        <v>1.0</v>
      </c>
      <c r="V831" s="74"/>
      <c r="W831" s="34" t="s">
        <v>70</v>
      </c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32"/>
      <c r="AQ831" s="32"/>
      <c r="AR831" s="32"/>
      <c r="AS831" s="32"/>
      <c r="AT831" s="32"/>
      <c r="AU831" s="32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32"/>
      <c r="BI831" s="32"/>
      <c r="BJ831" s="32"/>
      <c r="BK831" s="32"/>
      <c r="BL831" s="32"/>
      <c r="BM831" s="74"/>
      <c r="BN831" s="76"/>
      <c r="BO831" s="74"/>
      <c r="BP831" s="32"/>
      <c r="BQ831" s="10"/>
    </row>
    <row r="832">
      <c r="A832" s="36">
        <v>2.0</v>
      </c>
      <c r="B832" s="37" t="s">
        <v>1386</v>
      </c>
      <c r="C832" s="38"/>
      <c r="D832" s="38"/>
      <c r="E832" s="38"/>
      <c r="F832" s="38"/>
      <c r="G832" s="38"/>
      <c r="H832" s="38"/>
      <c r="I832" s="39" t="str">
        <f t="shared" si="6"/>
        <v>53150</v>
      </c>
      <c r="J832" s="40"/>
      <c r="K832" s="40"/>
      <c r="L832" s="39" t="s">
        <v>1387</v>
      </c>
      <c r="M832" s="41">
        <v>1.0</v>
      </c>
      <c r="N832" s="42"/>
      <c r="O832" s="38"/>
      <c r="P832" s="42"/>
      <c r="Q832" s="42"/>
      <c r="R832" s="42"/>
      <c r="S832" s="42"/>
      <c r="T832" s="40"/>
      <c r="U832" s="43">
        <v>1.0</v>
      </c>
      <c r="V832" s="40"/>
      <c r="W832" s="43" t="s">
        <v>70</v>
      </c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2"/>
      <c r="AQ832" s="42"/>
      <c r="AR832" s="42"/>
      <c r="AS832" s="42"/>
      <c r="AT832" s="42"/>
      <c r="AU832" s="42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2"/>
      <c r="BI832" s="42"/>
      <c r="BJ832" s="42"/>
      <c r="BK832" s="42"/>
      <c r="BL832" s="42"/>
      <c r="BM832" s="40"/>
      <c r="BN832" s="44"/>
      <c r="BO832" s="40"/>
      <c r="BP832" s="42"/>
      <c r="BQ832" s="10"/>
    </row>
    <row r="833">
      <c r="A833" s="45">
        <v>3.0</v>
      </c>
      <c r="B833" s="46" t="s">
        <v>1388</v>
      </c>
      <c r="C833" s="47"/>
      <c r="D833" s="47"/>
      <c r="E833" s="47"/>
      <c r="F833" s="47"/>
      <c r="G833" s="47"/>
      <c r="H833" s="47"/>
      <c r="I833" s="48" t="str">
        <f t="shared" si="6"/>
        <v>53151</v>
      </c>
      <c r="J833" s="49"/>
      <c r="K833" s="49"/>
      <c r="L833" s="48" t="s">
        <v>1389</v>
      </c>
      <c r="M833" s="50">
        <v>1.0</v>
      </c>
      <c r="N833" s="51"/>
      <c r="O833" s="47"/>
      <c r="P833" s="51"/>
      <c r="Q833" s="51"/>
      <c r="R833" s="51"/>
      <c r="S833" s="51"/>
      <c r="T833" s="49"/>
      <c r="U833" s="52">
        <v>1.0</v>
      </c>
      <c r="V833" s="49"/>
      <c r="W833" s="52" t="s">
        <v>70</v>
      </c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51"/>
      <c r="AQ833" s="51"/>
      <c r="AR833" s="51"/>
      <c r="AS833" s="51"/>
      <c r="AT833" s="51"/>
      <c r="AU833" s="51"/>
      <c r="AV833" s="49"/>
      <c r="AW833" s="49"/>
      <c r="AX833" s="49"/>
      <c r="AY833" s="49"/>
      <c r="AZ833" s="49"/>
      <c r="BA833" s="49"/>
      <c r="BB833" s="49"/>
      <c r="BC833" s="49"/>
      <c r="BD833" s="49"/>
      <c r="BE833" s="49"/>
      <c r="BF833" s="49"/>
      <c r="BG833" s="49"/>
      <c r="BH833" s="51"/>
      <c r="BI833" s="51"/>
      <c r="BJ833" s="51"/>
      <c r="BK833" s="51"/>
      <c r="BL833" s="51"/>
      <c r="BM833" s="49"/>
      <c r="BN833" s="53"/>
      <c r="BO833" s="49"/>
      <c r="BP833" s="51"/>
      <c r="BQ833" s="10"/>
    </row>
    <row r="834">
      <c r="A834" s="58"/>
      <c r="B834" s="71" t="s">
        <v>1388</v>
      </c>
      <c r="C834" s="71" t="s">
        <v>76</v>
      </c>
      <c r="D834" s="56"/>
      <c r="E834" s="56"/>
      <c r="F834" s="56"/>
      <c r="G834" s="56"/>
      <c r="H834" s="56"/>
      <c r="I834" s="58" t="str">
        <f t="shared" si="6"/>
        <v>5315101</v>
      </c>
      <c r="J834" s="58"/>
      <c r="K834" s="58"/>
      <c r="L834" s="90" t="s">
        <v>1390</v>
      </c>
      <c r="M834" s="60">
        <v>2.0</v>
      </c>
      <c r="N834" s="58"/>
      <c r="O834" s="56"/>
      <c r="P834" s="58"/>
      <c r="Q834" s="90" t="s">
        <v>1391</v>
      </c>
      <c r="R834" s="58"/>
      <c r="S834" s="58"/>
      <c r="T834" s="58"/>
      <c r="U834" s="58"/>
      <c r="V834" s="58"/>
      <c r="W834" s="72" t="s">
        <v>141</v>
      </c>
      <c r="X834" s="58"/>
      <c r="Y834" s="58"/>
      <c r="Z834" s="58"/>
      <c r="AA834" s="58"/>
      <c r="AB834" s="58"/>
      <c r="AC834" s="58"/>
      <c r="AD834" s="58"/>
      <c r="AE834" s="58"/>
      <c r="AF834" s="58"/>
      <c r="AG834" s="58"/>
      <c r="AH834" s="58"/>
      <c r="AI834" s="58"/>
      <c r="AJ834" s="58"/>
      <c r="AK834" s="58"/>
      <c r="AL834" s="58"/>
      <c r="AM834" s="58"/>
      <c r="AN834" s="58"/>
      <c r="AO834" s="58"/>
      <c r="AP834" s="72" t="s">
        <v>80</v>
      </c>
      <c r="AQ834" s="58"/>
      <c r="AR834" s="58"/>
      <c r="AS834" s="58"/>
      <c r="AT834" s="58"/>
      <c r="AU834" s="58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128">
        <f>10*1000/(24*3600)</f>
        <v>0.1157407407</v>
      </c>
      <c r="BG834" s="58"/>
      <c r="BH834" s="58"/>
      <c r="BI834" s="58"/>
      <c r="BJ834" s="58"/>
      <c r="BK834" s="58"/>
      <c r="BL834" s="58"/>
      <c r="BM834" s="58"/>
      <c r="BN834" s="63"/>
      <c r="BO834" s="58"/>
      <c r="BP834" s="58"/>
      <c r="BQ834" s="64"/>
    </row>
    <row r="835">
      <c r="A835" s="70">
        <v>5.0</v>
      </c>
      <c r="B835" s="71" t="s">
        <v>1388</v>
      </c>
      <c r="C835" s="71" t="s">
        <v>76</v>
      </c>
      <c r="D835" s="71" t="s">
        <v>76</v>
      </c>
      <c r="E835" s="56"/>
      <c r="F835" s="56"/>
      <c r="G835" s="56"/>
      <c r="H835" s="56"/>
      <c r="I835" s="58" t="str">
        <f t="shared" si="6"/>
        <v>531510101</v>
      </c>
      <c r="J835" s="58"/>
      <c r="K835" s="58"/>
      <c r="L835" s="90" t="s">
        <v>1392</v>
      </c>
      <c r="M835" s="60">
        <v>1.0</v>
      </c>
      <c r="N835" s="72" t="s">
        <v>1393</v>
      </c>
      <c r="O835" s="73" t="s">
        <v>1394</v>
      </c>
      <c r="P835" s="72" t="s">
        <v>1395</v>
      </c>
      <c r="Q835" s="90" t="s">
        <v>1391</v>
      </c>
      <c r="R835" s="58"/>
      <c r="S835" s="58"/>
      <c r="T835" s="58"/>
      <c r="U835" s="72">
        <v>1.0</v>
      </c>
      <c r="V835" s="58"/>
      <c r="W835" s="72" t="s">
        <v>78</v>
      </c>
      <c r="X835" s="58"/>
      <c r="Y835" s="58"/>
      <c r="Z835" s="58"/>
      <c r="AA835" s="62" t="s">
        <v>79</v>
      </c>
      <c r="AB835" s="62" t="s">
        <v>79</v>
      </c>
      <c r="AC835" s="58"/>
      <c r="AD835" s="58"/>
      <c r="AE835" s="58"/>
      <c r="AF835" s="58"/>
      <c r="AG835" s="58"/>
      <c r="AH835" s="58"/>
      <c r="AI835" s="58"/>
      <c r="AJ835" s="58"/>
      <c r="AK835" s="58"/>
      <c r="AL835" s="58"/>
      <c r="AM835" s="58"/>
      <c r="AN835" s="58"/>
      <c r="AO835" s="58"/>
      <c r="AP835" s="72" t="s">
        <v>1396</v>
      </c>
      <c r="AQ835" s="72">
        <v>350.0</v>
      </c>
      <c r="AR835" s="72">
        <v>1400.0</v>
      </c>
      <c r="AS835" s="72">
        <v>750.0</v>
      </c>
      <c r="AT835" s="72">
        <v>1096.0</v>
      </c>
      <c r="AU835" s="58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128">
        <f>26*1000/3600</f>
        <v>7.222222222</v>
      </c>
      <c r="BG835" s="58"/>
      <c r="BH835" s="90" t="s">
        <v>1296</v>
      </c>
      <c r="BI835" s="58"/>
      <c r="BJ835" s="90" t="s">
        <v>1342</v>
      </c>
      <c r="BK835" s="72" t="s">
        <v>1394</v>
      </c>
      <c r="BL835" s="58"/>
      <c r="BM835" s="58"/>
      <c r="BN835" s="63"/>
      <c r="BO835" s="58"/>
      <c r="BP835" s="58"/>
      <c r="BQ835" s="64"/>
    </row>
    <row r="836">
      <c r="A836" s="70">
        <v>5.0</v>
      </c>
      <c r="B836" s="71" t="s">
        <v>1388</v>
      </c>
      <c r="C836" s="71" t="s">
        <v>76</v>
      </c>
      <c r="D836" s="71" t="s">
        <v>119</v>
      </c>
      <c r="E836" s="56"/>
      <c r="F836" s="56"/>
      <c r="G836" s="56"/>
      <c r="H836" s="56"/>
      <c r="I836" s="58" t="str">
        <f t="shared" si="6"/>
        <v>531510102</v>
      </c>
      <c r="J836" s="58"/>
      <c r="K836" s="58"/>
      <c r="L836" s="90" t="s">
        <v>1397</v>
      </c>
      <c r="M836" s="60">
        <v>1.0</v>
      </c>
      <c r="N836" s="72" t="s">
        <v>1398</v>
      </c>
      <c r="O836" s="73" t="s">
        <v>1399</v>
      </c>
      <c r="P836" s="72" t="s">
        <v>1400</v>
      </c>
      <c r="Q836" s="90" t="s">
        <v>1391</v>
      </c>
      <c r="R836" s="58"/>
      <c r="S836" s="58"/>
      <c r="T836" s="58"/>
      <c r="U836" s="72">
        <v>1.0</v>
      </c>
      <c r="V836" s="58"/>
      <c r="W836" s="72" t="s">
        <v>78</v>
      </c>
      <c r="X836" s="58"/>
      <c r="Y836" s="58"/>
      <c r="Z836" s="58"/>
      <c r="AA836" s="62" t="s">
        <v>79</v>
      </c>
      <c r="AB836" s="62" t="s">
        <v>79</v>
      </c>
      <c r="AC836" s="58"/>
      <c r="AD836" s="58"/>
      <c r="AE836" s="58"/>
      <c r="AF836" s="58"/>
      <c r="AG836" s="58"/>
      <c r="AH836" s="58"/>
      <c r="AI836" s="58"/>
      <c r="AJ836" s="58"/>
      <c r="AK836" s="58"/>
      <c r="AL836" s="58"/>
      <c r="AM836" s="58"/>
      <c r="AN836" s="58"/>
      <c r="AO836" s="58"/>
      <c r="AP836" s="72" t="s">
        <v>1396</v>
      </c>
      <c r="AQ836" s="72">
        <v>670.0</v>
      </c>
      <c r="AR836" s="72">
        <v>1349.0</v>
      </c>
      <c r="AS836" s="72">
        <v>1376.0</v>
      </c>
      <c r="AT836" s="72">
        <v>1386.0</v>
      </c>
      <c r="AU836" s="58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129"/>
      <c r="BG836" s="58"/>
      <c r="BH836" s="90" t="s">
        <v>1401</v>
      </c>
      <c r="BI836" s="72">
        <v>218.0</v>
      </c>
      <c r="BJ836" s="90" t="s">
        <v>1400</v>
      </c>
      <c r="BK836" s="58"/>
      <c r="BL836" s="58"/>
      <c r="BM836" s="58"/>
      <c r="BN836" s="63"/>
      <c r="BO836" s="58"/>
      <c r="BP836" s="58"/>
      <c r="BQ836" s="64"/>
    </row>
    <row r="837">
      <c r="A837" s="28">
        <v>1.0</v>
      </c>
      <c r="B837" s="29">
        <v>53200.0</v>
      </c>
      <c r="C837" s="30"/>
      <c r="D837" s="30"/>
      <c r="E837" s="30"/>
      <c r="F837" s="30"/>
      <c r="G837" s="30"/>
      <c r="H837" s="30"/>
      <c r="I837" s="31" t="str">
        <f t="shared" si="6"/>
        <v>53200</v>
      </c>
      <c r="J837" s="74"/>
      <c r="K837" s="74"/>
      <c r="L837" s="31" t="s">
        <v>1402</v>
      </c>
      <c r="M837" s="75">
        <v>1.0</v>
      </c>
      <c r="N837" s="32"/>
      <c r="O837" s="30"/>
      <c r="P837" s="32"/>
      <c r="Q837" s="32"/>
      <c r="R837" s="32"/>
      <c r="S837" s="32"/>
      <c r="T837" s="74"/>
      <c r="U837" s="34">
        <v>1.0</v>
      </c>
      <c r="V837" s="74"/>
      <c r="W837" s="34" t="s">
        <v>70</v>
      </c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32"/>
      <c r="AQ837" s="32"/>
      <c r="AR837" s="32"/>
      <c r="AS837" s="32"/>
      <c r="AT837" s="32"/>
      <c r="AU837" s="32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32"/>
      <c r="BI837" s="32"/>
      <c r="BJ837" s="32"/>
      <c r="BK837" s="32"/>
      <c r="BL837" s="32"/>
      <c r="BM837" s="74"/>
      <c r="BN837" s="76"/>
      <c r="BO837" s="74"/>
      <c r="BP837" s="32"/>
      <c r="BQ837" s="10"/>
    </row>
    <row r="838">
      <c r="A838" s="36">
        <v>2.0</v>
      </c>
      <c r="B838" s="37">
        <v>53210.0</v>
      </c>
      <c r="C838" s="38"/>
      <c r="D838" s="38"/>
      <c r="E838" s="38"/>
      <c r="F838" s="38"/>
      <c r="G838" s="38"/>
      <c r="H838" s="38"/>
      <c r="I838" s="39" t="str">
        <f t="shared" si="6"/>
        <v>53210</v>
      </c>
      <c r="J838" s="40"/>
      <c r="K838" s="40"/>
      <c r="L838" s="39" t="s">
        <v>1403</v>
      </c>
      <c r="M838" s="41">
        <v>1.0</v>
      </c>
      <c r="N838" s="42"/>
      <c r="O838" s="38"/>
      <c r="P838" s="42"/>
      <c r="Q838" s="42"/>
      <c r="R838" s="42"/>
      <c r="S838" s="42"/>
      <c r="T838" s="40"/>
      <c r="U838" s="43">
        <v>1.0</v>
      </c>
      <c r="V838" s="40"/>
      <c r="W838" s="43" t="s">
        <v>70</v>
      </c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2"/>
      <c r="AQ838" s="42"/>
      <c r="AR838" s="42"/>
      <c r="AS838" s="42"/>
      <c r="AT838" s="42"/>
      <c r="AU838" s="42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2"/>
      <c r="BI838" s="42"/>
      <c r="BJ838" s="42"/>
      <c r="BK838" s="42"/>
      <c r="BL838" s="42"/>
      <c r="BM838" s="40"/>
      <c r="BN838" s="44"/>
      <c r="BO838" s="40"/>
      <c r="BP838" s="42"/>
      <c r="BQ838" s="10"/>
    </row>
    <row r="839">
      <c r="A839" s="45">
        <v>3.0</v>
      </c>
      <c r="B839" s="46">
        <v>53211.0</v>
      </c>
      <c r="C839" s="47"/>
      <c r="D839" s="47"/>
      <c r="E839" s="47"/>
      <c r="F839" s="47"/>
      <c r="G839" s="47"/>
      <c r="H839" s="47"/>
      <c r="I839" s="48" t="str">
        <f t="shared" si="6"/>
        <v>53211</v>
      </c>
      <c r="J839" s="49"/>
      <c r="K839" s="49"/>
      <c r="L839" s="48" t="s">
        <v>1402</v>
      </c>
      <c r="M839" s="50">
        <v>1.0</v>
      </c>
      <c r="N839" s="51"/>
      <c r="O839" s="47"/>
      <c r="P839" s="51"/>
      <c r="Q839" s="51"/>
      <c r="R839" s="51"/>
      <c r="S839" s="51"/>
      <c r="T839" s="49"/>
      <c r="U839" s="52">
        <v>1.0</v>
      </c>
      <c r="V839" s="49"/>
      <c r="W839" s="52" t="s">
        <v>70</v>
      </c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51"/>
      <c r="AQ839" s="51"/>
      <c r="AR839" s="51"/>
      <c r="AS839" s="51"/>
      <c r="AT839" s="51"/>
      <c r="AU839" s="51"/>
      <c r="AV839" s="49"/>
      <c r="AW839" s="49"/>
      <c r="AX839" s="49"/>
      <c r="AY839" s="49"/>
      <c r="AZ839" s="49"/>
      <c r="BA839" s="49"/>
      <c r="BB839" s="49"/>
      <c r="BC839" s="49"/>
      <c r="BD839" s="49"/>
      <c r="BE839" s="49"/>
      <c r="BF839" s="49"/>
      <c r="BG839" s="49"/>
      <c r="BH839" s="100" t="s">
        <v>1296</v>
      </c>
      <c r="BI839" s="51"/>
      <c r="BJ839" s="100" t="s">
        <v>1342</v>
      </c>
      <c r="BK839" s="52" t="s">
        <v>1342</v>
      </c>
      <c r="BL839" s="51"/>
      <c r="BM839" s="49"/>
      <c r="BN839" s="53"/>
      <c r="BO839" s="49"/>
      <c r="BP839" s="51"/>
      <c r="BQ839" s="10"/>
    </row>
    <row r="840">
      <c r="A840" s="1">
        <v>4.0</v>
      </c>
      <c r="B840" s="2">
        <v>53211.0</v>
      </c>
      <c r="C840" s="2" t="s">
        <v>76</v>
      </c>
      <c r="D840" s="93"/>
      <c r="E840" s="93"/>
      <c r="F840" s="93"/>
      <c r="G840" s="93"/>
      <c r="H840" s="93"/>
      <c r="I840" s="3" t="str">
        <f t="shared" si="6"/>
        <v>5321101</v>
      </c>
      <c r="J840" s="3"/>
      <c r="K840" s="3"/>
      <c r="L840" s="94" t="s">
        <v>1404</v>
      </c>
      <c r="M840" s="4">
        <v>2.0</v>
      </c>
      <c r="N840" s="3"/>
      <c r="O840" s="93"/>
      <c r="P840" s="3"/>
      <c r="Q840" s="3"/>
      <c r="R840" s="3"/>
      <c r="S840" s="3"/>
      <c r="T840" s="3"/>
      <c r="U840" s="6">
        <v>1.0</v>
      </c>
      <c r="V840" s="3"/>
      <c r="W840" s="6" t="s">
        <v>141</v>
      </c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97"/>
      <c r="BO840" s="3"/>
      <c r="BP840" s="3"/>
      <c r="BQ840" s="10"/>
    </row>
    <row r="841">
      <c r="A841" s="70">
        <v>5.0</v>
      </c>
      <c r="B841" s="71">
        <v>53211.0</v>
      </c>
      <c r="C841" s="71" t="s">
        <v>76</v>
      </c>
      <c r="D841" s="71" t="s">
        <v>76</v>
      </c>
      <c r="E841" s="56"/>
      <c r="F841" s="56"/>
      <c r="G841" s="56"/>
      <c r="H841" s="56"/>
      <c r="I841" s="58" t="str">
        <f t="shared" si="6"/>
        <v>532110101</v>
      </c>
      <c r="J841" s="58"/>
      <c r="K841" s="58"/>
      <c r="L841" s="59" t="s">
        <v>1405</v>
      </c>
      <c r="M841" s="72">
        <v>1.0</v>
      </c>
      <c r="N841" s="72" t="s">
        <v>1406</v>
      </c>
      <c r="O841" s="73" t="s">
        <v>1407</v>
      </c>
      <c r="P841" s="72">
        <v>410123.0</v>
      </c>
      <c r="Q841" s="90" t="s">
        <v>1242</v>
      </c>
      <c r="R841" s="72">
        <v>410123.0</v>
      </c>
      <c r="S841" s="90" t="s">
        <v>1242</v>
      </c>
      <c r="T841" s="58"/>
      <c r="U841" s="72">
        <v>1.0</v>
      </c>
      <c r="V841" s="58"/>
      <c r="W841" s="72" t="s">
        <v>78</v>
      </c>
      <c r="X841" s="58"/>
      <c r="Y841" s="58"/>
      <c r="Z841" s="58"/>
      <c r="AA841" s="62" t="s">
        <v>79</v>
      </c>
      <c r="AB841" s="62" t="s">
        <v>79</v>
      </c>
      <c r="AC841" s="58"/>
      <c r="AD841" s="58"/>
      <c r="AE841" s="58"/>
      <c r="AF841" s="58"/>
      <c r="AG841" s="58"/>
      <c r="AH841" s="58"/>
      <c r="AI841" s="58"/>
      <c r="AJ841" s="58"/>
      <c r="AK841" s="58"/>
      <c r="AL841" s="58"/>
      <c r="AM841" s="58"/>
      <c r="AN841" s="58"/>
      <c r="AO841" s="58"/>
      <c r="AP841" s="72" t="s">
        <v>1408</v>
      </c>
      <c r="AQ841" s="72">
        <v>266.6</v>
      </c>
      <c r="AR841" s="72">
        <v>780.0</v>
      </c>
      <c r="AS841" s="72">
        <v>510.0</v>
      </c>
      <c r="AT841" s="72">
        <v>1688.0</v>
      </c>
      <c r="AU841" s="72">
        <f t="shared" ref="AU841:AU842" si="13">AR841*AS841*AT841/(10^9)</f>
        <v>0.6714864</v>
      </c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90" t="s">
        <v>1296</v>
      </c>
      <c r="BI841" s="58"/>
      <c r="BJ841" s="90" t="s">
        <v>1342</v>
      </c>
      <c r="BK841" s="72" t="s">
        <v>1407</v>
      </c>
      <c r="BL841" s="58"/>
      <c r="BM841" s="58"/>
      <c r="BN841" s="63"/>
      <c r="BO841" s="58"/>
      <c r="BP841" s="58"/>
      <c r="BQ841" s="64"/>
    </row>
    <row r="842">
      <c r="A842" s="70">
        <v>5.0</v>
      </c>
      <c r="B842" s="71">
        <v>53211.0</v>
      </c>
      <c r="C842" s="71" t="s">
        <v>76</v>
      </c>
      <c r="D842" s="71" t="s">
        <v>119</v>
      </c>
      <c r="E842" s="56"/>
      <c r="F842" s="56"/>
      <c r="G842" s="56"/>
      <c r="H842" s="56"/>
      <c r="I842" s="58" t="str">
        <f t="shared" si="6"/>
        <v>532110102</v>
      </c>
      <c r="J842" s="58"/>
      <c r="K842" s="58"/>
      <c r="L842" s="59" t="s">
        <v>1409</v>
      </c>
      <c r="M842" s="72">
        <v>1.0</v>
      </c>
      <c r="N842" s="72" t="s">
        <v>1406</v>
      </c>
      <c r="O842" s="73" t="s">
        <v>1410</v>
      </c>
      <c r="P842" s="72">
        <v>410123.0</v>
      </c>
      <c r="Q842" s="90" t="s">
        <v>1242</v>
      </c>
      <c r="R842" s="72">
        <v>410123.0</v>
      </c>
      <c r="S842" s="90" t="s">
        <v>1242</v>
      </c>
      <c r="T842" s="58"/>
      <c r="U842" s="72">
        <v>1.0</v>
      </c>
      <c r="V842" s="58"/>
      <c r="W842" s="72" t="s">
        <v>78</v>
      </c>
      <c r="X842" s="58"/>
      <c r="Y842" s="58"/>
      <c r="Z842" s="58"/>
      <c r="AA842" s="62" t="s">
        <v>79</v>
      </c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72" t="s">
        <v>1411</v>
      </c>
      <c r="AQ842" s="72">
        <v>266.6</v>
      </c>
      <c r="AR842" s="72">
        <v>780.0</v>
      </c>
      <c r="AS842" s="72">
        <v>510.0</v>
      </c>
      <c r="AT842" s="72">
        <v>1688.0</v>
      </c>
      <c r="AU842" s="72">
        <f t="shared" si="13"/>
        <v>0.6714864</v>
      </c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90" t="s">
        <v>1296</v>
      </c>
      <c r="BI842" s="58"/>
      <c r="BJ842" s="90" t="s">
        <v>1342</v>
      </c>
      <c r="BK842" s="72" t="s">
        <v>1407</v>
      </c>
      <c r="BL842" s="58"/>
      <c r="BM842" s="58"/>
      <c r="BN842" s="63"/>
      <c r="BO842" s="58"/>
      <c r="BP842" s="58"/>
      <c r="BQ842" s="64"/>
    </row>
    <row r="843">
      <c r="A843" s="1">
        <v>5.0</v>
      </c>
      <c r="B843" s="2">
        <v>53211.0</v>
      </c>
      <c r="C843" s="2" t="s">
        <v>76</v>
      </c>
      <c r="D843" s="2" t="s">
        <v>124</v>
      </c>
      <c r="E843" s="93"/>
      <c r="F843" s="93"/>
      <c r="G843" s="93"/>
      <c r="H843" s="93"/>
      <c r="I843" s="3" t="str">
        <f t="shared" si="6"/>
        <v>532110103</v>
      </c>
      <c r="J843" s="3"/>
      <c r="K843" s="3"/>
      <c r="L843" s="94" t="s">
        <v>1412</v>
      </c>
      <c r="M843" s="4">
        <v>1.0</v>
      </c>
      <c r="N843" s="3"/>
      <c r="O843" s="95" t="s">
        <v>1413</v>
      </c>
      <c r="P843" s="3"/>
      <c r="Q843" s="3"/>
      <c r="R843" s="3"/>
      <c r="S843" s="3"/>
      <c r="T843" s="3"/>
      <c r="U843" s="6">
        <v>1.0</v>
      </c>
      <c r="V843" s="3"/>
      <c r="W843" s="6" t="s">
        <v>78</v>
      </c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6" t="s">
        <v>80</v>
      </c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8" t="s">
        <v>1296</v>
      </c>
      <c r="BI843" s="3"/>
      <c r="BJ843" s="8" t="s">
        <v>1342</v>
      </c>
      <c r="BK843" s="6" t="s">
        <v>1413</v>
      </c>
      <c r="BL843" s="3"/>
      <c r="BM843" s="3"/>
      <c r="BN843" s="97"/>
      <c r="BO843" s="3"/>
      <c r="BP843" s="3"/>
      <c r="BQ843" s="10"/>
    </row>
    <row r="844">
      <c r="A844" s="1">
        <v>5.0</v>
      </c>
      <c r="B844" s="2">
        <v>53211.0</v>
      </c>
      <c r="C844" s="2" t="s">
        <v>76</v>
      </c>
      <c r="D844" s="2" t="s">
        <v>127</v>
      </c>
      <c r="E844" s="93"/>
      <c r="F844" s="93"/>
      <c r="G844" s="93"/>
      <c r="H844" s="93"/>
      <c r="I844" s="3" t="str">
        <f t="shared" si="6"/>
        <v>532110104</v>
      </c>
      <c r="J844" s="3"/>
      <c r="K844" s="3"/>
      <c r="L844" s="94" t="s">
        <v>1414</v>
      </c>
      <c r="M844" s="4">
        <v>1.0</v>
      </c>
      <c r="N844" s="6" t="s">
        <v>1415</v>
      </c>
      <c r="O844" s="95" t="s">
        <v>1416</v>
      </c>
      <c r="P844" s="3"/>
      <c r="Q844" s="3"/>
      <c r="R844" s="3"/>
      <c r="S844" s="3"/>
      <c r="T844" s="3"/>
      <c r="U844" s="6">
        <v>1.0</v>
      </c>
      <c r="V844" s="3"/>
      <c r="W844" s="6" t="s">
        <v>78</v>
      </c>
      <c r="X844" s="3"/>
      <c r="Y844" s="3"/>
      <c r="Z844" s="3"/>
      <c r="AA844" s="96" t="s">
        <v>79</v>
      </c>
      <c r="AB844" s="96" t="s">
        <v>79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6" t="s">
        <v>1417</v>
      </c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8" t="s">
        <v>1296</v>
      </c>
      <c r="BI844" s="3"/>
      <c r="BJ844" s="8" t="s">
        <v>1342</v>
      </c>
      <c r="BK844" s="6" t="s">
        <v>1416</v>
      </c>
      <c r="BL844" s="3"/>
      <c r="BM844" s="3"/>
      <c r="BN844" s="97"/>
      <c r="BO844" s="3"/>
      <c r="BP844" s="3"/>
      <c r="BQ844" s="10"/>
    </row>
    <row r="845">
      <c r="A845" s="1">
        <v>5.0</v>
      </c>
      <c r="B845" s="2">
        <v>53211.0</v>
      </c>
      <c r="C845" s="2" t="s">
        <v>76</v>
      </c>
      <c r="D845" s="2" t="s">
        <v>91</v>
      </c>
      <c r="E845" s="93"/>
      <c r="F845" s="93"/>
      <c r="G845" s="93"/>
      <c r="H845" s="93"/>
      <c r="I845" s="3" t="str">
        <f t="shared" si="6"/>
        <v>532110105</v>
      </c>
      <c r="J845" s="3"/>
      <c r="K845" s="3"/>
      <c r="L845" s="94" t="s">
        <v>1418</v>
      </c>
      <c r="M845" s="4">
        <v>1.0</v>
      </c>
      <c r="N845" s="6" t="s">
        <v>1415</v>
      </c>
      <c r="O845" s="95" t="s">
        <v>1419</v>
      </c>
      <c r="P845" s="3"/>
      <c r="Q845" s="3"/>
      <c r="R845" s="3"/>
      <c r="S845" s="3"/>
      <c r="T845" s="3"/>
      <c r="U845" s="6">
        <v>1.0</v>
      </c>
      <c r="V845" s="3"/>
      <c r="W845" s="6" t="s">
        <v>78</v>
      </c>
      <c r="X845" s="3"/>
      <c r="Y845" s="3"/>
      <c r="Z845" s="3"/>
      <c r="AA845" s="96" t="s">
        <v>79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6" t="s">
        <v>1420</v>
      </c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8" t="s">
        <v>1296</v>
      </c>
      <c r="BI845" s="3"/>
      <c r="BJ845" s="8" t="s">
        <v>1342</v>
      </c>
      <c r="BK845" s="6" t="s">
        <v>1419</v>
      </c>
      <c r="BL845" s="3"/>
      <c r="BM845" s="3"/>
      <c r="BN845" s="97"/>
      <c r="BO845" s="3"/>
      <c r="BP845" s="3"/>
      <c r="BQ845" s="10"/>
    </row>
    <row r="846">
      <c r="A846" s="70">
        <v>5.0</v>
      </c>
      <c r="B846" s="71">
        <v>53211.0</v>
      </c>
      <c r="C846" s="71" t="s">
        <v>76</v>
      </c>
      <c r="D846" s="71" t="s">
        <v>133</v>
      </c>
      <c r="E846" s="56"/>
      <c r="F846" s="56"/>
      <c r="G846" s="56"/>
      <c r="H846" s="56"/>
      <c r="I846" s="58" t="str">
        <f t="shared" si="6"/>
        <v>532110106</v>
      </c>
      <c r="J846" s="58"/>
      <c r="K846" s="58"/>
      <c r="L846" s="59" t="s">
        <v>1421</v>
      </c>
      <c r="M846" s="60">
        <v>1.0</v>
      </c>
      <c r="N846" s="72" t="s">
        <v>1422</v>
      </c>
      <c r="O846" s="73" t="s">
        <v>1343</v>
      </c>
      <c r="P846" s="72">
        <v>419540.0</v>
      </c>
      <c r="Q846" s="90" t="s">
        <v>1242</v>
      </c>
      <c r="R846" s="72">
        <v>419540.0</v>
      </c>
      <c r="S846" s="90" t="s">
        <v>1242</v>
      </c>
      <c r="T846" s="58"/>
      <c r="U846" s="72">
        <v>1.0</v>
      </c>
      <c r="V846" s="58"/>
      <c r="W846" s="72" t="s">
        <v>78</v>
      </c>
      <c r="X846" s="58"/>
      <c r="Y846" s="58"/>
      <c r="Z846" s="58"/>
      <c r="AA846" s="62" t="s">
        <v>79</v>
      </c>
      <c r="AB846" s="62" t="s">
        <v>79</v>
      </c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72" t="s">
        <v>1423</v>
      </c>
      <c r="AQ846" s="72">
        <v>920.6</v>
      </c>
      <c r="AR846" s="72">
        <v>800.0</v>
      </c>
      <c r="AS846" s="72">
        <v>570.0</v>
      </c>
      <c r="AT846" s="72">
        <v>1705.0</v>
      </c>
      <c r="AU846" s="72">
        <f t="shared" ref="AU846:AU847" si="14">AR846*AS846*AT846/(10^9)</f>
        <v>0.77748</v>
      </c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90" t="s">
        <v>1296</v>
      </c>
      <c r="BI846" s="58"/>
      <c r="BJ846" s="90" t="s">
        <v>1342</v>
      </c>
      <c r="BK846" s="72" t="s">
        <v>1343</v>
      </c>
      <c r="BL846" s="58"/>
      <c r="BM846" s="58"/>
      <c r="BN846" s="63"/>
      <c r="BO846" s="58"/>
      <c r="BP846" s="58"/>
      <c r="BQ846" s="64"/>
    </row>
    <row r="847">
      <c r="A847" s="70">
        <v>5.0</v>
      </c>
      <c r="B847" s="71">
        <v>53211.0</v>
      </c>
      <c r="C847" s="71" t="s">
        <v>76</v>
      </c>
      <c r="D847" s="71" t="s">
        <v>136</v>
      </c>
      <c r="E847" s="56"/>
      <c r="F847" s="56"/>
      <c r="G847" s="56"/>
      <c r="H847" s="56"/>
      <c r="I847" s="58" t="str">
        <f t="shared" si="6"/>
        <v>532110107</v>
      </c>
      <c r="J847" s="58"/>
      <c r="K847" s="58"/>
      <c r="L847" s="59" t="s">
        <v>1424</v>
      </c>
      <c r="M847" s="60">
        <v>1.0</v>
      </c>
      <c r="N847" s="72" t="s">
        <v>1422</v>
      </c>
      <c r="O847" s="73" t="s">
        <v>1425</v>
      </c>
      <c r="P847" s="72">
        <v>419540.0</v>
      </c>
      <c r="Q847" s="90" t="s">
        <v>1242</v>
      </c>
      <c r="R847" s="72">
        <v>419540.0</v>
      </c>
      <c r="S847" s="90" t="s">
        <v>1242</v>
      </c>
      <c r="T847" s="58"/>
      <c r="U847" s="72">
        <v>1.0</v>
      </c>
      <c r="V847" s="58"/>
      <c r="W847" s="72" t="s">
        <v>78</v>
      </c>
      <c r="X847" s="58"/>
      <c r="Y847" s="58"/>
      <c r="Z847" s="58"/>
      <c r="AA847" s="62" t="s">
        <v>79</v>
      </c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72" t="s">
        <v>1426</v>
      </c>
      <c r="AQ847" s="72">
        <v>920.6</v>
      </c>
      <c r="AR847" s="72">
        <v>800.0</v>
      </c>
      <c r="AS847" s="72">
        <v>570.0</v>
      </c>
      <c r="AT847" s="72">
        <v>1705.0</v>
      </c>
      <c r="AU847" s="72">
        <f t="shared" si="14"/>
        <v>0.77748</v>
      </c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90" t="s">
        <v>1296</v>
      </c>
      <c r="BI847" s="58"/>
      <c r="BJ847" s="90" t="s">
        <v>1342</v>
      </c>
      <c r="BK847" s="72" t="s">
        <v>1343</v>
      </c>
      <c r="BL847" s="58"/>
      <c r="BM847" s="58"/>
      <c r="BN847" s="63"/>
      <c r="BO847" s="58"/>
      <c r="BP847" s="58"/>
      <c r="BQ847" s="64"/>
    </row>
    <row r="848">
      <c r="A848" s="70">
        <v>5.0</v>
      </c>
      <c r="B848" s="71">
        <v>53211.0</v>
      </c>
      <c r="C848" s="71" t="s">
        <v>76</v>
      </c>
      <c r="D848" s="71" t="s">
        <v>138</v>
      </c>
      <c r="E848" s="56"/>
      <c r="F848" s="56"/>
      <c r="G848" s="56"/>
      <c r="H848" s="56"/>
      <c r="I848" s="58" t="str">
        <f t="shared" si="6"/>
        <v>532110108</v>
      </c>
      <c r="J848" s="58"/>
      <c r="K848" s="58"/>
      <c r="L848" s="59" t="s">
        <v>1427</v>
      </c>
      <c r="M848" s="72">
        <v>2.0</v>
      </c>
      <c r="N848" s="58"/>
      <c r="O848" s="56"/>
      <c r="P848" s="72" t="s">
        <v>1428</v>
      </c>
      <c r="Q848" s="90" t="s">
        <v>1242</v>
      </c>
      <c r="R848" s="72" t="s">
        <v>1428</v>
      </c>
      <c r="S848" s="90" t="s">
        <v>1242</v>
      </c>
      <c r="T848" s="58"/>
      <c r="U848" s="72">
        <v>1.0</v>
      </c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130">
        <v>690.0</v>
      </c>
      <c r="AW848" s="58"/>
      <c r="AX848" s="58"/>
      <c r="AY848" s="58"/>
      <c r="AZ848" s="58"/>
      <c r="BA848" s="58"/>
      <c r="BB848" s="58"/>
      <c r="BC848" s="72">
        <v>37.0</v>
      </c>
      <c r="BD848" s="58"/>
      <c r="BE848" s="58"/>
      <c r="BF848" s="58"/>
      <c r="BG848" s="58"/>
      <c r="BH848" s="90" t="s">
        <v>1429</v>
      </c>
      <c r="BI848" s="123">
        <v>16.0</v>
      </c>
      <c r="BJ848" s="90" t="s">
        <v>1428</v>
      </c>
      <c r="BK848" s="72" t="s">
        <v>1430</v>
      </c>
      <c r="BL848" s="58"/>
      <c r="BM848" s="58"/>
      <c r="BN848" s="63"/>
      <c r="BO848" s="58"/>
      <c r="BP848" s="58"/>
      <c r="BQ848" s="64"/>
    </row>
    <row r="849">
      <c r="A849" s="70">
        <v>5.0</v>
      </c>
      <c r="B849" s="71">
        <v>53211.0</v>
      </c>
      <c r="C849" s="71" t="s">
        <v>76</v>
      </c>
      <c r="D849" s="71" t="s">
        <v>142</v>
      </c>
      <c r="E849" s="56"/>
      <c r="F849" s="56"/>
      <c r="G849" s="56"/>
      <c r="H849" s="56"/>
      <c r="I849" s="58" t="str">
        <f t="shared" si="6"/>
        <v>532110109</v>
      </c>
      <c r="J849" s="58"/>
      <c r="K849" s="58"/>
      <c r="L849" s="59" t="s">
        <v>1431</v>
      </c>
      <c r="M849" s="72">
        <v>2.0</v>
      </c>
      <c r="N849" s="58"/>
      <c r="O849" s="56"/>
      <c r="P849" s="72" t="s">
        <v>1428</v>
      </c>
      <c r="Q849" s="90" t="s">
        <v>1242</v>
      </c>
      <c r="R849" s="72" t="s">
        <v>1428</v>
      </c>
      <c r="S849" s="90" t="s">
        <v>1242</v>
      </c>
      <c r="T849" s="58"/>
      <c r="U849" s="72">
        <v>1.0</v>
      </c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130">
        <v>690.0</v>
      </c>
      <c r="AW849" s="58"/>
      <c r="AX849" s="58"/>
      <c r="AY849" s="58"/>
      <c r="AZ849" s="58"/>
      <c r="BA849" s="58"/>
      <c r="BB849" s="58"/>
      <c r="BC849" s="72">
        <v>37.0</v>
      </c>
      <c r="BD849" s="58"/>
      <c r="BE849" s="58"/>
      <c r="BF849" s="58"/>
      <c r="BG849" s="58"/>
      <c r="BH849" s="90" t="s">
        <v>1429</v>
      </c>
      <c r="BI849" s="123">
        <v>16.0</v>
      </c>
      <c r="BJ849" s="90" t="s">
        <v>1428</v>
      </c>
      <c r="BK849" s="72" t="s">
        <v>1432</v>
      </c>
      <c r="BL849" s="58"/>
      <c r="BM849" s="58"/>
      <c r="BN849" s="63"/>
      <c r="BO849" s="58"/>
      <c r="BP849" s="58"/>
      <c r="BQ849" s="64"/>
    </row>
    <row r="850">
      <c r="A850" s="70">
        <v>5.0</v>
      </c>
      <c r="B850" s="71">
        <v>53211.0</v>
      </c>
      <c r="C850" s="71" t="s">
        <v>76</v>
      </c>
      <c r="D850" s="71" t="s">
        <v>149</v>
      </c>
      <c r="E850" s="56"/>
      <c r="F850" s="56"/>
      <c r="G850" s="56"/>
      <c r="H850" s="56"/>
      <c r="I850" s="58" t="str">
        <f t="shared" si="6"/>
        <v>53211010A</v>
      </c>
      <c r="J850" s="58"/>
      <c r="K850" s="58"/>
      <c r="L850" s="59" t="s">
        <v>1433</v>
      </c>
      <c r="M850" s="72">
        <v>2.0</v>
      </c>
      <c r="N850" s="58"/>
      <c r="O850" s="56"/>
      <c r="P850" s="58"/>
      <c r="Q850" s="90" t="s">
        <v>1242</v>
      </c>
      <c r="R850" s="58"/>
      <c r="S850" s="90" t="s">
        <v>1242</v>
      </c>
      <c r="T850" s="58"/>
      <c r="U850" s="72">
        <v>1.0</v>
      </c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72">
        <v>690.0</v>
      </c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63"/>
      <c r="BO850" s="58"/>
      <c r="BP850" s="58"/>
      <c r="BQ850" s="64"/>
    </row>
    <row r="851">
      <c r="A851" s="1">
        <v>4.0</v>
      </c>
      <c r="B851" s="2">
        <v>53211.0</v>
      </c>
      <c r="C851" s="2" t="s">
        <v>91</v>
      </c>
      <c r="D851" s="93"/>
      <c r="E851" s="93"/>
      <c r="F851" s="93"/>
      <c r="G851" s="93"/>
      <c r="H851" s="93"/>
      <c r="I851" s="3" t="str">
        <f t="shared" si="6"/>
        <v>5321105</v>
      </c>
      <c r="J851" s="3"/>
      <c r="K851" s="3"/>
      <c r="L851" s="94" t="s">
        <v>1434</v>
      </c>
      <c r="M851" s="4">
        <v>1.0</v>
      </c>
      <c r="N851" s="6" t="s">
        <v>1435</v>
      </c>
      <c r="O851" s="95" t="s">
        <v>1436</v>
      </c>
      <c r="P851" s="3"/>
      <c r="Q851" s="3"/>
      <c r="R851" s="3"/>
      <c r="S851" s="3"/>
      <c r="T851" s="3"/>
      <c r="U851" s="6">
        <v>1.0</v>
      </c>
      <c r="V851" s="3"/>
      <c r="W851" s="6" t="s">
        <v>78</v>
      </c>
      <c r="X851" s="3"/>
      <c r="Y851" s="3"/>
      <c r="Z851" s="3"/>
      <c r="AA851" s="96" t="s">
        <v>79</v>
      </c>
      <c r="AB851" s="96" t="s">
        <v>79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6" t="s">
        <v>1437</v>
      </c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8" t="s">
        <v>1296</v>
      </c>
      <c r="BI851" s="3"/>
      <c r="BJ851" s="8" t="s">
        <v>1342</v>
      </c>
      <c r="BK851" s="6" t="s">
        <v>1436</v>
      </c>
      <c r="BL851" s="3"/>
      <c r="BM851" s="3"/>
      <c r="BN851" s="97"/>
      <c r="BO851" s="3"/>
      <c r="BP851" s="3"/>
      <c r="BQ851" s="10"/>
    </row>
    <row r="852">
      <c r="A852" s="20">
        <v>1.0</v>
      </c>
      <c r="B852" s="21" t="s">
        <v>1438</v>
      </c>
      <c r="C852" s="22"/>
      <c r="D852" s="22"/>
      <c r="E852" s="22"/>
      <c r="F852" s="22"/>
      <c r="G852" s="22"/>
      <c r="H852" s="22"/>
      <c r="I852" s="23" t="str">
        <f t="shared" si="6"/>
        <v>54000</v>
      </c>
      <c r="J852" s="24"/>
      <c r="K852" s="24"/>
      <c r="L852" s="23" t="s">
        <v>1439</v>
      </c>
      <c r="M852" s="25">
        <v>1.0</v>
      </c>
      <c r="N852" s="24"/>
      <c r="O852" s="22"/>
      <c r="P852" s="24"/>
      <c r="Q852" s="24"/>
      <c r="R852" s="24"/>
      <c r="S852" s="24"/>
      <c r="T852" s="24"/>
      <c r="U852" s="26">
        <v>1.0</v>
      </c>
      <c r="V852" s="24"/>
      <c r="W852" s="26" t="s">
        <v>70</v>
      </c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7"/>
      <c r="BO852" s="24"/>
      <c r="BP852" s="24"/>
      <c r="BQ852" s="10"/>
    </row>
    <row r="853">
      <c r="A853" s="28">
        <v>1.0</v>
      </c>
      <c r="B853" s="29" t="s">
        <v>1440</v>
      </c>
      <c r="C853" s="30"/>
      <c r="D853" s="30"/>
      <c r="E853" s="30"/>
      <c r="F853" s="30"/>
      <c r="G853" s="30"/>
      <c r="H853" s="30"/>
      <c r="I853" s="31" t="str">
        <f t="shared" si="6"/>
        <v>54100</v>
      </c>
      <c r="J853" s="32"/>
      <c r="K853" s="32"/>
      <c r="L853" s="31" t="s">
        <v>1441</v>
      </c>
      <c r="M853" s="33">
        <v>1.0</v>
      </c>
      <c r="N853" s="32"/>
      <c r="O853" s="30"/>
      <c r="P853" s="32"/>
      <c r="Q853" s="32"/>
      <c r="R853" s="32"/>
      <c r="S853" s="32"/>
      <c r="T853" s="32"/>
      <c r="U853" s="34">
        <v>1.0</v>
      </c>
      <c r="V853" s="32"/>
      <c r="W853" s="34" t="s">
        <v>70</v>
      </c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  <c r="BF853" s="32"/>
      <c r="BG853" s="32"/>
      <c r="BH853" s="102" t="s">
        <v>1442</v>
      </c>
      <c r="BI853" s="32"/>
      <c r="BJ853" s="102" t="s">
        <v>1443</v>
      </c>
      <c r="BK853" s="34" t="s">
        <v>1443</v>
      </c>
      <c r="BL853" s="32"/>
      <c r="BM853" s="32"/>
      <c r="BN853" s="35"/>
      <c r="BO853" s="32"/>
      <c r="BP853" s="32"/>
      <c r="BQ853" s="10"/>
    </row>
    <row r="854">
      <c r="A854" s="36">
        <v>2.0</v>
      </c>
      <c r="B854" s="37" t="s">
        <v>1444</v>
      </c>
      <c r="C854" s="38"/>
      <c r="D854" s="38"/>
      <c r="E854" s="38"/>
      <c r="F854" s="38"/>
      <c r="G854" s="38"/>
      <c r="H854" s="38"/>
      <c r="I854" s="39" t="str">
        <f t="shared" si="6"/>
        <v>54110</v>
      </c>
      <c r="J854" s="40"/>
      <c r="K854" s="40"/>
      <c r="L854" s="39" t="s">
        <v>1445</v>
      </c>
      <c r="M854" s="41">
        <v>1.0</v>
      </c>
      <c r="N854" s="42"/>
      <c r="O854" s="38"/>
      <c r="P854" s="42"/>
      <c r="Q854" s="42"/>
      <c r="R854" s="42"/>
      <c r="S854" s="42"/>
      <c r="T854" s="40"/>
      <c r="U854" s="43">
        <v>1.0</v>
      </c>
      <c r="V854" s="40"/>
      <c r="W854" s="43" t="s">
        <v>70</v>
      </c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2"/>
      <c r="AQ854" s="42"/>
      <c r="AR854" s="42"/>
      <c r="AS854" s="42"/>
      <c r="AT854" s="42"/>
      <c r="AU854" s="42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2"/>
      <c r="BI854" s="42"/>
      <c r="BJ854" s="42"/>
      <c r="BK854" s="42"/>
      <c r="BL854" s="42"/>
      <c r="BM854" s="40"/>
      <c r="BN854" s="44"/>
      <c r="BO854" s="40"/>
      <c r="BP854" s="42"/>
      <c r="BQ854" s="10"/>
    </row>
    <row r="855">
      <c r="A855" s="45">
        <v>3.0</v>
      </c>
      <c r="B855" s="46" t="s">
        <v>1446</v>
      </c>
      <c r="C855" s="47"/>
      <c r="D855" s="47"/>
      <c r="E855" s="47"/>
      <c r="F855" s="47"/>
      <c r="G855" s="47"/>
      <c r="H855" s="47"/>
      <c r="I855" s="48" t="str">
        <f t="shared" si="6"/>
        <v>54111</v>
      </c>
      <c r="J855" s="49"/>
      <c r="K855" s="49"/>
      <c r="L855" s="48" t="s">
        <v>1447</v>
      </c>
      <c r="M855" s="50">
        <v>1.0</v>
      </c>
      <c r="N855" s="51"/>
      <c r="O855" s="47"/>
      <c r="P855" s="51"/>
      <c r="Q855" s="51"/>
      <c r="R855" s="51"/>
      <c r="S855" s="51"/>
      <c r="T855" s="49"/>
      <c r="U855" s="52">
        <v>1.0</v>
      </c>
      <c r="V855" s="49"/>
      <c r="W855" s="52" t="s">
        <v>70</v>
      </c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51"/>
      <c r="AQ855" s="51"/>
      <c r="AR855" s="51"/>
      <c r="AS855" s="51"/>
      <c r="AT855" s="51"/>
      <c r="AU855" s="51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51"/>
      <c r="BI855" s="51"/>
      <c r="BJ855" s="51"/>
      <c r="BK855" s="51"/>
      <c r="BL855" s="51"/>
      <c r="BM855" s="49"/>
      <c r="BN855" s="53"/>
      <c r="BO855" s="49"/>
      <c r="BP855" s="51"/>
      <c r="BQ855" s="10"/>
    </row>
    <row r="856">
      <c r="A856" s="45">
        <v>4.0</v>
      </c>
      <c r="B856" s="46" t="s">
        <v>1446</v>
      </c>
      <c r="C856" s="131" t="s">
        <v>76</v>
      </c>
      <c r="D856" s="47"/>
      <c r="E856" s="47"/>
      <c r="F856" s="47"/>
      <c r="G856" s="47"/>
      <c r="H856" s="47"/>
      <c r="I856" s="48" t="str">
        <f t="shared" si="6"/>
        <v>5411101</v>
      </c>
      <c r="J856" s="49"/>
      <c r="K856" s="49"/>
      <c r="L856" s="48" t="s">
        <v>1448</v>
      </c>
      <c r="M856" s="50">
        <v>1.0</v>
      </c>
      <c r="N856" s="51"/>
      <c r="O856" s="47"/>
      <c r="P856" s="51"/>
      <c r="Q856" s="51"/>
      <c r="R856" s="51"/>
      <c r="S856" s="51"/>
      <c r="T856" s="49"/>
      <c r="U856" s="52">
        <v>1.0</v>
      </c>
      <c r="V856" s="49"/>
      <c r="W856" s="52" t="s">
        <v>70</v>
      </c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51"/>
      <c r="AQ856" s="51"/>
      <c r="AR856" s="51"/>
      <c r="AS856" s="51"/>
      <c r="AT856" s="51"/>
      <c r="AU856" s="51"/>
      <c r="AV856" s="49"/>
      <c r="AW856" s="49"/>
      <c r="AX856" s="49"/>
      <c r="AY856" s="49"/>
      <c r="AZ856" s="49"/>
      <c r="BA856" s="49"/>
      <c r="BB856" s="49"/>
      <c r="BC856" s="49"/>
      <c r="BD856" s="49"/>
      <c r="BE856" s="49"/>
      <c r="BF856" s="49"/>
      <c r="BG856" s="49"/>
      <c r="BH856" s="51"/>
      <c r="BI856" s="51"/>
      <c r="BJ856" s="51"/>
      <c r="BK856" s="51"/>
      <c r="BL856" s="51"/>
      <c r="BM856" s="49"/>
      <c r="BN856" s="53"/>
      <c r="BO856" s="49"/>
      <c r="BP856" s="51"/>
      <c r="BQ856" s="10"/>
    </row>
    <row r="857">
      <c r="A857" s="1">
        <v>5.0</v>
      </c>
      <c r="B857" s="2" t="s">
        <v>1446</v>
      </c>
      <c r="C857" s="2" t="s">
        <v>76</v>
      </c>
      <c r="D857" s="2" t="s">
        <v>76</v>
      </c>
      <c r="E857" s="93"/>
      <c r="F857" s="93"/>
      <c r="G857" s="93"/>
      <c r="H857" s="93"/>
      <c r="I857" s="3" t="str">
        <f t="shared" si="6"/>
        <v>541110101</v>
      </c>
      <c r="J857" s="3"/>
      <c r="K857" s="3"/>
      <c r="L857" s="94" t="s">
        <v>1449</v>
      </c>
      <c r="M857" s="4">
        <v>1.0</v>
      </c>
      <c r="N857" s="3"/>
      <c r="O857" s="95" t="s">
        <v>1450</v>
      </c>
      <c r="P857" s="3"/>
      <c r="Q857" s="3"/>
      <c r="R857" s="3"/>
      <c r="S857" s="3"/>
      <c r="T857" s="3"/>
      <c r="U857" s="6">
        <v>1.0</v>
      </c>
      <c r="V857" s="3"/>
      <c r="W857" s="6" t="s">
        <v>78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8" t="s">
        <v>1442</v>
      </c>
      <c r="BI857" s="3"/>
      <c r="BJ857" s="8" t="s">
        <v>1443</v>
      </c>
      <c r="BK857" s="6" t="s">
        <v>1450</v>
      </c>
      <c r="BL857" s="3"/>
      <c r="BM857" s="3"/>
      <c r="BN857" s="97"/>
      <c r="BO857" s="3"/>
      <c r="BP857" s="3"/>
      <c r="BQ857" s="10"/>
    </row>
    <row r="858">
      <c r="A858" s="1">
        <v>5.0</v>
      </c>
      <c r="B858" s="2" t="s">
        <v>1446</v>
      </c>
      <c r="C858" s="2" t="s">
        <v>76</v>
      </c>
      <c r="D858" s="2" t="s">
        <v>119</v>
      </c>
      <c r="E858" s="93"/>
      <c r="F858" s="93"/>
      <c r="G858" s="93"/>
      <c r="H858" s="93"/>
      <c r="I858" s="3" t="str">
        <f t="shared" si="6"/>
        <v>541110102</v>
      </c>
      <c r="J858" s="3"/>
      <c r="K858" s="3"/>
      <c r="L858" s="94" t="s">
        <v>1451</v>
      </c>
      <c r="M858" s="4">
        <v>2.0</v>
      </c>
      <c r="N858" s="3"/>
      <c r="O858" s="93"/>
      <c r="P858" s="3"/>
      <c r="Q858" s="3"/>
      <c r="R858" s="3"/>
      <c r="S858" s="3"/>
      <c r="T858" s="3"/>
      <c r="U858" s="6">
        <v>1.0</v>
      </c>
      <c r="V858" s="3"/>
      <c r="W858" s="6" t="s">
        <v>304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97"/>
      <c r="BO858" s="3"/>
      <c r="BP858" s="3"/>
      <c r="BQ858" s="10"/>
    </row>
    <row r="859">
      <c r="A859" s="45">
        <v>4.0</v>
      </c>
      <c r="B859" s="46" t="s">
        <v>1446</v>
      </c>
      <c r="C859" s="131" t="s">
        <v>119</v>
      </c>
      <c r="D859" s="47"/>
      <c r="E859" s="47"/>
      <c r="F859" s="47"/>
      <c r="G859" s="47"/>
      <c r="H859" s="47"/>
      <c r="I859" s="48" t="str">
        <f t="shared" si="6"/>
        <v>5411102</v>
      </c>
      <c r="J859" s="49"/>
      <c r="K859" s="49"/>
      <c r="L859" s="48" t="s">
        <v>1452</v>
      </c>
      <c r="M859" s="50">
        <v>1.0</v>
      </c>
      <c r="N859" s="51"/>
      <c r="O859" s="47"/>
      <c r="P859" s="51"/>
      <c r="Q859" s="51"/>
      <c r="R859" s="51"/>
      <c r="S859" s="51"/>
      <c r="T859" s="49"/>
      <c r="U859" s="52">
        <v>1.0</v>
      </c>
      <c r="V859" s="49"/>
      <c r="W859" s="52" t="s">
        <v>70</v>
      </c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51"/>
      <c r="AQ859" s="51"/>
      <c r="AR859" s="51"/>
      <c r="AS859" s="51"/>
      <c r="AT859" s="51"/>
      <c r="AU859" s="51"/>
      <c r="AV859" s="49"/>
      <c r="AW859" s="49"/>
      <c r="AX859" s="49"/>
      <c r="AY859" s="49"/>
      <c r="AZ859" s="49"/>
      <c r="BA859" s="49"/>
      <c r="BB859" s="49"/>
      <c r="BC859" s="49"/>
      <c r="BD859" s="49"/>
      <c r="BE859" s="49"/>
      <c r="BF859" s="49"/>
      <c r="BG859" s="49"/>
      <c r="BH859" s="51"/>
      <c r="BI859" s="51"/>
      <c r="BJ859" s="51"/>
      <c r="BK859" s="51"/>
      <c r="BL859" s="51"/>
      <c r="BM859" s="49"/>
      <c r="BN859" s="53"/>
      <c r="BO859" s="49"/>
      <c r="BP859" s="51"/>
      <c r="BQ859" s="10"/>
    </row>
    <row r="860">
      <c r="A860" s="1">
        <v>5.0</v>
      </c>
      <c r="B860" s="2" t="s">
        <v>1446</v>
      </c>
      <c r="C860" s="2" t="s">
        <v>119</v>
      </c>
      <c r="D860" s="2" t="s">
        <v>76</v>
      </c>
      <c r="E860" s="93"/>
      <c r="F860" s="93"/>
      <c r="G860" s="93"/>
      <c r="H860" s="93"/>
      <c r="I860" s="3" t="str">
        <f t="shared" si="6"/>
        <v>541110201</v>
      </c>
      <c r="J860" s="3"/>
      <c r="K860" s="3"/>
      <c r="L860" s="94" t="s">
        <v>1453</v>
      </c>
      <c r="M860" s="4">
        <v>1.0</v>
      </c>
      <c r="N860" s="3"/>
      <c r="O860" s="95" t="s">
        <v>1454</v>
      </c>
      <c r="P860" s="3"/>
      <c r="Q860" s="3"/>
      <c r="R860" s="3"/>
      <c r="S860" s="3"/>
      <c r="T860" s="3"/>
      <c r="U860" s="6">
        <v>1.0</v>
      </c>
      <c r="V860" s="3"/>
      <c r="W860" s="6" t="s">
        <v>78</v>
      </c>
      <c r="X860" s="3"/>
      <c r="Y860" s="3"/>
      <c r="Z860" s="3"/>
      <c r="AA860" s="96" t="s">
        <v>79</v>
      </c>
      <c r="AB860" s="96" t="s">
        <v>79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6" t="s">
        <v>80</v>
      </c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8" t="s">
        <v>1442</v>
      </c>
      <c r="BI860" s="3"/>
      <c r="BJ860" s="8" t="s">
        <v>1443</v>
      </c>
      <c r="BK860" s="6" t="s">
        <v>1454</v>
      </c>
      <c r="BL860" s="3"/>
      <c r="BM860" s="3"/>
      <c r="BN860" s="97"/>
      <c r="BO860" s="3"/>
      <c r="BP860" s="3"/>
      <c r="BQ860" s="10"/>
    </row>
    <row r="861">
      <c r="A861" s="1">
        <v>5.0</v>
      </c>
      <c r="B861" s="2" t="s">
        <v>1446</v>
      </c>
      <c r="C861" s="2" t="s">
        <v>119</v>
      </c>
      <c r="D861" s="2" t="s">
        <v>119</v>
      </c>
      <c r="E861" s="93"/>
      <c r="F861" s="93"/>
      <c r="G861" s="93"/>
      <c r="H861" s="93"/>
      <c r="I861" s="3" t="str">
        <f t="shared" si="6"/>
        <v>541110202</v>
      </c>
      <c r="J861" s="3"/>
      <c r="K861" s="3"/>
      <c r="L861" s="94" t="s">
        <v>1455</v>
      </c>
      <c r="M861" s="4">
        <v>1.0</v>
      </c>
      <c r="N861" s="3"/>
      <c r="O861" s="95" t="s">
        <v>1456</v>
      </c>
      <c r="P861" s="3"/>
      <c r="Q861" s="3"/>
      <c r="R861" s="3"/>
      <c r="S861" s="3"/>
      <c r="T861" s="3"/>
      <c r="U861" s="6">
        <v>1.0</v>
      </c>
      <c r="V861" s="3"/>
      <c r="W861" s="6" t="s">
        <v>78</v>
      </c>
      <c r="X861" s="3"/>
      <c r="Y861" s="3"/>
      <c r="Z861" s="3"/>
      <c r="AA861" s="96" t="s">
        <v>79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6" t="s">
        <v>80</v>
      </c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8" t="s">
        <v>1442</v>
      </c>
      <c r="BI861" s="3"/>
      <c r="BJ861" s="8" t="s">
        <v>1443</v>
      </c>
      <c r="BK861" s="6" t="s">
        <v>1456</v>
      </c>
      <c r="BL861" s="3"/>
      <c r="BM861" s="3"/>
      <c r="BN861" s="97"/>
      <c r="BO861" s="3"/>
      <c r="BP861" s="3"/>
      <c r="BQ861" s="10"/>
    </row>
    <row r="862">
      <c r="A862" s="1">
        <v>5.0</v>
      </c>
      <c r="B862" s="2" t="s">
        <v>1446</v>
      </c>
      <c r="C862" s="2" t="s">
        <v>119</v>
      </c>
      <c r="D862" s="2" t="s">
        <v>124</v>
      </c>
      <c r="E862" s="93"/>
      <c r="F862" s="93"/>
      <c r="G862" s="93"/>
      <c r="H862" s="93"/>
      <c r="I862" s="3" t="str">
        <f t="shared" si="6"/>
        <v>541110203</v>
      </c>
      <c r="J862" s="3"/>
      <c r="K862" s="3"/>
      <c r="L862" s="94" t="s">
        <v>1457</v>
      </c>
      <c r="M862" s="4">
        <v>1.0</v>
      </c>
      <c r="N862" s="3"/>
      <c r="O862" s="95" t="s">
        <v>1458</v>
      </c>
      <c r="P862" s="3"/>
      <c r="Q862" s="3"/>
      <c r="R862" s="3"/>
      <c r="S862" s="3"/>
      <c r="T862" s="3"/>
      <c r="U862" s="6">
        <v>1.0</v>
      </c>
      <c r="V862" s="3"/>
      <c r="W862" s="6" t="s">
        <v>78</v>
      </c>
      <c r="X862" s="3"/>
      <c r="Y862" s="3"/>
      <c r="Z862" s="3"/>
      <c r="AA862" s="96" t="s">
        <v>79</v>
      </c>
      <c r="AB862" s="96" t="s">
        <v>79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6" t="s">
        <v>80</v>
      </c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8" t="s">
        <v>1442</v>
      </c>
      <c r="BI862" s="3"/>
      <c r="BJ862" s="8" t="s">
        <v>1443</v>
      </c>
      <c r="BK862" s="95" t="s">
        <v>1458</v>
      </c>
      <c r="BL862" s="3"/>
      <c r="BM862" s="3"/>
      <c r="BN862" s="97"/>
      <c r="BO862" s="3"/>
      <c r="BP862" s="3"/>
      <c r="BQ862" s="10"/>
    </row>
    <row r="863">
      <c r="A863" s="1">
        <v>5.0</v>
      </c>
      <c r="B863" s="2" t="s">
        <v>1446</v>
      </c>
      <c r="C863" s="2" t="s">
        <v>119</v>
      </c>
      <c r="D863" s="2" t="s">
        <v>127</v>
      </c>
      <c r="E863" s="93"/>
      <c r="F863" s="93"/>
      <c r="G863" s="93"/>
      <c r="H863" s="93"/>
      <c r="I863" s="3" t="str">
        <f t="shared" si="6"/>
        <v>541110204</v>
      </c>
      <c r="J863" s="3"/>
      <c r="K863" s="3"/>
      <c r="L863" s="94" t="s">
        <v>1459</v>
      </c>
      <c r="M863" s="4">
        <v>1.0</v>
      </c>
      <c r="N863" s="3"/>
      <c r="O863" s="95" t="s">
        <v>1460</v>
      </c>
      <c r="P863" s="3"/>
      <c r="Q863" s="3"/>
      <c r="R863" s="3"/>
      <c r="S863" s="3"/>
      <c r="T863" s="3"/>
      <c r="U863" s="6">
        <v>1.0</v>
      </c>
      <c r="V863" s="3"/>
      <c r="W863" s="6" t="s">
        <v>78</v>
      </c>
      <c r="X863" s="3"/>
      <c r="Y863" s="3"/>
      <c r="Z863" s="3"/>
      <c r="AA863" s="96" t="s">
        <v>79</v>
      </c>
      <c r="AB863" s="96" t="s">
        <v>79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6" t="s">
        <v>80</v>
      </c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8" t="s">
        <v>1442</v>
      </c>
      <c r="BI863" s="3"/>
      <c r="BJ863" s="8" t="s">
        <v>1443</v>
      </c>
      <c r="BK863" s="95" t="s">
        <v>1460</v>
      </c>
      <c r="BL863" s="3"/>
      <c r="BM863" s="3"/>
      <c r="BN863" s="97"/>
      <c r="BO863" s="3"/>
      <c r="BP863" s="3"/>
      <c r="BQ863" s="10"/>
    </row>
    <row r="864">
      <c r="A864" s="36">
        <v>2.0</v>
      </c>
      <c r="B864" s="37" t="s">
        <v>1461</v>
      </c>
      <c r="C864" s="38"/>
      <c r="D864" s="38"/>
      <c r="E864" s="38"/>
      <c r="F864" s="38"/>
      <c r="G864" s="38"/>
      <c r="H864" s="38"/>
      <c r="I864" s="39" t="str">
        <f t="shared" si="6"/>
        <v>54120</v>
      </c>
      <c r="J864" s="40"/>
      <c r="K864" s="40"/>
      <c r="L864" s="39" t="s">
        <v>1462</v>
      </c>
      <c r="M864" s="41">
        <v>1.0</v>
      </c>
      <c r="N864" s="42"/>
      <c r="O864" s="38"/>
      <c r="P864" s="42"/>
      <c r="Q864" s="42"/>
      <c r="R864" s="42"/>
      <c r="S864" s="42"/>
      <c r="T864" s="40"/>
      <c r="U864" s="43">
        <v>1.0</v>
      </c>
      <c r="V864" s="40"/>
      <c r="W864" s="43" t="s">
        <v>70</v>
      </c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2"/>
      <c r="AQ864" s="42"/>
      <c r="AR864" s="42"/>
      <c r="AS864" s="42"/>
      <c r="AT864" s="42"/>
      <c r="AU864" s="42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2"/>
      <c r="BI864" s="42"/>
      <c r="BJ864" s="42"/>
      <c r="BK864" s="42"/>
      <c r="BL864" s="42"/>
      <c r="BM864" s="40"/>
      <c r="BN864" s="44"/>
      <c r="BO864" s="40"/>
      <c r="BP864" s="42"/>
      <c r="BQ864" s="10"/>
    </row>
    <row r="865">
      <c r="A865" s="45">
        <v>3.0</v>
      </c>
      <c r="B865" s="46" t="s">
        <v>1463</v>
      </c>
      <c r="C865" s="47"/>
      <c r="D865" s="47"/>
      <c r="E865" s="47"/>
      <c r="F865" s="47"/>
      <c r="G865" s="47"/>
      <c r="H865" s="47"/>
      <c r="I865" s="48" t="str">
        <f t="shared" si="6"/>
        <v>54121</v>
      </c>
      <c r="J865" s="49"/>
      <c r="K865" s="49"/>
      <c r="L865" s="48" t="s">
        <v>1464</v>
      </c>
      <c r="M865" s="50">
        <v>1.0</v>
      </c>
      <c r="N865" s="51"/>
      <c r="O865" s="47"/>
      <c r="P865" s="51"/>
      <c r="Q865" s="51"/>
      <c r="R865" s="51"/>
      <c r="S865" s="51"/>
      <c r="T865" s="49"/>
      <c r="U865" s="52">
        <v>1.0</v>
      </c>
      <c r="V865" s="49"/>
      <c r="W865" s="52" t="s">
        <v>70</v>
      </c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51"/>
      <c r="AQ865" s="51"/>
      <c r="AR865" s="51"/>
      <c r="AS865" s="51"/>
      <c r="AT865" s="51"/>
      <c r="AU865" s="51"/>
      <c r="AV865" s="49"/>
      <c r="AW865" s="49"/>
      <c r="AX865" s="49"/>
      <c r="AY865" s="49"/>
      <c r="AZ865" s="49"/>
      <c r="BA865" s="49"/>
      <c r="BB865" s="49"/>
      <c r="BC865" s="49"/>
      <c r="BD865" s="49"/>
      <c r="BE865" s="49"/>
      <c r="BF865" s="49"/>
      <c r="BG865" s="49"/>
      <c r="BH865" s="51"/>
      <c r="BI865" s="51"/>
      <c r="BJ865" s="51"/>
      <c r="BK865" s="51"/>
      <c r="BL865" s="51"/>
      <c r="BM865" s="49"/>
      <c r="BN865" s="53"/>
      <c r="BO865" s="49"/>
      <c r="BP865" s="51"/>
      <c r="BQ865" s="10"/>
    </row>
    <row r="866">
      <c r="A866" s="70">
        <v>4.0</v>
      </c>
      <c r="B866" s="71" t="s">
        <v>1463</v>
      </c>
      <c r="C866" s="71" t="s">
        <v>76</v>
      </c>
      <c r="D866" s="56"/>
      <c r="E866" s="56"/>
      <c r="F866" s="56"/>
      <c r="G866" s="56"/>
      <c r="H866" s="56"/>
      <c r="I866" s="58" t="str">
        <f t="shared" si="6"/>
        <v>5412101</v>
      </c>
      <c r="J866" s="58"/>
      <c r="K866" s="58"/>
      <c r="L866" s="59" t="s">
        <v>1465</v>
      </c>
      <c r="M866" s="60">
        <v>1.0</v>
      </c>
      <c r="N866" s="72" t="s">
        <v>1466</v>
      </c>
      <c r="O866" s="73" t="s">
        <v>1467</v>
      </c>
      <c r="P866" s="58"/>
      <c r="Q866" s="58"/>
      <c r="R866" s="58"/>
      <c r="S866" s="58"/>
      <c r="T866" s="58"/>
      <c r="U866" s="72">
        <v>1.0</v>
      </c>
      <c r="V866" s="58"/>
      <c r="W866" s="72" t="s">
        <v>78</v>
      </c>
      <c r="X866" s="58"/>
      <c r="Y866" s="58"/>
      <c r="Z866" s="58"/>
      <c r="AA866" s="62" t="s">
        <v>79</v>
      </c>
      <c r="AB866" s="62" t="s">
        <v>79</v>
      </c>
      <c r="AC866" s="58"/>
      <c r="AD866" s="58"/>
      <c r="AE866" s="58"/>
      <c r="AF866" s="58"/>
      <c r="AG866" s="58"/>
      <c r="AH866" s="58"/>
      <c r="AI866" s="58"/>
      <c r="AJ866" s="58"/>
      <c r="AK866" s="58"/>
      <c r="AL866" s="58"/>
      <c r="AM866" s="58"/>
      <c r="AN866" s="58"/>
      <c r="AO866" s="58"/>
      <c r="AP866" s="72" t="s">
        <v>1468</v>
      </c>
      <c r="AQ866" s="58"/>
      <c r="AR866" s="58"/>
      <c r="AS866" s="58"/>
      <c r="AT866" s="58"/>
      <c r="AU866" s="58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90" t="s">
        <v>1442</v>
      </c>
      <c r="BI866" s="58"/>
      <c r="BJ866" s="90" t="s">
        <v>1443</v>
      </c>
      <c r="BK866" s="72" t="s">
        <v>1467</v>
      </c>
      <c r="BL866" s="58"/>
      <c r="BM866" s="58"/>
      <c r="BN866" s="63"/>
      <c r="BO866" s="58"/>
      <c r="BP866" s="90" t="s">
        <v>406</v>
      </c>
      <c r="BQ866" s="64"/>
    </row>
    <row r="867">
      <c r="A867" s="70">
        <v>4.0</v>
      </c>
      <c r="B867" s="71" t="s">
        <v>1463</v>
      </c>
      <c r="C867" s="71" t="s">
        <v>119</v>
      </c>
      <c r="D867" s="56"/>
      <c r="E867" s="56"/>
      <c r="F867" s="56"/>
      <c r="G867" s="56"/>
      <c r="H867" s="56"/>
      <c r="I867" s="58" t="str">
        <f t="shared" si="6"/>
        <v>5412102</v>
      </c>
      <c r="J867" s="58"/>
      <c r="K867" s="58"/>
      <c r="L867" s="59" t="s">
        <v>1469</v>
      </c>
      <c r="M867" s="60">
        <v>1.0</v>
      </c>
      <c r="N867" s="72" t="s">
        <v>1466</v>
      </c>
      <c r="O867" s="73" t="s">
        <v>1470</v>
      </c>
      <c r="P867" s="58"/>
      <c r="Q867" s="58"/>
      <c r="R867" s="58"/>
      <c r="S867" s="58"/>
      <c r="T867" s="58"/>
      <c r="U867" s="72">
        <v>1.0</v>
      </c>
      <c r="V867" s="58"/>
      <c r="W867" s="72" t="s">
        <v>78</v>
      </c>
      <c r="X867" s="58"/>
      <c r="Y867" s="58"/>
      <c r="Z867" s="58"/>
      <c r="AA867" s="62" t="s">
        <v>79</v>
      </c>
      <c r="AB867" s="58"/>
      <c r="AC867" s="58"/>
      <c r="AD867" s="58"/>
      <c r="AE867" s="58"/>
      <c r="AF867" s="58"/>
      <c r="AG867" s="58"/>
      <c r="AH867" s="58"/>
      <c r="AI867" s="58"/>
      <c r="AJ867" s="58"/>
      <c r="AK867" s="58"/>
      <c r="AL867" s="58"/>
      <c r="AM867" s="58"/>
      <c r="AN867" s="58"/>
      <c r="AO867" s="58"/>
      <c r="AP867" s="72" t="s">
        <v>1471</v>
      </c>
      <c r="AQ867" s="58"/>
      <c r="AR867" s="58"/>
      <c r="AS867" s="58"/>
      <c r="AT867" s="58"/>
      <c r="AU867" s="58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90" t="s">
        <v>1442</v>
      </c>
      <c r="BI867" s="58"/>
      <c r="BJ867" s="90" t="s">
        <v>1443</v>
      </c>
      <c r="BK867" s="72" t="s">
        <v>1470</v>
      </c>
      <c r="BL867" s="58"/>
      <c r="BM867" s="58"/>
      <c r="BN867" s="63"/>
      <c r="BO867" s="58"/>
      <c r="BP867" s="58"/>
      <c r="BQ867" s="64"/>
    </row>
    <row r="868">
      <c r="A868" s="70">
        <v>4.0</v>
      </c>
      <c r="B868" s="71" t="s">
        <v>1463</v>
      </c>
      <c r="C868" s="71" t="s">
        <v>124</v>
      </c>
      <c r="D868" s="56"/>
      <c r="E868" s="56"/>
      <c r="F868" s="56"/>
      <c r="G868" s="56"/>
      <c r="H868" s="56"/>
      <c r="I868" s="58" t="str">
        <f t="shared" si="6"/>
        <v>5412103</v>
      </c>
      <c r="J868" s="58"/>
      <c r="K868" s="58"/>
      <c r="L868" s="59" t="s">
        <v>1472</v>
      </c>
      <c r="M868" s="60">
        <v>1.0</v>
      </c>
      <c r="N868" s="72" t="s">
        <v>1473</v>
      </c>
      <c r="O868" s="73" t="s">
        <v>1474</v>
      </c>
      <c r="P868" s="58"/>
      <c r="Q868" s="58"/>
      <c r="R868" s="58"/>
      <c r="S868" s="58"/>
      <c r="T868" s="58"/>
      <c r="U868" s="72">
        <v>1.0</v>
      </c>
      <c r="V868" s="58"/>
      <c r="W868" s="72" t="s">
        <v>78</v>
      </c>
      <c r="X868" s="58"/>
      <c r="Y868" s="58"/>
      <c r="Z868" s="58"/>
      <c r="AA868" s="62" t="s">
        <v>79</v>
      </c>
      <c r="AB868" s="62" t="s">
        <v>79</v>
      </c>
      <c r="AC868" s="58"/>
      <c r="AD868" s="58"/>
      <c r="AE868" s="58"/>
      <c r="AF868" s="58"/>
      <c r="AG868" s="58"/>
      <c r="AH868" s="58"/>
      <c r="AI868" s="58"/>
      <c r="AJ868" s="58"/>
      <c r="AK868" s="58"/>
      <c r="AL868" s="58"/>
      <c r="AM868" s="58"/>
      <c r="AN868" s="58"/>
      <c r="AO868" s="58"/>
      <c r="AP868" s="72" t="s">
        <v>1475</v>
      </c>
      <c r="AQ868" s="58"/>
      <c r="AR868" s="72">
        <v>983.0</v>
      </c>
      <c r="AS868" s="72">
        <v>390.0</v>
      </c>
      <c r="AT868" s="72">
        <v>358.0</v>
      </c>
      <c r="AU868" s="58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90" t="s">
        <v>1442</v>
      </c>
      <c r="BI868" s="58"/>
      <c r="BJ868" s="90" t="s">
        <v>1443</v>
      </c>
      <c r="BK868" s="72" t="s">
        <v>1474</v>
      </c>
      <c r="BL868" s="58"/>
      <c r="BM868" s="58"/>
      <c r="BN868" s="63"/>
      <c r="BO868" s="58"/>
      <c r="BP868" s="90" t="s">
        <v>406</v>
      </c>
      <c r="BQ868" s="64"/>
    </row>
    <row r="869">
      <c r="A869" s="70">
        <v>4.0</v>
      </c>
      <c r="B869" s="71" t="s">
        <v>1463</v>
      </c>
      <c r="C869" s="71" t="s">
        <v>127</v>
      </c>
      <c r="D869" s="56"/>
      <c r="E869" s="56"/>
      <c r="F869" s="56"/>
      <c r="G869" s="56"/>
      <c r="H869" s="56"/>
      <c r="I869" s="58" t="str">
        <f t="shared" si="6"/>
        <v>5412104</v>
      </c>
      <c r="J869" s="58"/>
      <c r="K869" s="58"/>
      <c r="L869" s="59" t="s">
        <v>1476</v>
      </c>
      <c r="M869" s="60">
        <v>1.0</v>
      </c>
      <c r="N869" s="72" t="s">
        <v>1473</v>
      </c>
      <c r="O869" s="73" t="s">
        <v>1477</v>
      </c>
      <c r="P869" s="58"/>
      <c r="Q869" s="58"/>
      <c r="R869" s="58"/>
      <c r="S869" s="58"/>
      <c r="T869" s="58"/>
      <c r="U869" s="72">
        <v>1.0</v>
      </c>
      <c r="V869" s="58"/>
      <c r="W869" s="72" t="s">
        <v>78</v>
      </c>
      <c r="X869" s="58"/>
      <c r="Y869" s="58"/>
      <c r="Z869" s="58"/>
      <c r="AA869" s="62" t="s">
        <v>79</v>
      </c>
      <c r="AB869" s="58"/>
      <c r="AC869" s="58"/>
      <c r="AD869" s="58"/>
      <c r="AE869" s="58"/>
      <c r="AF869" s="58"/>
      <c r="AG869" s="58"/>
      <c r="AH869" s="58"/>
      <c r="AI869" s="58"/>
      <c r="AJ869" s="58"/>
      <c r="AK869" s="58"/>
      <c r="AL869" s="58"/>
      <c r="AM869" s="58"/>
      <c r="AN869" s="58"/>
      <c r="AO869" s="58"/>
      <c r="AP869" s="72" t="s">
        <v>1478</v>
      </c>
      <c r="AQ869" s="58"/>
      <c r="AR869" s="72">
        <v>983.0</v>
      </c>
      <c r="AS869" s="72">
        <v>390.0</v>
      </c>
      <c r="AT869" s="72">
        <v>358.0</v>
      </c>
      <c r="AU869" s="58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90" t="s">
        <v>1442</v>
      </c>
      <c r="BI869" s="58"/>
      <c r="BJ869" s="90" t="s">
        <v>1443</v>
      </c>
      <c r="BK869" s="72" t="s">
        <v>1477</v>
      </c>
      <c r="BL869" s="58"/>
      <c r="BM869" s="58"/>
      <c r="BN869" s="63"/>
      <c r="BO869" s="58"/>
      <c r="BP869" s="90" t="s">
        <v>406</v>
      </c>
      <c r="BQ869" s="64"/>
    </row>
    <row r="870">
      <c r="A870" s="124">
        <v>4.0</v>
      </c>
      <c r="B870" s="71" t="s">
        <v>1463</v>
      </c>
      <c r="C870" s="126" t="s">
        <v>91</v>
      </c>
      <c r="D870" s="79"/>
      <c r="E870" s="79"/>
      <c r="F870" s="79"/>
      <c r="G870" s="79"/>
      <c r="H870" s="79"/>
      <c r="I870" s="81" t="str">
        <f t="shared" si="6"/>
        <v>5412105</v>
      </c>
      <c r="J870" s="79"/>
      <c r="K870" s="79"/>
      <c r="L870" s="80" t="s">
        <v>1479</v>
      </c>
      <c r="M870" s="84">
        <v>2.0</v>
      </c>
      <c r="N870" s="81"/>
      <c r="O870" s="81"/>
      <c r="P870" s="81"/>
      <c r="Q870" s="81"/>
      <c r="R870" s="81"/>
      <c r="S870" s="81"/>
      <c r="T870" s="81"/>
      <c r="U870" s="123">
        <v>1.0</v>
      </c>
      <c r="V870" s="81"/>
      <c r="W870" s="81"/>
      <c r="X870" s="81"/>
      <c r="Y870" s="81"/>
      <c r="Z870" s="81"/>
      <c r="AA870" s="79"/>
      <c r="AB870" s="79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132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79"/>
      <c r="BM870" s="81"/>
      <c r="BN870" s="81"/>
      <c r="BO870" s="83"/>
      <c r="BP870" s="58"/>
      <c r="BQ870" s="64"/>
    </row>
    <row r="871">
      <c r="A871" s="124">
        <v>4.0</v>
      </c>
      <c r="B871" s="71" t="s">
        <v>1463</v>
      </c>
      <c r="C871" s="126" t="s">
        <v>133</v>
      </c>
      <c r="D871" s="79"/>
      <c r="E871" s="79"/>
      <c r="F871" s="79"/>
      <c r="G871" s="79"/>
      <c r="H871" s="79"/>
      <c r="I871" s="81" t="str">
        <f t="shared" si="6"/>
        <v>5412106</v>
      </c>
      <c r="J871" s="79"/>
      <c r="K871" s="79"/>
      <c r="L871" s="80" t="s">
        <v>1480</v>
      </c>
      <c r="M871" s="84">
        <v>2.0</v>
      </c>
      <c r="N871" s="81"/>
      <c r="O871" s="81"/>
      <c r="P871" s="81"/>
      <c r="Q871" s="81"/>
      <c r="R871" s="81"/>
      <c r="S871" s="81"/>
      <c r="T871" s="81"/>
      <c r="U871" s="123">
        <v>1.0</v>
      </c>
      <c r="V871" s="81"/>
      <c r="W871" s="81"/>
      <c r="X871" s="81"/>
      <c r="Y871" s="81"/>
      <c r="Z871" s="81"/>
      <c r="AA871" s="79"/>
      <c r="AB871" s="79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132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79"/>
      <c r="BM871" s="81"/>
      <c r="BN871" s="81"/>
      <c r="BO871" s="83"/>
      <c r="BP871" s="58"/>
      <c r="BQ871" s="64"/>
    </row>
    <row r="872">
      <c r="A872" s="45">
        <v>3.0</v>
      </c>
      <c r="B872" s="46" t="s">
        <v>1481</v>
      </c>
      <c r="C872" s="47"/>
      <c r="D872" s="47"/>
      <c r="E872" s="47"/>
      <c r="F872" s="47"/>
      <c r="G872" s="47"/>
      <c r="H872" s="47"/>
      <c r="I872" s="48" t="str">
        <f t="shared" si="6"/>
        <v>54122</v>
      </c>
      <c r="J872" s="49"/>
      <c r="K872" s="49"/>
      <c r="L872" s="48" t="s">
        <v>1482</v>
      </c>
      <c r="M872" s="50">
        <v>1.0</v>
      </c>
      <c r="N872" s="51"/>
      <c r="O872" s="47"/>
      <c r="P872" s="51"/>
      <c r="Q872" s="51"/>
      <c r="R872" s="51"/>
      <c r="S872" s="51"/>
      <c r="T872" s="49"/>
      <c r="U872" s="52">
        <v>1.0</v>
      </c>
      <c r="V872" s="49"/>
      <c r="W872" s="52" t="s">
        <v>70</v>
      </c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51"/>
      <c r="AQ872" s="51"/>
      <c r="AR872" s="51"/>
      <c r="AS872" s="51"/>
      <c r="AT872" s="51"/>
      <c r="AU872" s="51"/>
      <c r="AV872" s="49"/>
      <c r="AW872" s="49"/>
      <c r="AX872" s="49"/>
      <c r="AY872" s="49"/>
      <c r="AZ872" s="49"/>
      <c r="BA872" s="49"/>
      <c r="BB872" s="49"/>
      <c r="BC872" s="49"/>
      <c r="BD872" s="49"/>
      <c r="BE872" s="49"/>
      <c r="BF872" s="49"/>
      <c r="BG872" s="49"/>
      <c r="BH872" s="51"/>
      <c r="BI872" s="51"/>
      <c r="BJ872" s="51"/>
      <c r="BK872" s="51"/>
      <c r="BL872" s="51"/>
      <c r="BM872" s="49"/>
      <c r="BN872" s="53"/>
      <c r="BO872" s="49"/>
      <c r="BP872" s="51"/>
      <c r="BQ872" s="10"/>
    </row>
    <row r="873">
      <c r="A873" s="1">
        <v>4.0</v>
      </c>
      <c r="B873" s="2" t="s">
        <v>1481</v>
      </c>
      <c r="C873" s="2" t="s">
        <v>76</v>
      </c>
      <c r="D873" s="93"/>
      <c r="E873" s="93"/>
      <c r="F873" s="93"/>
      <c r="G873" s="93"/>
      <c r="H873" s="93"/>
      <c r="I873" s="3" t="str">
        <f t="shared" si="6"/>
        <v>5412201</v>
      </c>
      <c r="J873" s="3"/>
      <c r="K873" s="3"/>
      <c r="L873" s="94" t="s">
        <v>1483</v>
      </c>
      <c r="M873" s="4">
        <v>1.0</v>
      </c>
      <c r="N873" s="3"/>
      <c r="O873" s="95" t="s">
        <v>1484</v>
      </c>
      <c r="P873" s="3"/>
      <c r="Q873" s="3"/>
      <c r="R873" s="3"/>
      <c r="S873" s="3"/>
      <c r="T873" s="3"/>
      <c r="U873" s="6">
        <v>1.0</v>
      </c>
      <c r="V873" s="3"/>
      <c r="W873" s="6" t="s">
        <v>78</v>
      </c>
      <c r="X873" s="3"/>
      <c r="Y873" s="3"/>
      <c r="Z873" s="3"/>
      <c r="AA873" s="96" t="s">
        <v>79</v>
      </c>
      <c r="AB873" s="96" t="s">
        <v>79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6" t="s">
        <v>80</v>
      </c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8" t="s">
        <v>1442</v>
      </c>
      <c r="BI873" s="3"/>
      <c r="BJ873" s="8" t="s">
        <v>1443</v>
      </c>
      <c r="BK873" s="6" t="s">
        <v>1484</v>
      </c>
      <c r="BL873" s="3"/>
      <c r="BM873" s="3"/>
      <c r="BN873" s="97"/>
      <c r="BO873" s="3"/>
      <c r="BP873" s="3"/>
      <c r="BQ873" s="10"/>
    </row>
    <row r="874">
      <c r="A874" s="45">
        <v>3.0</v>
      </c>
      <c r="B874" s="46" t="s">
        <v>1485</v>
      </c>
      <c r="C874" s="47"/>
      <c r="D874" s="47"/>
      <c r="E874" s="47"/>
      <c r="F874" s="47"/>
      <c r="G874" s="47"/>
      <c r="H874" s="47"/>
      <c r="I874" s="48" t="str">
        <f t="shared" si="6"/>
        <v>54123</v>
      </c>
      <c r="J874" s="49"/>
      <c r="K874" s="49"/>
      <c r="L874" s="48" t="s">
        <v>1486</v>
      </c>
      <c r="M874" s="50">
        <v>1.0</v>
      </c>
      <c r="N874" s="51"/>
      <c r="O874" s="47"/>
      <c r="P874" s="51"/>
      <c r="Q874" s="51"/>
      <c r="R874" s="51"/>
      <c r="S874" s="51"/>
      <c r="T874" s="49"/>
      <c r="U874" s="52">
        <v>1.0</v>
      </c>
      <c r="V874" s="49"/>
      <c r="W874" s="52" t="s">
        <v>70</v>
      </c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51"/>
      <c r="AQ874" s="51"/>
      <c r="AR874" s="51"/>
      <c r="AS874" s="51"/>
      <c r="AT874" s="51"/>
      <c r="AU874" s="51"/>
      <c r="AV874" s="49"/>
      <c r="AW874" s="49"/>
      <c r="AX874" s="49"/>
      <c r="AY874" s="49"/>
      <c r="AZ874" s="49"/>
      <c r="BA874" s="49"/>
      <c r="BB874" s="49"/>
      <c r="BC874" s="49"/>
      <c r="BD874" s="49"/>
      <c r="BE874" s="49"/>
      <c r="BF874" s="49"/>
      <c r="BG874" s="49"/>
      <c r="BH874" s="51"/>
      <c r="BI874" s="51"/>
      <c r="BJ874" s="51"/>
      <c r="BK874" s="51"/>
      <c r="BL874" s="51"/>
      <c r="BM874" s="49"/>
      <c r="BN874" s="53"/>
      <c r="BO874" s="49"/>
      <c r="BP874" s="51"/>
      <c r="BQ874" s="10"/>
    </row>
    <row r="875">
      <c r="A875" s="70">
        <v>4.0</v>
      </c>
      <c r="B875" s="71" t="s">
        <v>1485</v>
      </c>
      <c r="C875" s="71" t="s">
        <v>76</v>
      </c>
      <c r="D875" s="56"/>
      <c r="E875" s="56"/>
      <c r="F875" s="56"/>
      <c r="G875" s="56"/>
      <c r="H875" s="56"/>
      <c r="I875" s="57" t="str">
        <f t="shared" si="6"/>
        <v>5412301</v>
      </c>
      <c r="J875" s="58"/>
      <c r="K875" s="58"/>
      <c r="L875" s="59" t="s">
        <v>1487</v>
      </c>
      <c r="M875" s="133">
        <v>1.0</v>
      </c>
      <c r="N875" s="58"/>
      <c r="O875" s="56"/>
      <c r="P875" s="58"/>
      <c r="Q875" s="58"/>
      <c r="R875" s="58"/>
      <c r="S875" s="58"/>
      <c r="T875" s="58"/>
      <c r="U875" s="117">
        <v>1.0</v>
      </c>
      <c r="V875" s="58"/>
      <c r="W875" s="117" t="s">
        <v>78</v>
      </c>
      <c r="X875" s="58"/>
      <c r="Y875" s="58"/>
      <c r="Z875" s="58"/>
      <c r="AA875" s="58"/>
      <c r="AB875" s="58"/>
      <c r="AC875" s="58"/>
      <c r="AD875" s="58"/>
      <c r="AE875" s="58"/>
      <c r="AF875" s="58"/>
      <c r="AG875" s="58"/>
      <c r="AH875" s="58"/>
      <c r="AI875" s="58"/>
      <c r="AJ875" s="58"/>
      <c r="AK875" s="58"/>
      <c r="AL875" s="58"/>
      <c r="AM875" s="58"/>
      <c r="AN875" s="58"/>
      <c r="AO875" s="58"/>
      <c r="AP875" s="58"/>
      <c r="AQ875" s="58"/>
      <c r="AR875" s="58"/>
      <c r="AS875" s="58"/>
      <c r="AT875" s="58"/>
      <c r="AU875" s="58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116" t="s">
        <v>338</v>
      </c>
      <c r="BK875" s="117">
        <v>62.0</v>
      </c>
      <c r="BL875" s="58"/>
      <c r="BM875" s="58"/>
      <c r="BN875" s="63"/>
      <c r="BO875" s="58"/>
      <c r="BP875" s="58"/>
      <c r="BQ875" s="64"/>
    </row>
    <row r="876">
      <c r="A876" s="124">
        <v>5.0</v>
      </c>
      <c r="B876" s="126" t="s">
        <v>1485</v>
      </c>
      <c r="C876" s="126" t="s">
        <v>76</v>
      </c>
      <c r="D876" s="126" t="s">
        <v>76</v>
      </c>
      <c r="E876" s="79"/>
      <c r="F876" s="79"/>
      <c r="G876" s="79"/>
      <c r="H876" s="79"/>
      <c r="I876" s="81" t="str">
        <f t="shared" si="6"/>
        <v>541230101</v>
      </c>
      <c r="J876" s="79"/>
      <c r="K876" s="79"/>
      <c r="L876" s="80" t="s">
        <v>1488</v>
      </c>
      <c r="M876" s="84">
        <v>1.0</v>
      </c>
      <c r="N876" s="123" t="s">
        <v>1489</v>
      </c>
      <c r="O876" s="122" t="s">
        <v>1490</v>
      </c>
      <c r="P876" s="123" t="s">
        <v>1491</v>
      </c>
      <c r="Q876" s="121" t="s">
        <v>1391</v>
      </c>
      <c r="R876" s="81"/>
      <c r="S876" s="81"/>
      <c r="T876" s="81"/>
      <c r="U876" s="123">
        <v>1.0</v>
      </c>
      <c r="V876" s="81"/>
      <c r="W876" s="123" t="s">
        <v>78</v>
      </c>
      <c r="X876" s="81"/>
      <c r="Y876" s="81"/>
      <c r="Z876" s="81"/>
      <c r="AA876" s="134" t="s">
        <v>79</v>
      </c>
      <c r="AB876" s="134" t="s">
        <v>79</v>
      </c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117" t="s">
        <v>1492</v>
      </c>
      <c r="AQ876" s="117">
        <v>65.0</v>
      </c>
      <c r="AR876" s="117">
        <v>496.0</v>
      </c>
      <c r="AS876" s="117">
        <v>281.0</v>
      </c>
      <c r="AT876" s="117">
        <v>750.0</v>
      </c>
      <c r="AU876" s="117">
        <f t="shared" ref="AU876:AU878" si="15">AR876*AS876*AT876/(10^9)</f>
        <v>0.104532</v>
      </c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135">
        <f>900/3600</f>
        <v>0.25</v>
      </c>
      <c r="BG876" s="81"/>
      <c r="BH876" s="58" t="s">
        <v>338</v>
      </c>
      <c r="BI876" s="58"/>
      <c r="BJ876" s="116" t="s">
        <v>339</v>
      </c>
      <c r="BK876" s="136" t="s">
        <v>1490</v>
      </c>
      <c r="BL876" s="79"/>
      <c r="BM876" s="81"/>
      <c r="BN876" s="81"/>
      <c r="BO876" s="83"/>
      <c r="BP876" s="58"/>
      <c r="BQ876" s="64"/>
    </row>
    <row r="877">
      <c r="A877" s="70">
        <v>5.0</v>
      </c>
      <c r="B877" s="71" t="s">
        <v>1485</v>
      </c>
      <c r="C877" s="71" t="s">
        <v>76</v>
      </c>
      <c r="D877" s="55" t="s">
        <v>119</v>
      </c>
      <c r="E877" s="56"/>
      <c r="F877" s="56"/>
      <c r="G877" s="56"/>
      <c r="H877" s="56"/>
      <c r="I877" s="57" t="str">
        <f t="shared" si="6"/>
        <v>541230102</v>
      </c>
      <c r="J877" s="58"/>
      <c r="K877" s="58"/>
      <c r="L877" s="59" t="s">
        <v>1493</v>
      </c>
      <c r="M877" s="133">
        <v>1.0</v>
      </c>
      <c r="N877" s="117" t="s">
        <v>1494</v>
      </c>
      <c r="O877" s="73" t="s">
        <v>1495</v>
      </c>
      <c r="P877" s="117" t="s">
        <v>1496</v>
      </c>
      <c r="Q877" s="116" t="s">
        <v>1391</v>
      </c>
      <c r="R877" s="58"/>
      <c r="S877" s="116" t="s">
        <v>1497</v>
      </c>
      <c r="T877" s="58"/>
      <c r="U877" s="117">
        <v>1.0</v>
      </c>
      <c r="V877" s="58"/>
      <c r="W877" s="117" t="s">
        <v>78</v>
      </c>
      <c r="X877" s="58"/>
      <c r="Y877" s="58"/>
      <c r="Z877" s="58"/>
      <c r="AA877" s="62" t="s">
        <v>79</v>
      </c>
      <c r="AB877" s="62" t="s">
        <v>79</v>
      </c>
      <c r="AC877" s="58"/>
      <c r="AD877" s="58"/>
      <c r="AE877" s="58"/>
      <c r="AF877" s="58"/>
      <c r="AG877" s="58"/>
      <c r="AH877" s="58"/>
      <c r="AI877" s="58"/>
      <c r="AJ877" s="58"/>
      <c r="AK877" s="58"/>
      <c r="AL877" s="58"/>
      <c r="AM877" s="58"/>
      <c r="AN877" s="58"/>
      <c r="AO877" s="58"/>
      <c r="AP877" s="117" t="s">
        <v>1498</v>
      </c>
      <c r="AQ877" s="117">
        <v>17.0</v>
      </c>
      <c r="AR877" s="117">
        <v>490.0</v>
      </c>
      <c r="AS877" s="117">
        <v>210.0</v>
      </c>
      <c r="AT877" s="117">
        <v>249.0</v>
      </c>
      <c r="AU877" s="117">
        <f t="shared" si="15"/>
        <v>0.0256221</v>
      </c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 t="s">
        <v>338</v>
      </c>
      <c r="BI877" s="58"/>
      <c r="BJ877" s="116" t="s">
        <v>339</v>
      </c>
      <c r="BK877" s="137" t="s">
        <v>1495</v>
      </c>
      <c r="BL877" s="58"/>
      <c r="BM877" s="58"/>
      <c r="BN877" s="63"/>
      <c r="BO877" s="58"/>
      <c r="BP877" s="58"/>
      <c r="BQ877" s="64"/>
    </row>
    <row r="878">
      <c r="A878" s="70">
        <v>5.0</v>
      </c>
      <c r="B878" s="71" t="s">
        <v>1485</v>
      </c>
      <c r="C878" s="71" t="s">
        <v>76</v>
      </c>
      <c r="D878" s="55" t="s">
        <v>124</v>
      </c>
      <c r="E878" s="56"/>
      <c r="F878" s="56"/>
      <c r="G878" s="56"/>
      <c r="H878" s="56"/>
      <c r="I878" s="57" t="str">
        <f t="shared" si="6"/>
        <v>541230103</v>
      </c>
      <c r="J878" s="58"/>
      <c r="K878" s="58"/>
      <c r="L878" s="59" t="s">
        <v>1499</v>
      </c>
      <c r="M878" s="133">
        <v>1.0</v>
      </c>
      <c r="N878" s="58"/>
      <c r="O878" s="73" t="s">
        <v>1500</v>
      </c>
      <c r="P878" s="117" t="s">
        <v>1501</v>
      </c>
      <c r="Q878" s="116" t="s">
        <v>1391</v>
      </c>
      <c r="R878" s="58"/>
      <c r="S878" s="116" t="s">
        <v>1502</v>
      </c>
      <c r="T878" s="58"/>
      <c r="U878" s="117">
        <v>1.0</v>
      </c>
      <c r="V878" s="58"/>
      <c r="W878" s="117" t="s">
        <v>78</v>
      </c>
      <c r="X878" s="58"/>
      <c r="Y878" s="58"/>
      <c r="Z878" s="58"/>
      <c r="AA878" s="62" t="s">
        <v>79</v>
      </c>
      <c r="AB878" s="62" t="s">
        <v>79</v>
      </c>
      <c r="AC878" s="58"/>
      <c r="AD878" s="58"/>
      <c r="AE878" s="58"/>
      <c r="AF878" s="58"/>
      <c r="AG878" s="58"/>
      <c r="AH878" s="58"/>
      <c r="AI878" s="58"/>
      <c r="AJ878" s="58"/>
      <c r="AK878" s="58"/>
      <c r="AL878" s="58"/>
      <c r="AM878" s="58"/>
      <c r="AN878" s="58"/>
      <c r="AO878" s="58"/>
      <c r="AP878" s="117" t="s">
        <v>80</v>
      </c>
      <c r="AQ878" s="117">
        <v>0.47</v>
      </c>
      <c r="AR878" s="117">
        <v>90.0</v>
      </c>
      <c r="AS878" s="117">
        <v>25.5</v>
      </c>
      <c r="AT878" s="117" t="str">
        <f>56+25,5/2</f>
        <v>#ERROR!</v>
      </c>
      <c r="AU878" s="117" t="str">
        <f t="shared" si="15"/>
        <v>#ERROR!</v>
      </c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70" t="s">
        <v>1503</v>
      </c>
      <c r="BH878" s="58" t="s">
        <v>338</v>
      </c>
      <c r="BI878" s="58"/>
      <c r="BJ878" s="116" t="s">
        <v>339</v>
      </c>
      <c r="BK878" s="137" t="s">
        <v>1500</v>
      </c>
      <c r="BL878" s="58"/>
      <c r="BM878" s="58"/>
      <c r="BN878" s="63"/>
      <c r="BO878" s="58"/>
      <c r="BP878" s="58"/>
      <c r="BQ878" s="64"/>
    </row>
    <row r="879">
      <c r="A879" s="70">
        <v>5.0</v>
      </c>
      <c r="B879" s="71" t="s">
        <v>1485</v>
      </c>
      <c r="C879" s="71" t="s">
        <v>76</v>
      </c>
      <c r="D879" s="55" t="s">
        <v>127</v>
      </c>
      <c r="E879" s="56"/>
      <c r="F879" s="56"/>
      <c r="G879" s="56"/>
      <c r="H879" s="56"/>
      <c r="I879" s="57" t="str">
        <f t="shared" si="6"/>
        <v>541230104</v>
      </c>
      <c r="J879" s="58"/>
      <c r="K879" s="58"/>
      <c r="L879" s="59" t="s">
        <v>1504</v>
      </c>
      <c r="M879" s="133">
        <v>2.0</v>
      </c>
      <c r="N879" s="117" t="s">
        <v>1505</v>
      </c>
      <c r="O879" s="56"/>
      <c r="P879" s="117" t="s">
        <v>1506</v>
      </c>
      <c r="Q879" s="116" t="s">
        <v>1391</v>
      </c>
      <c r="R879" s="58"/>
      <c r="S879" s="116" t="s">
        <v>1502</v>
      </c>
      <c r="T879" s="58"/>
      <c r="U879" s="117">
        <v>1.0</v>
      </c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  <c r="AG879" s="58"/>
      <c r="AH879" s="58"/>
      <c r="AI879" s="58"/>
      <c r="AJ879" s="58"/>
      <c r="AK879" s="58"/>
      <c r="AL879" s="58"/>
      <c r="AM879" s="58"/>
      <c r="AN879" s="58"/>
      <c r="AO879" s="58"/>
      <c r="AP879" s="58"/>
      <c r="AQ879" s="58"/>
      <c r="AR879" s="58"/>
      <c r="AS879" s="58"/>
      <c r="AT879" s="58"/>
      <c r="AU879" s="58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 t="s">
        <v>1507</v>
      </c>
      <c r="BI879" s="70">
        <v>191.0</v>
      </c>
      <c r="BJ879" s="116" t="s">
        <v>1508</v>
      </c>
      <c r="BK879" s="117" t="s">
        <v>1509</v>
      </c>
      <c r="BL879" s="58"/>
      <c r="BM879" s="58"/>
      <c r="BN879" s="63"/>
      <c r="BO879" s="58"/>
      <c r="BP879" s="58"/>
      <c r="BQ879" s="64"/>
    </row>
    <row r="880">
      <c r="A880" s="70">
        <v>5.0</v>
      </c>
      <c r="B880" s="71" t="s">
        <v>1485</v>
      </c>
      <c r="C880" s="71" t="s">
        <v>76</v>
      </c>
      <c r="D880" s="55" t="s">
        <v>91</v>
      </c>
      <c r="E880" s="56"/>
      <c r="F880" s="56"/>
      <c r="G880" s="56"/>
      <c r="H880" s="56"/>
      <c r="I880" s="57" t="str">
        <f t="shared" si="6"/>
        <v>541230105</v>
      </c>
      <c r="J880" s="58"/>
      <c r="K880" s="58"/>
      <c r="L880" s="59" t="s">
        <v>1510</v>
      </c>
      <c r="M880" s="133">
        <v>2.0</v>
      </c>
      <c r="N880" s="58"/>
      <c r="O880" s="56"/>
      <c r="P880" s="117" t="s">
        <v>1511</v>
      </c>
      <c r="Q880" s="116" t="s">
        <v>1391</v>
      </c>
      <c r="R880" s="58"/>
      <c r="S880" s="58"/>
      <c r="T880" s="58"/>
      <c r="U880" s="117">
        <v>1.0</v>
      </c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 t="s">
        <v>1507</v>
      </c>
      <c r="BI880" s="70">
        <v>367.0</v>
      </c>
      <c r="BJ880" s="116" t="s">
        <v>1511</v>
      </c>
      <c r="BK880" s="118" t="s">
        <v>1512</v>
      </c>
      <c r="BL880" s="58"/>
      <c r="BM880" s="58"/>
      <c r="BN880" s="63"/>
      <c r="BO880" s="58"/>
      <c r="BP880" s="58"/>
      <c r="BQ880" s="64"/>
    </row>
    <row r="881">
      <c r="A881" s="124">
        <v>5.0</v>
      </c>
      <c r="B881" s="126" t="s">
        <v>1485</v>
      </c>
      <c r="C881" s="126" t="s">
        <v>76</v>
      </c>
      <c r="D881" s="126" t="s">
        <v>133</v>
      </c>
      <c r="E881" s="79"/>
      <c r="F881" s="79"/>
      <c r="G881" s="79"/>
      <c r="H881" s="79"/>
      <c r="I881" s="81" t="str">
        <f t="shared" si="6"/>
        <v>541230106</v>
      </c>
      <c r="J881" s="79"/>
      <c r="K881" s="79"/>
      <c r="L881" s="80" t="s">
        <v>1513</v>
      </c>
      <c r="M881" s="84">
        <v>2.0</v>
      </c>
      <c r="N881" s="81"/>
      <c r="O881" s="81"/>
      <c r="P881" s="123" t="s">
        <v>1514</v>
      </c>
      <c r="Q881" s="121" t="s">
        <v>1391</v>
      </c>
      <c r="R881" s="81"/>
      <c r="S881" s="81"/>
      <c r="T881" s="81"/>
      <c r="U881" s="123">
        <v>1.0</v>
      </c>
      <c r="V881" s="81"/>
      <c r="W881" s="81"/>
      <c r="X881" s="81"/>
      <c r="Y881" s="81"/>
      <c r="Z881" s="81"/>
      <c r="AA881" s="79"/>
      <c r="AB881" s="79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132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121" t="s">
        <v>1507</v>
      </c>
      <c r="BI881" s="123">
        <v>610.0</v>
      </c>
      <c r="BJ881" s="81"/>
      <c r="BK881" s="123">
        <v>9902.0</v>
      </c>
      <c r="BL881" s="79"/>
      <c r="BM881" s="81"/>
      <c r="BN881" s="81"/>
      <c r="BO881" s="83"/>
      <c r="BP881" s="58"/>
      <c r="BQ881" s="64"/>
    </row>
    <row r="882">
      <c r="A882" s="117">
        <v>4.0</v>
      </c>
      <c r="B882" s="118" t="s">
        <v>1485</v>
      </c>
      <c r="C882" s="118" t="s">
        <v>119</v>
      </c>
      <c r="D882" s="56"/>
      <c r="E882" s="56"/>
      <c r="F882" s="56"/>
      <c r="G882" s="56"/>
      <c r="H882" s="56"/>
      <c r="I882" s="59" t="str">
        <f t="shared" si="6"/>
        <v>5412302</v>
      </c>
      <c r="J882" s="58"/>
      <c r="K882" s="58"/>
      <c r="L882" s="59" t="s">
        <v>1515</v>
      </c>
      <c r="M882" s="138">
        <v>1.0</v>
      </c>
      <c r="N882" s="117" t="s">
        <v>1516</v>
      </c>
      <c r="O882" s="73" t="s">
        <v>1517</v>
      </c>
      <c r="P882" s="117" t="s">
        <v>1518</v>
      </c>
      <c r="Q882" s="58"/>
      <c r="R882" s="58"/>
      <c r="S882" s="58"/>
      <c r="T882" s="58"/>
      <c r="U882" s="117">
        <v>1.0</v>
      </c>
      <c r="V882" s="58"/>
      <c r="W882" s="117" t="s">
        <v>78</v>
      </c>
      <c r="X882" s="58"/>
      <c r="Y882" s="58"/>
      <c r="Z882" s="58"/>
      <c r="AA882" s="62" t="s">
        <v>79</v>
      </c>
      <c r="AB882" s="62" t="s">
        <v>79</v>
      </c>
      <c r="AC882" s="58"/>
      <c r="AD882" s="58"/>
      <c r="AE882" s="58"/>
      <c r="AF882" s="58"/>
      <c r="AG882" s="58"/>
      <c r="AH882" s="58"/>
      <c r="AI882" s="58"/>
      <c r="AJ882" s="58"/>
      <c r="AK882" s="58"/>
      <c r="AL882" s="58"/>
      <c r="AM882" s="58"/>
      <c r="AN882" s="58"/>
      <c r="AO882" s="58"/>
      <c r="AP882" s="117" t="s">
        <v>1519</v>
      </c>
      <c r="AQ882" s="117">
        <v>78.0</v>
      </c>
      <c r="AR882" s="117">
        <v>775.0</v>
      </c>
      <c r="AS882" s="117">
        <v>435.0</v>
      </c>
      <c r="AT882" s="117">
        <v>635.0</v>
      </c>
      <c r="AU882" s="58"/>
      <c r="AV882" s="116" t="s">
        <v>1520</v>
      </c>
      <c r="AW882" s="58"/>
      <c r="AX882" s="58"/>
      <c r="AY882" s="58"/>
      <c r="AZ882" s="58"/>
      <c r="BA882" s="58"/>
      <c r="BB882" s="58"/>
      <c r="BC882" s="58"/>
      <c r="BD882" s="58"/>
      <c r="BE882" s="58"/>
      <c r="BF882" s="116" t="s">
        <v>1521</v>
      </c>
      <c r="BG882" s="139">
        <v>1.0</v>
      </c>
      <c r="BH882" s="59" t="s">
        <v>338</v>
      </c>
      <c r="BI882" s="58"/>
      <c r="BJ882" s="116" t="s">
        <v>339</v>
      </c>
      <c r="BK882" s="137" t="s">
        <v>1517</v>
      </c>
      <c r="BL882" s="58"/>
      <c r="BM882" s="58"/>
      <c r="BN882" s="63"/>
      <c r="BO882" s="58"/>
      <c r="BP882" s="58"/>
      <c r="BQ882" s="64"/>
    </row>
    <row r="883">
      <c r="A883" s="1">
        <v>5.0</v>
      </c>
      <c r="B883" s="2" t="s">
        <v>1485</v>
      </c>
      <c r="C883" s="2" t="s">
        <v>124</v>
      </c>
      <c r="D883" s="93"/>
      <c r="E883" s="93"/>
      <c r="F883" s="93"/>
      <c r="G883" s="93"/>
      <c r="H883" s="93"/>
      <c r="I883" s="140" t="str">
        <f t="shared" si="6"/>
        <v>5412303</v>
      </c>
      <c r="J883" s="3"/>
      <c r="K883" s="3"/>
      <c r="L883" s="94" t="s">
        <v>1522</v>
      </c>
      <c r="M883" s="141">
        <v>1.0</v>
      </c>
      <c r="N883" s="112" t="s">
        <v>1523</v>
      </c>
      <c r="O883" s="95" t="s">
        <v>1524</v>
      </c>
      <c r="P883" s="3"/>
      <c r="Q883" s="3"/>
      <c r="R883" s="3"/>
      <c r="S883" s="3"/>
      <c r="T883" s="3"/>
      <c r="U883" s="112">
        <v>1.0</v>
      </c>
      <c r="V883" s="3"/>
      <c r="W883" s="112" t="s">
        <v>78</v>
      </c>
      <c r="X883" s="3"/>
      <c r="Y883" s="3"/>
      <c r="Z883" s="3"/>
      <c r="AA883" s="96" t="s">
        <v>79</v>
      </c>
      <c r="AB883" s="96" t="s">
        <v>79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112" t="s">
        <v>1525</v>
      </c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 t="s">
        <v>338</v>
      </c>
      <c r="BI883" s="3"/>
      <c r="BJ883" s="111" t="s">
        <v>339</v>
      </c>
      <c r="BK883" s="142" t="s">
        <v>1524</v>
      </c>
      <c r="BL883" s="3"/>
      <c r="BM883" s="3"/>
      <c r="BN883" s="97"/>
      <c r="BO883" s="3"/>
      <c r="BP883" s="3"/>
      <c r="BQ883" s="10"/>
    </row>
    <row r="884">
      <c r="A884" s="20">
        <v>1.0</v>
      </c>
      <c r="B884" s="21" t="s">
        <v>1526</v>
      </c>
      <c r="C884" s="22"/>
      <c r="D884" s="22"/>
      <c r="E884" s="22"/>
      <c r="F884" s="22"/>
      <c r="G884" s="22"/>
      <c r="H884" s="22"/>
      <c r="I884" s="23" t="str">
        <f t="shared" si="6"/>
        <v>55000</v>
      </c>
      <c r="J884" s="24"/>
      <c r="K884" s="24"/>
      <c r="L884" s="23" t="s">
        <v>1527</v>
      </c>
      <c r="M884" s="25">
        <v>1.0</v>
      </c>
      <c r="N884" s="24"/>
      <c r="O884" s="22"/>
      <c r="P884" s="24"/>
      <c r="Q884" s="24"/>
      <c r="R884" s="24"/>
      <c r="S884" s="24"/>
      <c r="T884" s="24"/>
      <c r="U884" s="26">
        <v>1.0</v>
      </c>
      <c r="V884" s="24"/>
      <c r="W884" s="26" t="s">
        <v>70</v>
      </c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7"/>
      <c r="BO884" s="24"/>
      <c r="BP884" s="24"/>
      <c r="BQ884" s="10"/>
    </row>
    <row r="885">
      <c r="A885" s="28">
        <v>1.0</v>
      </c>
      <c r="B885" s="29" t="s">
        <v>1528</v>
      </c>
      <c r="C885" s="30"/>
      <c r="D885" s="30"/>
      <c r="E885" s="30"/>
      <c r="F885" s="30"/>
      <c r="G885" s="30"/>
      <c r="H885" s="30"/>
      <c r="I885" s="31" t="str">
        <f t="shared" si="6"/>
        <v>55100</v>
      </c>
      <c r="J885" s="32"/>
      <c r="K885" s="32"/>
      <c r="L885" s="31" t="s">
        <v>1529</v>
      </c>
      <c r="M885" s="33">
        <v>1.0</v>
      </c>
      <c r="N885" s="32"/>
      <c r="O885" s="30"/>
      <c r="P885" s="32"/>
      <c r="Q885" s="32"/>
      <c r="R885" s="32"/>
      <c r="S885" s="32"/>
      <c r="T885" s="32"/>
      <c r="U885" s="34">
        <v>1.0</v>
      </c>
      <c r="V885" s="32"/>
      <c r="W885" s="34" t="s">
        <v>70</v>
      </c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  <c r="BF885" s="32"/>
      <c r="BG885" s="32"/>
      <c r="BH885" s="32"/>
      <c r="BI885" s="32"/>
      <c r="BJ885" s="32"/>
      <c r="BK885" s="32"/>
      <c r="BL885" s="32"/>
      <c r="BM885" s="32"/>
      <c r="BN885" s="35"/>
      <c r="BO885" s="32"/>
      <c r="BP885" s="32"/>
      <c r="BQ885" s="10"/>
    </row>
    <row r="886">
      <c r="A886" s="36">
        <v>2.0</v>
      </c>
      <c r="B886" s="37" t="s">
        <v>1530</v>
      </c>
      <c r="C886" s="38"/>
      <c r="D886" s="38"/>
      <c r="E886" s="38"/>
      <c r="F886" s="38"/>
      <c r="G886" s="38"/>
      <c r="H886" s="38"/>
      <c r="I886" s="39" t="str">
        <f t="shared" si="6"/>
        <v>55120</v>
      </c>
      <c r="J886" s="40"/>
      <c r="K886" s="40"/>
      <c r="L886" s="39" t="s">
        <v>1531</v>
      </c>
      <c r="M886" s="41">
        <v>1.0</v>
      </c>
      <c r="N886" s="42"/>
      <c r="O886" s="38"/>
      <c r="P886" s="42"/>
      <c r="Q886" s="42"/>
      <c r="R886" s="42"/>
      <c r="S886" s="42"/>
      <c r="T886" s="40"/>
      <c r="U886" s="43">
        <v>1.0</v>
      </c>
      <c r="V886" s="40"/>
      <c r="W886" s="43" t="s">
        <v>70</v>
      </c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2"/>
      <c r="AQ886" s="42"/>
      <c r="AR886" s="42"/>
      <c r="AS886" s="42"/>
      <c r="AT886" s="42"/>
      <c r="AU886" s="42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2"/>
      <c r="BI886" s="42"/>
      <c r="BJ886" s="42"/>
      <c r="BK886" s="42"/>
      <c r="BL886" s="42"/>
      <c r="BM886" s="40"/>
      <c r="BN886" s="44"/>
      <c r="BO886" s="40"/>
      <c r="BP886" s="42"/>
      <c r="BQ886" s="10"/>
    </row>
    <row r="887">
      <c r="A887" s="45">
        <v>3.0</v>
      </c>
      <c r="B887" s="46" t="s">
        <v>1532</v>
      </c>
      <c r="C887" s="47"/>
      <c r="D887" s="47"/>
      <c r="E887" s="47"/>
      <c r="F887" s="47"/>
      <c r="G887" s="47"/>
      <c r="H887" s="47"/>
      <c r="I887" s="48" t="str">
        <f t="shared" si="6"/>
        <v>55121</v>
      </c>
      <c r="J887" s="49"/>
      <c r="K887" s="49"/>
      <c r="L887" s="48" t="s">
        <v>1533</v>
      </c>
      <c r="M887" s="50">
        <v>1.0</v>
      </c>
      <c r="N887" s="51"/>
      <c r="O887" s="47"/>
      <c r="P887" s="51"/>
      <c r="Q887" s="51"/>
      <c r="R887" s="51"/>
      <c r="S887" s="51"/>
      <c r="T887" s="49"/>
      <c r="U887" s="52">
        <v>1.0</v>
      </c>
      <c r="V887" s="49"/>
      <c r="W887" s="52" t="s">
        <v>70</v>
      </c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51"/>
      <c r="AQ887" s="51"/>
      <c r="AR887" s="51"/>
      <c r="AS887" s="51"/>
      <c r="AT887" s="51"/>
      <c r="AU887" s="51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100" t="s">
        <v>1534</v>
      </c>
      <c r="BI887" s="51"/>
      <c r="BJ887" s="100" t="s">
        <v>1535</v>
      </c>
      <c r="BK887" s="52" t="s">
        <v>1535</v>
      </c>
      <c r="BL887" s="51"/>
      <c r="BM887" s="49"/>
      <c r="BN887" s="53"/>
      <c r="BO887" s="49"/>
      <c r="BP887" s="51"/>
      <c r="BQ887" s="10"/>
    </row>
    <row r="888">
      <c r="A888" s="70">
        <v>4.0</v>
      </c>
      <c r="B888" s="71" t="s">
        <v>1532</v>
      </c>
      <c r="C888" s="71" t="s">
        <v>76</v>
      </c>
      <c r="D888" s="56"/>
      <c r="E888" s="56"/>
      <c r="F888" s="56"/>
      <c r="G888" s="56"/>
      <c r="H888" s="56"/>
      <c r="I888" s="57" t="str">
        <f t="shared" si="6"/>
        <v>5512101</v>
      </c>
      <c r="J888" s="58"/>
      <c r="K888" s="58"/>
      <c r="L888" s="59" t="s">
        <v>1536</v>
      </c>
      <c r="M888" s="133">
        <v>2.0</v>
      </c>
      <c r="N888" s="58"/>
      <c r="O888" s="56"/>
      <c r="P888" s="58"/>
      <c r="Q888" s="58"/>
      <c r="R888" s="58"/>
      <c r="S888" s="58"/>
      <c r="T888" s="58"/>
      <c r="U888" s="117">
        <v>1.0</v>
      </c>
      <c r="V888" s="58"/>
      <c r="W888" s="117" t="s">
        <v>304</v>
      </c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63"/>
      <c r="BO888" s="58"/>
      <c r="BP888" s="58"/>
      <c r="BQ888" s="64"/>
    </row>
    <row r="889">
      <c r="A889" s="70">
        <v>5.0</v>
      </c>
      <c r="B889" s="71" t="s">
        <v>1532</v>
      </c>
      <c r="C889" s="71" t="s">
        <v>76</v>
      </c>
      <c r="D889" s="55" t="s">
        <v>76</v>
      </c>
      <c r="E889" s="56"/>
      <c r="F889" s="56"/>
      <c r="G889" s="56"/>
      <c r="H889" s="56"/>
      <c r="I889" s="57" t="str">
        <f t="shared" si="6"/>
        <v>551210101</v>
      </c>
      <c r="J889" s="58"/>
      <c r="K889" s="58"/>
      <c r="L889" s="59" t="s">
        <v>1537</v>
      </c>
      <c r="M889" s="133">
        <v>1.0</v>
      </c>
      <c r="N889" s="117" t="s">
        <v>1538</v>
      </c>
      <c r="O889" s="118" t="s">
        <v>1539</v>
      </c>
      <c r="P889" s="58"/>
      <c r="Q889" s="116" t="s">
        <v>1540</v>
      </c>
      <c r="R889" s="58"/>
      <c r="S889" s="58"/>
      <c r="T889" s="58"/>
      <c r="U889" s="117">
        <v>1.0</v>
      </c>
      <c r="V889" s="58"/>
      <c r="W889" s="117" t="s">
        <v>78</v>
      </c>
      <c r="X889" s="58"/>
      <c r="Y889" s="58"/>
      <c r="Z889" s="58"/>
      <c r="AA889" s="62" t="s">
        <v>79</v>
      </c>
      <c r="AB889" s="62" t="s">
        <v>79</v>
      </c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117" t="s">
        <v>1541</v>
      </c>
      <c r="AQ889" s="117">
        <v>412.0</v>
      </c>
      <c r="AR889" s="117">
        <v>1180.0</v>
      </c>
      <c r="AS889" s="117">
        <v>890.0</v>
      </c>
      <c r="AT889" s="117">
        <v>800.0</v>
      </c>
      <c r="AU889" s="117">
        <v>0.84016</v>
      </c>
      <c r="AV889" s="117" t="s">
        <v>1542</v>
      </c>
      <c r="AW889" s="58"/>
      <c r="AX889" s="58"/>
      <c r="AY889" s="58"/>
      <c r="AZ889" s="58"/>
      <c r="BA889" s="58"/>
      <c r="BB889" s="117" t="s">
        <v>1543</v>
      </c>
      <c r="BC889" s="117" t="s">
        <v>1544</v>
      </c>
      <c r="BD889" s="58"/>
      <c r="BE889" s="58"/>
      <c r="BF889" s="117">
        <v>19.4</v>
      </c>
      <c r="BG889" s="117">
        <v>31.0</v>
      </c>
      <c r="BH889" s="116" t="s">
        <v>1534</v>
      </c>
      <c r="BI889" s="58"/>
      <c r="BJ889" s="116" t="s">
        <v>1535</v>
      </c>
      <c r="BK889" s="117" t="s">
        <v>1539</v>
      </c>
      <c r="BL889" s="58"/>
      <c r="BM889" s="58"/>
      <c r="BN889" s="63"/>
      <c r="BO889" s="58"/>
      <c r="BP889" s="58"/>
      <c r="BQ889" s="64"/>
    </row>
    <row r="890">
      <c r="A890" s="70">
        <v>5.0</v>
      </c>
      <c r="B890" s="71" t="s">
        <v>1532</v>
      </c>
      <c r="C890" s="71" t="s">
        <v>76</v>
      </c>
      <c r="D890" s="55" t="s">
        <v>119</v>
      </c>
      <c r="E890" s="56"/>
      <c r="F890" s="56"/>
      <c r="G890" s="56"/>
      <c r="H890" s="56"/>
      <c r="I890" s="57" t="str">
        <f t="shared" si="6"/>
        <v>551210102</v>
      </c>
      <c r="J890" s="58"/>
      <c r="K890" s="58"/>
      <c r="L890" s="59" t="s">
        <v>1545</v>
      </c>
      <c r="M890" s="133">
        <v>1.0</v>
      </c>
      <c r="N890" s="117" t="s">
        <v>1538</v>
      </c>
      <c r="O890" s="118" t="s">
        <v>1546</v>
      </c>
      <c r="P890" s="58"/>
      <c r="Q890" s="116" t="s">
        <v>1540</v>
      </c>
      <c r="R890" s="58"/>
      <c r="S890" s="58"/>
      <c r="T890" s="58"/>
      <c r="U890" s="117">
        <v>1.0</v>
      </c>
      <c r="V890" s="58"/>
      <c r="W890" s="117" t="s">
        <v>78</v>
      </c>
      <c r="X890" s="58"/>
      <c r="Y890" s="58"/>
      <c r="Z890" s="58"/>
      <c r="AA890" s="62" t="s">
        <v>79</v>
      </c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117" t="s">
        <v>1547</v>
      </c>
      <c r="AQ890" s="117">
        <v>412.0</v>
      </c>
      <c r="AR890" s="117">
        <v>1180.0</v>
      </c>
      <c r="AS890" s="117">
        <v>890.0</v>
      </c>
      <c r="AT890" s="117">
        <v>800.0</v>
      </c>
      <c r="AU890" s="117">
        <v>0.84016</v>
      </c>
      <c r="AV890" s="117" t="s">
        <v>1542</v>
      </c>
      <c r="AW890" s="58"/>
      <c r="AX890" s="58"/>
      <c r="AY890" s="58"/>
      <c r="AZ890" s="58"/>
      <c r="BA890" s="58"/>
      <c r="BB890" s="117" t="s">
        <v>1543</v>
      </c>
      <c r="BC890" s="117" t="s">
        <v>1544</v>
      </c>
      <c r="BD890" s="58"/>
      <c r="BE890" s="58"/>
      <c r="BF890" s="117">
        <v>19.4</v>
      </c>
      <c r="BG890" s="117">
        <v>31.0</v>
      </c>
      <c r="BH890" s="116" t="s">
        <v>1534</v>
      </c>
      <c r="BI890" s="58"/>
      <c r="BJ890" s="116" t="s">
        <v>1535</v>
      </c>
      <c r="BK890" s="117" t="s">
        <v>1546</v>
      </c>
      <c r="BL890" s="58"/>
      <c r="BM890" s="58"/>
      <c r="BN890" s="63"/>
      <c r="BO890" s="58"/>
      <c r="BP890" s="58"/>
      <c r="BQ890" s="64"/>
    </row>
    <row r="891">
      <c r="A891" s="70">
        <v>5.0</v>
      </c>
      <c r="B891" s="71" t="s">
        <v>1532</v>
      </c>
      <c r="C891" s="71" t="s">
        <v>76</v>
      </c>
      <c r="D891" s="55" t="s">
        <v>124</v>
      </c>
      <c r="E891" s="56"/>
      <c r="F891" s="56"/>
      <c r="G891" s="56"/>
      <c r="H891" s="56"/>
      <c r="I891" s="57" t="str">
        <f t="shared" si="6"/>
        <v>551210103</v>
      </c>
      <c r="J891" s="58"/>
      <c r="K891" s="58"/>
      <c r="L891" s="59" t="s">
        <v>1548</v>
      </c>
      <c r="M891" s="133">
        <v>1.0</v>
      </c>
      <c r="N891" s="117" t="s">
        <v>1549</v>
      </c>
      <c r="O891" s="118" t="s">
        <v>1550</v>
      </c>
      <c r="P891" s="58"/>
      <c r="Q891" s="116" t="s">
        <v>1540</v>
      </c>
      <c r="R891" s="58"/>
      <c r="S891" s="58"/>
      <c r="T891" s="58"/>
      <c r="U891" s="117">
        <v>1.0</v>
      </c>
      <c r="V891" s="58"/>
      <c r="W891" s="117" t="s">
        <v>78</v>
      </c>
      <c r="X891" s="58"/>
      <c r="Y891" s="58"/>
      <c r="Z891" s="58"/>
      <c r="AA891" s="62" t="s">
        <v>79</v>
      </c>
      <c r="AB891" s="62" t="s">
        <v>79</v>
      </c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117" t="s">
        <v>1551</v>
      </c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116" t="s">
        <v>1534</v>
      </c>
      <c r="BI891" s="58"/>
      <c r="BJ891" s="116" t="s">
        <v>1535</v>
      </c>
      <c r="BK891" s="117" t="s">
        <v>1550</v>
      </c>
      <c r="BL891" s="58"/>
      <c r="BM891" s="58"/>
      <c r="BN891" s="63"/>
      <c r="BO891" s="58"/>
      <c r="BP891" s="116" t="s">
        <v>1552</v>
      </c>
      <c r="BQ891" s="64"/>
    </row>
    <row r="892">
      <c r="A892" s="70">
        <v>5.0</v>
      </c>
      <c r="B892" s="71" t="s">
        <v>1532</v>
      </c>
      <c r="C892" s="71" t="s">
        <v>76</v>
      </c>
      <c r="D892" s="55" t="s">
        <v>127</v>
      </c>
      <c r="E892" s="56"/>
      <c r="F892" s="56"/>
      <c r="G892" s="56"/>
      <c r="H892" s="56"/>
      <c r="I892" s="57" t="str">
        <f t="shared" si="6"/>
        <v>551210104</v>
      </c>
      <c r="J892" s="58"/>
      <c r="K892" s="58"/>
      <c r="L892" s="59" t="s">
        <v>1553</v>
      </c>
      <c r="M892" s="133">
        <v>1.0</v>
      </c>
      <c r="N892" s="58"/>
      <c r="O892" s="118" t="s">
        <v>1554</v>
      </c>
      <c r="P892" s="117" t="s">
        <v>1555</v>
      </c>
      <c r="Q892" s="116" t="s">
        <v>1540</v>
      </c>
      <c r="R892" s="58"/>
      <c r="S892" s="58"/>
      <c r="T892" s="58"/>
      <c r="U892" s="117">
        <v>1.0</v>
      </c>
      <c r="V892" s="58"/>
      <c r="W892" s="117" t="s">
        <v>78</v>
      </c>
      <c r="X892" s="58"/>
      <c r="Y892" s="58"/>
      <c r="Z892" s="58"/>
      <c r="AA892" s="62" t="s">
        <v>79</v>
      </c>
      <c r="AB892" s="62" t="s">
        <v>79</v>
      </c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117" t="s">
        <v>80</v>
      </c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116" t="s">
        <v>1556</v>
      </c>
      <c r="BI892" s="70">
        <v>27.0</v>
      </c>
      <c r="BJ892" s="116" t="s">
        <v>1555</v>
      </c>
      <c r="BK892" s="117" t="s">
        <v>1555</v>
      </c>
      <c r="BL892" s="58"/>
      <c r="BM892" s="58"/>
      <c r="BN892" s="63"/>
      <c r="BO892" s="58"/>
      <c r="BP892" s="58"/>
      <c r="BQ892" s="64"/>
    </row>
    <row r="893">
      <c r="A893" s="70">
        <v>5.0</v>
      </c>
      <c r="B893" s="71" t="s">
        <v>1532</v>
      </c>
      <c r="C893" s="71" t="s">
        <v>76</v>
      </c>
      <c r="D893" s="55" t="s">
        <v>91</v>
      </c>
      <c r="E893" s="56"/>
      <c r="F893" s="56"/>
      <c r="G893" s="56"/>
      <c r="H893" s="56"/>
      <c r="I893" s="57" t="str">
        <f t="shared" si="6"/>
        <v>551210105</v>
      </c>
      <c r="J893" s="58"/>
      <c r="K893" s="58"/>
      <c r="L893" s="59" t="s">
        <v>1557</v>
      </c>
      <c r="M893" s="133">
        <v>1.0</v>
      </c>
      <c r="N893" s="117" t="s">
        <v>1549</v>
      </c>
      <c r="O893" s="118" t="s">
        <v>1558</v>
      </c>
      <c r="P893" s="58"/>
      <c r="Q893" s="116" t="s">
        <v>1540</v>
      </c>
      <c r="R893" s="58"/>
      <c r="S893" s="58"/>
      <c r="T893" s="58"/>
      <c r="U893" s="117">
        <v>1.0</v>
      </c>
      <c r="V893" s="58"/>
      <c r="W893" s="117" t="s">
        <v>78</v>
      </c>
      <c r="X893" s="58"/>
      <c r="Y893" s="58"/>
      <c r="Z893" s="58"/>
      <c r="AA893" s="62" t="s">
        <v>79</v>
      </c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117" t="s">
        <v>1559</v>
      </c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116" t="s">
        <v>1534</v>
      </c>
      <c r="BI893" s="58"/>
      <c r="BJ893" s="116" t="s">
        <v>1535</v>
      </c>
      <c r="BK893" s="117" t="s">
        <v>1558</v>
      </c>
      <c r="BL893" s="58"/>
      <c r="BM893" s="58"/>
      <c r="BN893" s="63"/>
      <c r="BO893" s="58"/>
      <c r="BP893" s="116" t="s">
        <v>1552</v>
      </c>
      <c r="BQ893" s="64"/>
    </row>
    <row r="894">
      <c r="A894" s="70">
        <v>5.0</v>
      </c>
      <c r="B894" s="71" t="s">
        <v>1532</v>
      </c>
      <c r="C894" s="71" t="s">
        <v>76</v>
      </c>
      <c r="D894" s="55" t="s">
        <v>133</v>
      </c>
      <c r="E894" s="56"/>
      <c r="F894" s="56"/>
      <c r="G894" s="56"/>
      <c r="H894" s="56"/>
      <c r="I894" s="57" t="str">
        <f t="shared" si="6"/>
        <v>551210106</v>
      </c>
      <c r="J894" s="58"/>
      <c r="K894" s="58"/>
      <c r="L894" s="59" t="s">
        <v>1560</v>
      </c>
      <c r="M894" s="133">
        <v>1.0</v>
      </c>
      <c r="N894" s="58"/>
      <c r="O894" s="118" t="s">
        <v>1561</v>
      </c>
      <c r="P894" s="117" t="s">
        <v>1555</v>
      </c>
      <c r="Q894" s="116" t="s">
        <v>1540</v>
      </c>
      <c r="R894" s="58"/>
      <c r="S894" s="58"/>
      <c r="T894" s="58"/>
      <c r="U894" s="117">
        <v>1.0</v>
      </c>
      <c r="V894" s="58"/>
      <c r="W894" s="117" t="s">
        <v>78</v>
      </c>
      <c r="X894" s="58"/>
      <c r="Y894" s="58"/>
      <c r="Z894" s="58"/>
      <c r="AA894" s="62" t="s">
        <v>79</v>
      </c>
      <c r="AB894" s="58"/>
      <c r="AC894" s="58"/>
      <c r="AD894" s="58"/>
      <c r="AE894" s="58"/>
      <c r="AF894" s="58"/>
      <c r="AG894" s="58"/>
      <c r="AH894" s="58"/>
      <c r="AI894" s="58"/>
      <c r="AJ894" s="58"/>
      <c r="AK894" s="58"/>
      <c r="AL894" s="58"/>
      <c r="AM894" s="58"/>
      <c r="AN894" s="58"/>
      <c r="AO894" s="58"/>
      <c r="AP894" s="117" t="s">
        <v>80</v>
      </c>
      <c r="AQ894" s="58"/>
      <c r="AR894" s="58"/>
      <c r="AS894" s="58"/>
      <c r="AT894" s="58"/>
      <c r="AU894" s="58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116" t="s">
        <v>1556</v>
      </c>
      <c r="BI894" s="70">
        <v>27.0</v>
      </c>
      <c r="BJ894" s="116" t="s">
        <v>1555</v>
      </c>
      <c r="BK894" s="117" t="s">
        <v>1555</v>
      </c>
      <c r="BL894" s="58"/>
      <c r="BM894" s="58"/>
      <c r="BN894" s="63"/>
      <c r="BO894" s="58"/>
      <c r="BP894" s="58"/>
      <c r="BQ894" s="64"/>
    </row>
    <row r="895">
      <c r="A895" s="70">
        <v>4.0</v>
      </c>
      <c r="B895" s="71" t="s">
        <v>1532</v>
      </c>
      <c r="C895" s="71" t="s">
        <v>119</v>
      </c>
      <c r="D895" s="56"/>
      <c r="E895" s="56"/>
      <c r="F895" s="56"/>
      <c r="G895" s="56"/>
      <c r="H895" s="56"/>
      <c r="I895" s="57" t="str">
        <f t="shared" si="6"/>
        <v>5512102</v>
      </c>
      <c r="J895" s="58"/>
      <c r="K895" s="58"/>
      <c r="L895" s="59" t="s">
        <v>1562</v>
      </c>
      <c r="M895" s="133">
        <v>2.0</v>
      </c>
      <c r="N895" s="58"/>
      <c r="O895" s="56"/>
      <c r="P895" s="58"/>
      <c r="Q895" s="58"/>
      <c r="R895" s="58"/>
      <c r="S895" s="58"/>
      <c r="T895" s="58"/>
      <c r="U895" s="117">
        <v>1.0</v>
      </c>
      <c r="V895" s="58"/>
      <c r="W895" s="117" t="s">
        <v>141</v>
      </c>
      <c r="X895" s="58"/>
      <c r="Y895" s="58"/>
      <c r="Z895" s="58"/>
      <c r="AA895" s="58"/>
      <c r="AB895" s="58"/>
      <c r="AC895" s="58"/>
      <c r="AD895" s="58"/>
      <c r="AE895" s="58"/>
      <c r="AF895" s="58"/>
      <c r="AG895" s="58"/>
      <c r="AH895" s="58"/>
      <c r="AI895" s="58"/>
      <c r="AJ895" s="58"/>
      <c r="AK895" s="58"/>
      <c r="AL895" s="58"/>
      <c r="AM895" s="58"/>
      <c r="AN895" s="58"/>
      <c r="AO895" s="58"/>
      <c r="AP895" s="58"/>
      <c r="AQ895" s="58"/>
      <c r="AR895" s="58"/>
      <c r="AS895" s="58"/>
      <c r="AT895" s="58"/>
      <c r="AU895" s="58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63"/>
      <c r="BO895" s="58"/>
      <c r="BP895" s="58"/>
      <c r="BQ895" s="64"/>
    </row>
    <row r="896">
      <c r="A896" s="70">
        <v>5.0</v>
      </c>
      <c r="B896" s="71" t="s">
        <v>1532</v>
      </c>
      <c r="C896" s="71" t="s">
        <v>119</v>
      </c>
      <c r="D896" s="55" t="s">
        <v>76</v>
      </c>
      <c r="E896" s="56"/>
      <c r="F896" s="56"/>
      <c r="G896" s="56"/>
      <c r="H896" s="56"/>
      <c r="I896" s="57" t="str">
        <f t="shared" si="6"/>
        <v>551210201</v>
      </c>
      <c r="J896" s="58"/>
      <c r="K896" s="58"/>
      <c r="L896" s="59" t="s">
        <v>1563</v>
      </c>
      <c r="M896" s="133">
        <v>1.0</v>
      </c>
      <c r="N896" s="117" t="s">
        <v>1564</v>
      </c>
      <c r="O896" s="118" t="s">
        <v>1565</v>
      </c>
      <c r="P896" s="117" t="s">
        <v>1566</v>
      </c>
      <c r="Q896" s="116" t="s">
        <v>1540</v>
      </c>
      <c r="R896" s="58"/>
      <c r="S896" s="58"/>
      <c r="T896" s="58"/>
      <c r="U896" s="117">
        <v>1.0</v>
      </c>
      <c r="V896" s="58"/>
      <c r="W896" s="117" t="s">
        <v>78</v>
      </c>
      <c r="X896" s="58"/>
      <c r="Y896" s="58"/>
      <c r="Z896" s="58"/>
      <c r="AA896" s="62" t="s">
        <v>79</v>
      </c>
      <c r="AB896" s="62" t="s">
        <v>79</v>
      </c>
      <c r="AC896" s="58"/>
      <c r="AD896" s="58"/>
      <c r="AE896" s="58"/>
      <c r="AF896" s="58"/>
      <c r="AG896" s="58"/>
      <c r="AH896" s="58"/>
      <c r="AI896" s="58"/>
      <c r="AJ896" s="58"/>
      <c r="AK896" s="58"/>
      <c r="AL896" s="58"/>
      <c r="AM896" s="58"/>
      <c r="AN896" s="58"/>
      <c r="AO896" s="58"/>
      <c r="AP896" s="117">
        <v>11890.0</v>
      </c>
      <c r="AQ896" s="117">
        <v>700.0</v>
      </c>
      <c r="AR896" s="117">
        <v>1300.0</v>
      </c>
      <c r="AS896" s="117">
        <v>1000.0</v>
      </c>
      <c r="AT896" s="117">
        <v>1350.0</v>
      </c>
      <c r="AU896" s="117">
        <v>1.755</v>
      </c>
      <c r="AV896" s="117" t="s">
        <v>1567</v>
      </c>
      <c r="AW896" s="58"/>
      <c r="AX896" s="58"/>
      <c r="AY896" s="58"/>
      <c r="AZ896" s="58"/>
      <c r="BA896" s="58"/>
      <c r="BB896" s="58"/>
      <c r="BC896" s="117" t="s">
        <v>1568</v>
      </c>
      <c r="BD896" s="58"/>
      <c r="BE896" s="58"/>
      <c r="BF896" s="117" t="s">
        <v>1569</v>
      </c>
      <c r="BG896" s="117">
        <v>8.0</v>
      </c>
      <c r="BH896" s="116" t="s">
        <v>1556</v>
      </c>
      <c r="BI896" s="70">
        <v>33.0</v>
      </c>
      <c r="BJ896" s="116" t="s">
        <v>1570</v>
      </c>
      <c r="BK896" s="58"/>
      <c r="BL896" s="58"/>
      <c r="BM896" s="58"/>
      <c r="BN896" s="63"/>
      <c r="BO896" s="58"/>
      <c r="BP896" s="58"/>
      <c r="BQ896" s="64"/>
    </row>
    <row r="897">
      <c r="A897" s="70">
        <v>5.0</v>
      </c>
      <c r="B897" s="71" t="s">
        <v>1532</v>
      </c>
      <c r="C897" s="71" t="s">
        <v>119</v>
      </c>
      <c r="D897" s="55" t="s">
        <v>119</v>
      </c>
      <c r="E897" s="56"/>
      <c r="F897" s="56"/>
      <c r="G897" s="56"/>
      <c r="H897" s="56"/>
      <c r="I897" s="57" t="str">
        <f t="shared" si="6"/>
        <v>551210202</v>
      </c>
      <c r="J897" s="58"/>
      <c r="K897" s="58"/>
      <c r="L897" s="59" t="s">
        <v>1571</v>
      </c>
      <c r="M897" s="133">
        <v>1.0</v>
      </c>
      <c r="N897" s="118" t="s">
        <v>1572</v>
      </c>
      <c r="O897" s="118" t="s">
        <v>1573</v>
      </c>
      <c r="P897" s="117" t="s">
        <v>1574</v>
      </c>
      <c r="Q897" s="116" t="s">
        <v>1540</v>
      </c>
      <c r="R897" s="58"/>
      <c r="S897" s="58"/>
      <c r="T897" s="58"/>
      <c r="U897" s="117">
        <v>1.0</v>
      </c>
      <c r="V897" s="58"/>
      <c r="W897" s="117" t="s">
        <v>78</v>
      </c>
      <c r="X897" s="58"/>
      <c r="Y897" s="58"/>
      <c r="Z897" s="58"/>
      <c r="AA897" s="62" t="s">
        <v>79</v>
      </c>
      <c r="AB897" s="62" t="s">
        <v>79</v>
      </c>
      <c r="AC897" s="58"/>
      <c r="AD897" s="58"/>
      <c r="AE897" s="58"/>
      <c r="AF897" s="58"/>
      <c r="AG897" s="58"/>
      <c r="AH897" s="58"/>
      <c r="AI897" s="58"/>
      <c r="AJ897" s="58"/>
      <c r="AK897" s="58"/>
      <c r="AL897" s="58"/>
      <c r="AM897" s="58"/>
      <c r="AN897" s="58"/>
      <c r="AO897" s="58"/>
      <c r="AP897" s="117" t="s">
        <v>80</v>
      </c>
      <c r="AQ897" s="117" t="s">
        <v>1575</v>
      </c>
      <c r="AR897" s="117">
        <v>116.0</v>
      </c>
      <c r="AS897" s="117">
        <v>116.0</v>
      </c>
      <c r="AT897" s="117">
        <v>371.5</v>
      </c>
      <c r="AU897" s="117" t="s">
        <v>1576</v>
      </c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135">
        <v>58.3</v>
      </c>
      <c r="BG897" s="70">
        <v>16.0</v>
      </c>
      <c r="BH897" s="116" t="s">
        <v>1556</v>
      </c>
      <c r="BI897" s="70">
        <v>39.0</v>
      </c>
      <c r="BJ897" s="116" t="s">
        <v>1577</v>
      </c>
      <c r="BK897" s="58"/>
      <c r="BL897" s="58"/>
      <c r="BM897" s="58"/>
      <c r="BN897" s="63"/>
      <c r="BO897" s="58"/>
      <c r="BP897" s="58"/>
      <c r="BQ897" s="64"/>
    </row>
    <row r="898">
      <c r="A898" s="70">
        <v>5.0</v>
      </c>
      <c r="B898" s="71" t="s">
        <v>1532</v>
      </c>
      <c r="C898" s="71" t="s">
        <v>119</v>
      </c>
      <c r="D898" s="55" t="s">
        <v>124</v>
      </c>
      <c r="E898" s="56"/>
      <c r="F898" s="56"/>
      <c r="G898" s="56"/>
      <c r="H898" s="56"/>
      <c r="I898" s="57" t="str">
        <f t="shared" si="6"/>
        <v>551210203</v>
      </c>
      <c r="J898" s="58"/>
      <c r="K898" s="58"/>
      <c r="L898" s="59" t="s">
        <v>1578</v>
      </c>
      <c r="M898" s="133">
        <v>1.0</v>
      </c>
      <c r="N898" s="117" t="s">
        <v>1564</v>
      </c>
      <c r="O898" s="118" t="s">
        <v>1579</v>
      </c>
      <c r="P898" s="117" t="s">
        <v>1566</v>
      </c>
      <c r="Q898" s="116" t="s">
        <v>1540</v>
      </c>
      <c r="R898" s="58"/>
      <c r="S898" s="58"/>
      <c r="T898" s="58"/>
      <c r="U898" s="117">
        <v>1.0</v>
      </c>
      <c r="V898" s="58"/>
      <c r="W898" s="117" t="s">
        <v>78</v>
      </c>
      <c r="X898" s="58"/>
      <c r="Y898" s="58"/>
      <c r="Z898" s="58"/>
      <c r="AA898" s="62" t="s">
        <v>79</v>
      </c>
      <c r="AB898" s="58"/>
      <c r="AC898" s="58"/>
      <c r="AD898" s="58"/>
      <c r="AE898" s="58"/>
      <c r="AF898" s="58"/>
      <c r="AG898" s="58"/>
      <c r="AH898" s="58"/>
      <c r="AI898" s="58"/>
      <c r="AJ898" s="58"/>
      <c r="AK898" s="58"/>
      <c r="AL898" s="58"/>
      <c r="AM898" s="58"/>
      <c r="AN898" s="58"/>
      <c r="AO898" s="58"/>
      <c r="AP898" s="117">
        <v>11891.0</v>
      </c>
      <c r="AQ898" s="117">
        <v>700.0</v>
      </c>
      <c r="AR898" s="117">
        <v>1300.0</v>
      </c>
      <c r="AS898" s="117">
        <v>1000.0</v>
      </c>
      <c r="AT898" s="117">
        <v>1350.0</v>
      </c>
      <c r="AU898" s="117">
        <v>1.755</v>
      </c>
      <c r="AV898" s="117" t="s">
        <v>1567</v>
      </c>
      <c r="AW898" s="58"/>
      <c r="AX898" s="58"/>
      <c r="AY898" s="58"/>
      <c r="AZ898" s="58"/>
      <c r="BA898" s="58"/>
      <c r="BB898" s="58"/>
      <c r="BC898" s="117" t="s">
        <v>1568</v>
      </c>
      <c r="BD898" s="58"/>
      <c r="BE898" s="58"/>
      <c r="BF898" s="117" t="s">
        <v>1569</v>
      </c>
      <c r="BG898" s="117">
        <v>8.0</v>
      </c>
      <c r="BH898" s="116" t="s">
        <v>1534</v>
      </c>
      <c r="BI898" s="58"/>
      <c r="BJ898" s="116" t="s">
        <v>1535</v>
      </c>
      <c r="BK898" s="117" t="s">
        <v>1579</v>
      </c>
      <c r="BL898" s="58"/>
      <c r="BM898" s="58"/>
      <c r="BN898" s="63"/>
      <c r="BO898" s="58"/>
      <c r="BP898" s="58"/>
      <c r="BQ898" s="64"/>
    </row>
    <row r="899">
      <c r="A899" s="70">
        <v>5.0</v>
      </c>
      <c r="B899" s="71" t="s">
        <v>1532</v>
      </c>
      <c r="C899" s="71" t="s">
        <v>119</v>
      </c>
      <c r="D899" s="55" t="s">
        <v>127</v>
      </c>
      <c r="E899" s="56"/>
      <c r="F899" s="56"/>
      <c r="G899" s="56"/>
      <c r="H899" s="56"/>
      <c r="I899" s="57" t="str">
        <f t="shared" si="6"/>
        <v>551210204</v>
      </c>
      <c r="J899" s="58"/>
      <c r="K899" s="58"/>
      <c r="L899" s="59" t="s">
        <v>1571</v>
      </c>
      <c r="M899" s="133">
        <v>1.0</v>
      </c>
      <c r="N899" s="118" t="s">
        <v>1572</v>
      </c>
      <c r="O899" s="118" t="s">
        <v>1573</v>
      </c>
      <c r="P899" s="117" t="s">
        <v>1574</v>
      </c>
      <c r="Q899" s="116" t="s">
        <v>1540</v>
      </c>
      <c r="R899" s="58"/>
      <c r="S899" s="58"/>
      <c r="T899" s="58"/>
      <c r="U899" s="117">
        <v>1.0</v>
      </c>
      <c r="V899" s="58"/>
      <c r="W899" s="117" t="s">
        <v>78</v>
      </c>
      <c r="X899" s="58"/>
      <c r="Y899" s="58"/>
      <c r="Z899" s="58"/>
      <c r="AA899" s="62" t="s">
        <v>79</v>
      </c>
      <c r="AB899" s="58"/>
      <c r="AC899" s="58"/>
      <c r="AD899" s="58"/>
      <c r="AE899" s="58"/>
      <c r="AF899" s="58"/>
      <c r="AG899" s="58"/>
      <c r="AH899" s="58"/>
      <c r="AI899" s="58"/>
      <c r="AJ899" s="58"/>
      <c r="AK899" s="58"/>
      <c r="AL899" s="58"/>
      <c r="AM899" s="58"/>
      <c r="AN899" s="58"/>
      <c r="AO899" s="58"/>
      <c r="AP899" s="117" t="s">
        <v>80</v>
      </c>
      <c r="AQ899" s="117" t="s">
        <v>1575</v>
      </c>
      <c r="AR899" s="117">
        <v>116.0</v>
      </c>
      <c r="AS899" s="117">
        <v>116.0</v>
      </c>
      <c r="AT899" s="117">
        <v>371.5</v>
      </c>
      <c r="AU899" s="117" t="s">
        <v>1576</v>
      </c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135">
        <v>58.3</v>
      </c>
      <c r="BG899" s="70">
        <v>16.0</v>
      </c>
      <c r="BH899" s="116" t="s">
        <v>1556</v>
      </c>
      <c r="BI899" s="70">
        <v>39.0</v>
      </c>
      <c r="BJ899" s="116" t="s">
        <v>1577</v>
      </c>
      <c r="BK899" s="58"/>
      <c r="BL899" s="58"/>
      <c r="BM899" s="58"/>
      <c r="BN899" s="63"/>
      <c r="BO899" s="58"/>
      <c r="BP899" s="58"/>
      <c r="BQ899" s="64"/>
    </row>
    <row r="900">
      <c r="A900" s="70">
        <v>5.0</v>
      </c>
      <c r="B900" s="71" t="s">
        <v>1532</v>
      </c>
      <c r="C900" s="71" t="s">
        <v>119</v>
      </c>
      <c r="D900" s="55" t="s">
        <v>91</v>
      </c>
      <c r="E900" s="56"/>
      <c r="F900" s="56"/>
      <c r="G900" s="56"/>
      <c r="H900" s="56"/>
      <c r="I900" s="57" t="str">
        <f t="shared" si="6"/>
        <v>551210205</v>
      </c>
      <c r="J900" s="58"/>
      <c r="K900" s="58"/>
      <c r="L900" s="59" t="s">
        <v>1580</v>
      </c>
      <c r="M900" s="133">
        <v>1.0</v>
      </c>
      <c r="N900" s="117" t="s">
        <v>1581</v>
      </c>
      <c r="O900" s="118" t="s">
        <v>1582</v>
      </c>
      <c r="P900" s="117" t="s">
        <v>1583</v>
      </c>
      <c r="Q900" s="116" t="s">
        <v>1540</v>
      </c>
      <c r="R900" s="58"/>
      <c r="S900" s="58"/>
      <c r="T900" s="58"/>
      <c r="U900" s="117">
        <v>1.0</v>
      </c>
      <c r="V900" s="58"/>
      <c r="W900" s="117" t="s">
        <v>78</v>
      </c>
      <c r="X900" s="58"/>
      <c r="Y900" s="58"/>
      <c r="Z900" s="58"/>
      <c r="AA900" s="62" t="s">
        <v>79</v>
      </c>
      <c r="AB900" s="62" t="s">
        <v>79</v>
      </c>
      <c r="AC900" s="58"/>
      <c r="AD900" s="58"/>
      <c r="AE900" s="58"/>
      <c r="AF900" s="58"/>
      <c r="AG900" s="58"/>
      <c r="AH900" s="58"/>
      <c r="AI900" s="58"/>
      <c r="AJ900" s="58"/>
      <c r="AK900" s="58"/>
      <c r="AL900" s="58"/>
      <c r="AM900" s="58"/>
      <c r="AN900" s="58"/>
      <c r="AO900" s="58"/>
      <c r="AP900" s="117">
        <v>10221.0</v>
      </c>
      <c r="AQ900" s="117">
        <v>310.0</v>
      </c>
      <c r="AR900" s="117">
        <v>800.0</v>
      </c>
      <c r="AS900" s="117">
        <v>860.0</v>
      </c>
      <c r="AT900" s="117">
        <v>2430.0</v>
      </c>
      <c r="AU900" s="117">
        <v>1.0</v>
      </c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117">
        <v>8.0</v>
      </c>
      <c r="BH900" s="116" t="s">
        <v>1556</v>
      </c>
      <c r="BI900" s="70">
        <v>48.0</v>
      </c>
      <c r="BJ900" s="116" t="s">
        <v>1584</v>
      </c>
      <c r="BK900" s="58"/>
      <c r="BL900" s="58"/>
      <c r="BM900" s="58"/>
      <c r="BN900" s="63"/>
      <c r="BO900" s="58"/>
      <c r="BP900" s="58"/>
      <c r="BQ900" s="64"/>
    </row>
    <row r="901">
      <c r="A901" s="70">
        <v>5.0</v>
      </c>
      <c r="B901" s="71" t="s">
        <v>1532</v>
      </c>
      <c r="C901" s="71" t="s">
        <v>119</v>
      </c>
      <c r="D901" s="55" t="s">
        <v>133</v>
      </c>
      <c r="E901" s="56"/>
      <c r="F901" s="56"/>
      <c r="G901" s="56"/>
      <c r="H901" s="56"/>
      <c r="I901" s="57" t="str">
        <f t="shared" si="6"/>
        <v>551210206</v>
      </c>
      <c r="J901" s="58"/>
      <c r="K901" s="58"/>
      <c r="L901" s="59" t="s">
        <v>1585</v>
      </c>
      <c r="M901" s="133">
        <v>1.0</v>
      </c>
      <c r="N901" s="58"/>
      <c r="O901" s="118" t="s">
        <v>1586</v>
      </c>
      <c r="P901" s="117" t="s">
        <v>1555</v>
      </c>
      <c r="Q901" s="116" t="s">
        <v>1540</v>
      </c>
      <c r="R901" s="58"/>
      <c r="S901" s="58"/>
      <c r="T901" s="58"/>
      <c r="U901" s="117">
        <v>1.0</v>
      </c>
      <c r="V901" s="58"/>
      <c r="W901" s="117" t="s">
        <v>78</v>
      </c>
      <c r="X901" s="58"/>
      <c r="Y901" s="58"/>
      <c r="Z901" s="58"/>
      <c r="AA901" s="62" t="s">
        <v>79</v>
      </c>
      <c r="AB901" s="62" t="s">
        <v>79</v>
      </c>
      <c r="AC901" s="58"/>
      <c r="AD901" s="58"/>
      <c r="AE901" s="58"/>
      <c r="AF901" s="58"/>
      <c r="AG901" s="58"/>
      <c r="AH901" s="58"/>
      <c r="AI901" s="58"/>
      <c r="AJ901" s="58"/>
      <c r="AK901" s="58"/>
      <c r="AL901" s="58"/>
      <c r="AM901" s="58"/>
      <c r="AN901" s="58"/>
      <c r="AO901" s="58"/>
      <c r="AP901" s="117" t="s">
        <v>80</v>
      </c>
      <c r="AQ901" s="58"/>
      <c r="AR901" s="58"/>
      <c r="AS901" s="58"/>
      <c r="AT901" s="58"/>
      <c r="AU901" s="58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116" t="s">
        <v>1556</v>
      </c>
      <c r="BI901" s="70">
        <v>27.0</v>
      </c>
      <c r="BJ901" s="116" t="s">
        <v>1555</v>
      </c>
      <c r="BK901" s="117" t="s">
        <v>1555</v>
      </c>
      <c r="BL901" s="58"/>
      <c r="BM901" s="58"/>
      <c r="BN901" s="63"/>
      <c r="BO901" s="58"/>
      <c r="BP901" s="58"/>
      <c r="BQ901" s="64"/>
    </row>
    <row r="902">
      <c r="A902" s="70">
        <v>4.0</v>
      </c>
      <c r="B902" s="71" t="s">
        <v>1532</v>
      </c>
      <c r="C902" s="71" t="s">
        <v>124</v>
      </c>
      <c r="D902" s="56"/>
      <c r="E902" s="56"/>
      <c r="F902" s="56"/>
      <c r="G902" s="56"/>
      <c r="H902" s="56"/>
      <c r="I902" s="57" t="str">
        <f t="shared" si="6"/>
        <v>5512103</v>
      </c>
      <c r="J902" s="58"/>
      <c r="K902" s="58"/>
      <c r="L902" s="59" t="s">
        <v>1587</v>
      </c>
      <c r="M902" s="133">
        <v>2.0</v>
      </c>
      <c r="N902" s="58"/>
      <c r="O902" s="56"/>
      <c r="P902" s="58"/>
      <c r="Q902" s="58"/>
      <c r="R902" s="58"/>
      <c r="S902" s="58"/>
      <c r="T902" s="58"/>
      <c r="U902" s="117">
        <v>1.0</v>
      </c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  <c r="AG902" s="58"/>
      <c r="AH902" s="58"/>
      <c r="AI902" s="58"/>
      <c r="AJ902" s="58"/>
      <c r="AK902" s="58"/>
      <c r="AL902" s="58"/>
      <c r="AM902" s="58"/>
      <c r="AN902" s="58"/>
      <c r="AO902" s="58"/>
      <c r="AP902" s="58"/>
      <c r="AQ902" s="58"/>
      <c r="AR902" s="58"/>
      <c r="AS902" s="58"/>
      <c r="AT902" s="58"/>
      <c r="AU902" s="58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63"/>
      <c r="BO902" s="58"/>
      <c r="BP902" s="58"/>
      <c r="BQ902" s="64"/>
    </row>
    <row r="903">
      <c r="A903" s="70">
        <v>5.0</v>
      </c>
      <c r="B903" s="71" t="s">
        <v>1532</v>
      </c>
      <c r="C903" s="71" t="s">
        <v>124</v>
      </c>
      <c r="D903" s="55" t="s">
        <v>76</v>
      </c>
      <c r="E903" s="56"/>
      <c r="F903" s="56"/>
      <c r="G903" s="56"/>
      <c r="H903" s="56"/>
      <c r="I903" s="57" t="str">
        <f t="shared" si="6"/>
        <v>551210301</v>
      </c>
      <c r="J903" s="58"/>
      <c r="K903" s="58"/>
      <c r="L903" s="59" t="s">
        <v>1588</v>
      </c>
      <c r="M903" s="133">
        <v>1.0</v>
      </c>
      <c r="N903" s="117" t="s">
        <v>1581</v>
      </c>
      <c r="O903" s="118" t="s">
        <v>1589</v>
      </c>
      <c r="P903" s="58"/>
      <c r="Q903" s="116" t="s">
        <v>1540</v>
      </c>
      <c r="R903" s="58"/>
      <c r="S903" s="58"/>
      <c r="T903" s="58"/>
      <c r="U903" s="117">
        <v>1.0</v>
      </c>
      <c r="V903" s="58"/>
      <c r="W903" s="117" t="s">
        <v>78</v>
      </c>
      <c r="X903" s="58"/>
      <c r="Y903" s="58"/>
      <c r="Z903" s="58"/>
      <c r="AA903" s="62" t="s">
        <v>79</v>
      </c>
      <c r="AB903" s="58"/>
      <c r="AC903" s="58"/>
      <c r="AD903" s="58"/>
      <c r="AE903" s="58"/>
      <c r="AF903" s="58"/>
      <c r="AG903" s="58"/>
      <c r="AH903" s="58"/>
      <c r="AI903" s="58"/>
      <c r="AJ903" s="58"/>
      <c r="AK903" s="58"/>
      <c r="AL903" s="58"/>
      <c r="AM903" s="58"/>
      <c r="AN903" s="58"/>
      <c r="AO903" s="58"/>
      <c r="AP903" s="117">
        <v>10222.0</v>
      </c>
      <c r="AQ903" s="117">
        <v>310.0</v>
      </c>
      <c r="AR903" s="117">
        <v>800.0</v>
      </c>
      <c r="AS903" s="117">
        <v>860.0</v>
      </c>
      <c r="AT903" s="117">
        <v>2430.0</v>
      </c>
      <c r="AU903" s="117">
        <v>1.0</v>
      </c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70">
        <v>8.0</v>
      </c>
      <c r="BH903" s="116" t="s">
        <v>1534</v>
      </c>
      <c r="BI903" s="58"/>
      <c r="BJ903" s="116" t="s">
        <v>1535</v>
      </c>
      <c r="BK903" s="117" t="s">
        <v>1589</v>
      </c>
      <c r="BL903" s="58"/>
      <c r="BM903" s="58"/>
      <c r="BN903" s="63"/>
      <c r="BO903" s="58"/>
      <c r="BP903" s="58"/>
      <c r="BQ903" s="64"/>
    </row>
    <row r="904">
      <c r="A904" s="70">
        <v>5.0</v>
      </c>
      <c r="B904" s="71" t="s">
        <v>1532</v>
      </c>
      <c r="C904" s="71" t="s">
        <v>124</v>
      </c>
      <c r="D904" s="55" t="s">
        <v>119</v>
      </c>
      <c r="E904" s="56"/>
      <c r="F904" s="56"/>
      <c r="G904" s="56"/>
      <c r="H904" s="56"/>
      <c r="I904" s="57" t="str">
        <f t="shared" si="6"/>
        <v>551210302</v>
      </c>
      <c r="J904" s="58"/>
      <c r="K904" s="58"/>
      <c r="L904" s="59" t="s">
        <v>1590</v>
      </c>
      <c r="M904" s="133">
        <v>1.0</v>
      </c>
      <c r="N904" s="117" t="s">
        <v>1591</v>
      </c>
      <c r="O904" s="118" t="s">
        <v>1592</v>
      </c>
      <c r="P904" s="117" t="s">
        <v>1593</v>
      </c>
      <c r="Q904" s="116" t="s">
        <v>1540</v>
      </c>
      <c r="R904" s="58"/>
      <c r="S904" s="58"/>
      <c r="T904" s="58"/>
      <c r="U904" s="117">
        <v>1.0</v>
      </c>
      <c r="V904" s="58"/>
      <c r="W904" s="117" t="s">
        <v>78</v>
      </c>
      <c r="X904" s="58"/>
      <c r="Y904" s="58"/>
      <c r="Z904" s="58"/>
      <c r="AA904" s="62" t="s">
        <v>79</v>
      </c>
      <c r="AB904" s="62" t="s">
        <v>79</v>
      </c>
      <c r="AC904" s="58"/>
      <c r="AD904" s="58"/>
      <c r="AE904" s="58"/>
      <c r="AF904" s="58"/>
      <c r="AG904" s="58"/>
      <c r="AH904" s="58"/>
      <c r="AI904" s="58"/>
      <c r="AJ904" s="58"/>
      <c r="AK904" s="58"/>
      <c r="AL904" s="58"/>
      <c r="AM904" s="58"/>
      <c r="AN904" s="58"/>
      <c r="AO904" s="58"/>
      <c r="AP904" s="117" t="s">
        <v>1594</v>
      </c>
      <c r="AQ904" s="117">
        <v>274.0</v>
      </c>
      <c r="AR904" s="117">
        <v>860.0</v>
      </c>
      <c r="AS904" s="117">
        <v>535.0</v>
      </c>
      <c r="AT904" s="117">
        <v>1742.0</v>
      </c>
      <c r="AU904" s="117" t="s">
        <v>1595</v>
      </c>
      <c r="AV904" s="117" t="s">
        <v>1596</v>
      </c>
      <c r="AW904" s="58"/>
      <c r="AX904" s="58"/>
      <c r="AY904" s="58"/>
      <c r="AZ904" s="58"/>
      <c r="BA904" s="58"/>
      <c r="BB904" s="58"/>
      <c r="BC904" s="58"/>
      <c r="BD904" s="58"/>
      <c r="BE904" s="58"/>
      <c r="BF904" s="117">
        <v>64.0</v>
      </c>
      <c r="BG904" s="117">
        <v>8.0</v>
      </c>
      <c r="BH904" s="116" t="s">
        <v>1597</v>
      </c>
      <c r="BI904" s="58"/>
      <c r="BJ904" s="116" t="s">
        <v>1598</v>
      </c>
      <c r="BK904" s="117" t="s">
        <v>1592</v>
      </c>
      <c r="BL904" s="58"/>
      <c r="BM904" s="58"/>
      <c r="BN904" s="63"/>
      <c r="BO904" s="58"/>
      <c r="BP904" s="58"/>
      <c r="BQ904" s="64"/>
    </row>
    <row r="905">
      <c r="A905" s="70">
        <v>5.0</v>
      </c>
      <c r="B905" s="71" t="s">
        <v>1532</v>
      </c>
      <c r="C905" s="71" t="s">
        <v>124</v>
      </c>
      <c r="D905" s="55" t="s">
        <v>124</v>
      </c>
      <c r="E905" s="56"/>
      <c r="F905" s="56"/>
      <c r="G905" s="56"/>
      <c r="H905" s="56"/>
      <c r="I905" s="57" t="str">
        <f t="shared" si="6"/>
        <v>551210303</v>
      </c>
      <c r="J905" s="58"/>
      <c r="K905" s="58"/>
      <c r="L905" s="59" t="s">
        <v>1599</v>
      </c>
      <c r="M905" s="133">
        <v>1.0</v>
      </c>
      <c r="N905" s="117" t="s">
        <v>1591</v>
      </c>
      <c r="O905" s="118" t="s">
        <v>1600</v>
      </c>
      <c r="P905" s="117" t="s">
        <v>1593</v>
      </c>
      <c r="Q905" s="116" t="s">
        <v>1540</v>
      </c>
      <c r="R905" s="58"/>
      <c r="S905" s="58"/>
      <c r="T905" s="58"/>
      <c r="U905" s="117">
        <v>1.0</v>
      </c>
      <c r="V905" s="58"/>
      <c r="W905" s="117" t="s">
        <v>78</v>
      </c>
      <c r="X905" s="58"/>
      <c r="Y905" s="58"/>
      <c r="Z905" s="58"/>
      <c r="AA905" s="62" t="s">
        <v>79</v>
      </c>
      <c r="AB905" s="58"/>
      <c r="AC905" s="58"/>
      <c r="AD905" s="58"/>
      <c r="AE905" s="58"/>
      <c r="AF905" s="58"/>
      <c r="AG905" s="58"/>
      <c r="AH905" s="58"/>
      <c r="AI905" s="58"/>
      <c r="AJ905" s="58"/>
      <c r="AK905" s="58"/>
      <c r="AL905" s="58"/>
      <c r="AM905" s="58"/>
      <c r="AN905" s="58"/>
      <c r="AO905" s="58"/>
      <c r="AP905" s="117" t="s">
        <v>1601</v>
      </c>
      <c r="AQ905" s="117">
        <v>274.0</v>
      </c>
      <c r="AR905" s="117">
        <v>860.0</v>
      </c>
      <c r="AS905" s="117">
        <v>535.0</v>
      </c>
      <c r="AT905" s="117">
        <v>1742.0</v>
      </c>
      <c r="AU905" s="117" t="s">
        <v>1595</v>
      </c>
      <c r="AV905" s="117" t="s">
        <v>1596</v>
      </c>
      <c r="AW905" s="58"/>
      <c r="AX905" s="58"/>
      <c r="AY905" s="58"/>
      <c r="AZ905" s="58"/>
      <c r="BA905" s="58"/>
      <c r="BB905" s="58"/>
      <c r="BC905" s="58"/>
      <c r="BD905" s="58"/>
      <c r="BE905" s="58"/>
      <c r="BF905" s="117">
        <v>64.0</v>
      </c>
      <c r="BG905" s="117">
        <v>8.0</v>
      </c>
      <c r="BH905" s="116" t="s">
        <v>1597</v>
      </c>
      <c r="BI905" s="58"/>
      <c r="BJ905" s="116" t="s">
        <v>1598</v>
      </c>
      <c r="BK905" s="117" t="s">
        <v>1600</v>
      </c>
      <c r="BL905" s="58"/>
      <c r="BM905" s="58"/>
      <c r="BN905" s="63"/>
      <c r="BO905" s="58"/>
      <c r="BP905" s="58"/>
      <c r="BQ905" s="64"/>
    </row>
    <row r="906">
      <c r="A906" s="28">
        <v>1.0</v>
      </c>
      <c r="B906" s="29">
        <v>55500.0</v>
      </c>
      <c r="C906" s="30"/>
      <c r="D906" s="30"/>
      <c r="E906" s="30"/>
      <c r="F906" s="30"/>
      <c r="G906" s="30"/>
      <c r="H906" s="30"/>
      <c r="I906" s="31" t="str">
        <f t="shared" si="6"/>
        <v>55500</v>
      </c>
      <c r="J906" s="32"/>
      <c r="K906" s="32"/>
      <c r="L906" s="31" t="s">
        <v>1602</v>
      </c>
      <c r="M906" s="33">
        <v>1.0</v>
      </c>
      <c r="N906" s="32"/>
      <c r="O906" s="30"/>
      <c r="P906" s="32"/>
      <c r="Q906" s="32"/>
      <c r="R906" s="32"/>
      <c r="S906" s="32"/>
      <c r="T906" s="32"/>
      <c r="U906" s="34">
        <v>1.0</v>
      </c>
      <c r="V906" s="32"/>
      <c r="W906" s="34" t="s">
        <v>70</v>
      </c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  <c r="BF906" s="32"/>
      <c r="BG906" s="32"/>
      <c r="BH906" s="32"/>
      <c r="BI906" s="32"/>
      <c r="BJ906" s="32"/>
      <c r="BK906" s="32"/>
      <c r="BL906" s="32"/>
      <c r="BM906" s="32"/>
      <c r="BN906" s="35"/>
      <c r="BO906" s="32"/>
      <c r="BP906" s="32"/>
      <c r="BQ906" s="10"/>
    </row>
    <row r="907">
      <c r="A907" s="36">
        <v>2.0</v>
      </c>
      <c r="B907" s="37">
        <v>55520.0</v>
      </c>
      <c r="C907" s="38"/>
      <c r="D907" s="38"/>
      <c r="E907" s="38"/>
      <c r="F907" s="38"/>
      <c r="G907" s="38"/>
      <c r="H907" s="38"/>
      <c r="I907" s="39" t="str">
        <f t="shared" si="6"/>
        <v>55520</v>
      </c>
      <c r="J907" s="40"/>
      <c r="K907" s="40"/>
      <c r="L907" s="39" t="s">
        <v>1603</v>
      </c>
      <c r="M907" s="41">
        <v>1.0</v>
      </c>
      <c r="N907" s="42"/>
      <c r="O907" s="38"/>
      <c r="P907" s="42"/>
      <c r="Q907" s="42"/>
      <c r="R907" s="42"/>
      <c r="S907" s="42"/>
      <c r="T907" s="40"/>
      <c r="U907" s="43">
        <v>1.0</v>
      </c>
      <c r="V907" s="40"/>
      <c r="W907" s="43" t="s">
        <v>70</v>
      </c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2"/>
      <c r="AQ907" s="42"/>
      <c r="AR907" s="42"/>
      <c r="AS907" s="42"/>
      <c r="AT907" s="42"/>
      <c r="AU907" s="42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2"/>
      <c r="BI907" s="42"/>
      <c r="BJ907" s="42"/>
      <c r="BK907" s="42"/>
      <c r="BL907" s="42"/>
      <c r="BM907" s="40"/>
      <c r="BN907" s="44"/>
      <c r="BO907" s="40"/>
      <c r="BP907" s="42"/>
      <c r="BQ907" s="10"/>
    </row>
    <row r="908">
      <c r="A908" s="45">
        <v>3.0</v>
      </c>
      <c r="B908" s="46">
        <v>55521.0</v>
      </c>
      <c r="C908" s="47"/>
      <c r="D908" s="47"/>
      <c r="E908" s="47"/>
      <c r="F908" s="47"/>
      <c r="G908" s="47"/>
      <c r="H908" s="47"/>
      <c r="I908" s="48" t="str">
        <f t="shared" si="6"/>
        <v>55521</v>
      </c>
      <c r="J908" s="49"/>
      <c r="K908" s="49"/>
      <c r="L908" s="48" t="s">
        <v>1604</v>
      </c>
      <c r="M908" s="50">
        <v>1.0</v>
      </c>
      <c r="N908" s="51"/>
      <c r="O908" s="47"/>
      <c r="P908" s="51"/>
      <c r="Q908" s="51"/>
      <c r="R908" s="51"/>
      <c r="S908" s="51"/>
      <c r="T908" s="49"/>
      <c r="U908" s="52">
        <v>1.0</v>
      </c>
      <c r="V908" s="49"/>
      <c r="W908" s="52" t="s">
        <v>70</v>
      </c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51"/>
      <c r="AQ908" s="51"/>
      <c r="AR908" s="51"/>
      <c r="AS908" s="51"/>
      <c r="AT908" s="51"/>
      <c r="AU908" s="51"/>
      <c r="AV908" s="49"/>
      <c r="AW908" s="49"/>
      <c r="AX908" s="49"/>
      <c r="AY908" s="49"/>
      <c r="AZ908" s="49"/>
      <c r="BA908" s="49"/>
      <c r="BB908" s="49"/>
      <c r="BC908" s="49"/>
      <c r="BD908" s="49"/>
      <c r="BE908" s="49"/>
      <c r="BF908" s="49"/>
      <c r="BG908" s="49"/>
      <c r="BH908" s="51"/>
      <c r="BI908" s="51"/>
      <c r="BJ908" s="51"/>
      <c r="BK908" s="51"/>
      <c r="BL908" s="51"/>
      <c r="BM908" s="49"/>
      <c r="BN908" s="53"/>
      <c r="BO908" s="49"/>
      <c r="BP908" s="51"/>
      <c r="BQ908" s="10"/>
    </row>
    <row r="909">
      <c r="A909" s="70">
        <v>4.0</v>
      </c>
      <c r="B909" s="71">
        <v>55521.0</v>
      </c>
      <c r="C909" s="71" t="s">
        <v>76</v>
      </c>
      <c r="D909" s="56"/>
      <c r="E909" s="56"/>
      <c r="F909" s="56"/>
      <c r="G909" s="56"/>
      <c r="H909" s="56"/>
      <c r="I909" s="57" t="str">
        <f t="shared" si="6"/>
        <v>5552101</v>
      </c>
      <c r="J909" s="58"/>
      <c r="K909" s="58"/>
      <c r="L909" s="59" t="s">
        <v>1605</v>
      </c>
      <c r="M909" s="133">
        <v>1.0</v>
      </c>
      <c r="N909" s="117" t="s">
        <v>1606</v>
      </c>
      <c r="O909" s="118" t="s">
        <v>1607</v>
      </c>
      <c r="P909" s="58"/>
      <c r="Q909" s="58"/>
      <c r="R909" s="58"/>
      <c r="S909" s="58"/>
      <c r="T909" s="58"/>
      <c r="U909" s="117">
        <v>1.0</v>
      </c>
      <c r="V909" s="58"/>
      <c r="W909" s="117" t="s">
        <v>78</v>
      </c>
      <c r="X909" s="58"/>
      <c r="Y909" s="58"/>
      <c r="Z909" s="58"/>
      <c r="AA909" s="62" t="s">
        <v>79</v>
      </c>
      <c r="AB909" s="62" t="s">
        <v>79</v>
      </c>
      <c r="AC909" s="58"/>
      <c r="AD909" s="58"/>
      <c r="AE909" s="58"/>
      <c r="AF909" s="58"/>
      <c r="AG909" s="58"/>
      <c r="AH909" s="58"/>
      <c r="AI909" s="58"/>
      <c r="AJ909" s="58"/>
      <c r="AK909" s="58"/>
      <c r="AL909" s="58"/>
      <c r="AM909" s="58"/>
      <c r="AN909" s="58"/>
      <c r="AO909" s="58"/>
      <c r="AP909" s="117">
        <v>2400107.0</v>
      </c>
      <c r="AQ909" s="58"/>
      <c r="AR909" s="58"/>
      <c r="AS909" s="58"/>
      <c r="AT909" s="58"/>
      <c r="AU909" s="58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 t="s">
        <v>1608</v>
      </c>
      <c r="BI909" s="70">
        <v>14.0</v>
      </c>
      <c r="BJ909" s="116" t="s">
        <v>1609</v>
      </c>
      <c r="BK909" s="58"/>
      <c r="BL909" s="58"/>
      <c r="BM909" s="58"/>
      <c r="BN909" s="63"/>
      <c r="BO909" s="58"/>
      <c r="BP909" s="58"/>
      <c r="BQ909" s="64"/>
    </row>
    <row r="910">
      <c r="A910" s="70">
        <v>4.0</v>
      </c>
      <c r="B910" s="71">
        <v>55521.0</v>
      </c>
      <c r="C910" s="71" t="s">
        <v>119</v>
      </c>
      <c r="D910" s="79"/>
      <c r="E910" s="56"/>
      <c r="F910" s="56"/>
      <c r="G910" s="56"/>
      <c r="H910" s="56"/>
      <c r="I910" s="57" t="str">
        <f t="shared" si="6"/>
        <v>5552102</v>
      </c>
      <c r="J910" s="58"/>
      <c r="K910" s="58"/>
      <c r="L910" s="59" t="s">
        <v>1610</v>
      </c>
      <c r="M910" s="133">
        <v>1.0</v>
      </c>
      <c r="N910" s="117" t="s">
        <v>1611</v>
      </c>
      <c r="O910" s="118" t="s">
        <v>1612</v>
      </c>
      <c r="P910" s="58"/>
      <c r="Q910" s="58"/>
      <c r="R910" s="58"/>
      <c r="S910" s="58"/>
      <c r="T910" s="58"/>
      <c r="U910" s="117">
        <v>1.0</v>
      </c>
      <c r="V910" s="58"/>
      <c r="W910" s="117" t="s">
        <v>78</v>
      </c>
      <c r="X910" s="58"/>
      <c r="Y910" s="58"/>
      <c r="Z910" s="58"/>
      <c r="AA910" s="62" t="s">
        <v>79</v>
      </c>
      <c r="AB910" s="62" t="s">
        <v>79</v>
      </c>
      <c r="AC910" s="58"/>
      <c r="AD910" s="58"/>
      <c r="AE910" s="58"/>
      <c r="AF910" s="58"/>
      <c r="AG910" s="58"/>
      <c r="AH910" s="58"/>
      <c r="AI910" s="58"/>
      <c r="AJ910" s="58"/>
      <c r="AK910" s="58"/>
      <c r="AL910" s="58"/>
      <c r="AM910" s="58"/>
      <c r="AN910" s="58"/>
      <c r="AO910" s="58"/>
      <c r="AP910" s="117">
        <v>2400108.0</v>
      </c>
      <c r="AQ910" s="58"/>
      <c r="AR910" s="58"/>
      <c r="AS910" s="58"/>
      <c r="AT910" s="58"/>
      <c r="AU910" s="58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 t="s">
        <v>1608</v>
      </c>
      <c r="BI910" s="70">
        <v>14.0</v>
      </c>
      <c r="BJ910" s="116" t="s">
        <v>1609</v>
      </c>
      <c r="BK910" s="58"/>
      <c r="BL910" s="58"/>
      <c r="BM910" s="58"/>
      <c r="BN910" s="63"/>
      <c r="BO910" s="58"/>
      <c r="BP910" s="58"/>
      <c r="BQ910" s="64"/>
    </row>
    <row r="911">
      <c r="A911" s="143">
        <v>4.0</v>
      </c>
      <c r="B911" s="71">
        <v>55521.0</v>
      </c>
      <c r="C911" s="71" t="s">
        <v>124</v>
      </c>
      <c r="D911" s="79"/>
      <c r="E911" s="79"/>
      <c r="F911" s="79"/>
      <c r="G911" s="79"/>
      <c r="H911" s="79"/>
      <c r="I911" s="144" t="str">
        <f t="shared" si="6"/>
        <v>5552103</v>
      </c>
      <c r="J911" s="79"/>
      <c r="K911" s="79"/>
      <c r="L911" s="59" t="s">
        <v>1613</v>
      </c>
      <c r="M911" s="145">
        <v>2.0</v>
      </c>
      <c r="N911" s="81"/>
      <c r="O911" s="81"/>
      <c r="P911" s="81"/>
      <c r="Q911" s="81"/>
      <c r="R911" s="81"/>
      <c r="S911" s="81"/>
      <c r="T911" s="81"/>
      <c r="U911" s="117">
        <v>1.0</v>
      </c>
      <c r="V911" s="81"/>
      <c r="W911" s="81"/>
      <c r="X911" s="81"/>
      <c r="Y911" s="81"/>
      <c r="Z911" s="81"/>
      <c r="AA911" s="79"/>
      <c r="AB911" s="79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58" t="s">
        <v>1608</v>
      </c>
      <c r="BI911" s="143">
        <v>52.0</v>
      </c>
      <c r="BJ911" s="116" t="s">
        <v>1614</v>
      </c>
      <c r="BK911" s="81"/>
      <c r="BL911" s="79"/>
      <c r="BM911" s="81"/>
      <c r="BN911" s="81"/>
      <c r="BO911" s="83"/>
      <c r="BP911" s="58"/>
      <c r="BQ911" s="64"/>
    </row>
    <row r="912">
      <c r="A912" s="36">
        <v>2.0</v>
      </c>
      <c r="B912" s="37">
        <v>55530.0</v>
      </c>
      <c r="C912" s="38"/>
      <c r="D912" s="38"/>
      <c r="E912" s="38"/>
      <c r="F912" s="38"/>
      <c r="G912" s="38"/>
      <c r="H912" s="38"/>
      <c r="I912" s="39" t="str">
        <f t="shared" si="6"/>
        <v>55530</v>
      </c>
      <c r="J912" s="40"/>
      <c r="K912" s="40"/>
      <c r="L912" s="39" t="s">
        <v>1615</v>
      </c>
      <c r="M912" s="41">
        <v>1.0</v>
      </c>
      <c r="N912" s="42"/>
      <c r="O912" s="38"/>
      <c r="P912" s="42"/>
      <c r="Q912" s="42"/>
      <c r="R912" s="42"/>
      <c r="S912" s="42"/>
      <c r="T912" s="40"/>
      <c r="U912" s="43">
        <v>1.0</v>
      </c>
      <c r="V912" s="40"/>
      <c r="W912" s="43" t="s">
        <v>70</v>
      </c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2"/>
      <c r="AQ912" s="42"/>
      <c r="AR912" s="42"/>
      <c r="AS912" s="42"/>
      <c r="AT912" s="42"/>
      <c r="AU912" s="42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2"/>
      <c r="BI912" s="42"/>
      <c r="BJ912" s="42"/>
      <c r="BK912" s="42"/>
      <c r="BL912" s="42"/>
      <c r="BM912" s="40"/>
      <c r="BN912" s="44"/>
      <c r="BO912" s="40"/>
      <c r="BP912" s="42"/>
      <c r="BQ912" s="10"/>
    </row>
    <row r="913">
      <c r="A913" s="45">
        <v>3.0</v>
      </c>
      <c r="B913" s="46">
        <v>55531.0</v>
      </c>
      <c r="C913" s="47"/>
      <c r="D913" s="47"/>
      <c r="E913" s="47"/>
      <c r="F913" s="47"/>
      <c r="G913" s="47"/>
      <c r="H913" s="47"/>
      <c r="I913" s="48" t="str">
        <f t="shared" si="6"/>
        <v>55531</v>
      </c>
      <c r="J913" s="49"/>
      <c r="K913" s="49"/>
      <c r="L913" s="48" t="s">
        <v>1616</v>
      </c>
      <c r="M913" s="50">
        <v>1.0</v>
      </c>
      <c r="N913" s="51"/>
      <c r="O913" s="47"/>
      <c r="P913" s="51"/>
      <c r="Q913" s="51"/>
      <c r="R913" s="51"/>
      <c r="S913" s="51"/>
      <c r="T913" s="49"/>
      <c r="U913" s="52">
        <v>1.0</v>
      </c>
      <c r="V913" s="49"/>
      <c r="W913" s="52" t="s">
        <v>70</v>
      </c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51"/>
      <c r="AQ913" s="51"/>
      <c r="AR913" s="51"/>
      <c r="AS913" s="51"/>
      <c r="AT913" s="51"/>
      <c r="AU913" s="51"/>
      <c r="AV913" s="49"/>
      <c r="AW913" s="49"/>
      <c r="AX913" s="49"/>
      <c r="AY913" s="49"/>
      <c r="AZ913" s="49"/>
      <c r="BA913" s="49"/>
      <c r="BB913" s="49"/>
      <c r="BC913" s="49"/>
      <c r="BD913" s="49"/>
      <c r="BE913" s="49"/>
      <c r="BF913" s="49"/>
      <c r="BG913" s="49"/>
      <c r="BH913" s="51"/>
      <c r="BI913" s="51"/>
      <c r="BJ913" s="51"/>
      <c r="BK913" s="51"/>
      <c r="BL913" s="51"/>
      <c r="BM913" s="49"/>
      <c r="BN913" s="53"/>
      <c r="BO913" s="49"/>
      <c r="BP913" s="51"/>
      <c r="BQ913" s="10"/>
    </row>
    <row r="914">
      <c r="A914" s="70">
        <v>4.0</v>
      </c>
      <c r="B914" s="71">
        <v>55531.0</v>
      </c>
      <c r="C914" s="71" t="s">
        <v>76</v>
      </c>
      <c r="D914" s="56"/>
      <c r="E914" s="56"/>
      <c r="F914" s="56"/>
      <c r="G914" s="56"/>
      <c r="H914" s="56"/>
      <c r="I914" s="57" t="str">
        <f t="shared" si="6"/>
        <v>5553101</v>
      </c>
      <c r="J914" s="58"/>
      <c r="K914" s="58"/>
      <c r="L914" s="146" t="s">
        <v>1617</v>
      </c>
      <c r="M914" s="133">
        <v>1.0</v>
      </c>
      <c r="N914" s="117" t="s">
        <v>1618</v>
      </c>
      <c r="O914" s="118" t="s">
        <v>1619</v>
      </c>
      <c r="P914" s="58"/>
      <c r="Q914" s="58"/>
      <c r="R914" s="58"/>
      <c r="S914" s="58"/>
      <c r="T914" s="58"/>
      <c r="U914" s="117">
        <v>1.0</v>
      </c>
      <c r="V914" s="58"/>
      <c r="W914" s="117" t="s">
        <v>78</v>
      </c>
      <c r="X914" s="58"/>
      <c r="Y914" s="58"/>
      <c r="Z914" s="58"/>
      <c r="AA914" s="62" t="s">
        <v>79</v>
      </c>
      <c r="AB914" s="62" t="s">
        <v>79</v>
      </c>
      <c r="AC914" s="58"/>
      <c r="AD914" s="58"/>
      <c r="AE914" s="58"/>
      <c r="AF914" s="58"/>
      <c r="AG914" s="58"/>
      <c r="AH914" s="58"/>
      <c r="AI914" s="58"/>
      <c r="AJ914" s="58"/>
      <c r="AK914" s="58"/>
      <c r="AL914" s="58"/>
      <c r="AM914" s="58"/>
      <c r="AN914" s="58"/>
      <c r="AO914" s="58"/>
      <c r="AP914" s="117" t="s">
        <v>1620</v>
      </c>
      <c r="AQ914" s="58"/>
      <c r="AR914" s="58"/>
      <c r="AS914" s="58"/>
      <c r="AT914" s="58"/>
      <c r="AU914" s="58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 t="s">
        <v>1621</v>
      </c>
      <c r="BI914" s="70">
        <v>32.0</v>
      </c>
      <c r="BJ914" s="57" t="s">
        <v>1622</v>
      </c>
      <c r="BK914" s="58"/>
      <c r="BL914" s="58"/>
      <c r="BM914" s="58"/>
      <c r="BN914" s="63"/>
      <c r="BO914" s="58"/>
      <c r="BP914" s="58"/>
      <c r="BQ914" s="64"/>
    </row>
    <row r="915">
      <c r="A915" s="36">
        <v>2.0</v>
      </c>
      <c r="B915" s="37">
        <v>55550.0</v>
      </c>
      <c r="C915" s="38"/>
      <c r="D915" s="38"/>
      <c r="E915" s="38"/>
      <c r="F915" s="38"/>
      <c r="G915" s="38"/>
      <c r="H915" s="38"/>
      <c r="I915" s="39" t="str">
        <f t="shared" si="6"/>
        <v>55550</v>
      </c>
      <c r="J915" s="40"/>
      <c r="K915" s="40"/>
      <c r="L915" s="39" t="s">
        <v>1623</v>
      </c>
      <c r="M915" s="41">
        <v>1.0</v>
      </c>
      <c r="N915" s="42"/>
      <c r="O915" s="38"/>
      <c r="P915" s="42"/>
      <c r="Q915" s="42"/>
      <c r="R915" s="42"/>
      <c r="S915" s="42"/>
      <c r="T915" s="40"/>
      <c r="U915" s="43">
        <v>1.0</v>
      </c>
      <c r="V915" s="40"/>
      <c r="W915" s="43" t="s">
        <v>70</v>
      </c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2"/>
      <c r="AQ915" s="42"/>
      <c r="AR915" s="42"/>
      <c r="AS915" s="42"/>
      <c r="AT915" s="42"/>
      <c r="AU915" s="42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2"/>
      <c r="BI915" s="42"/>
      <c r="BJ915" s="42"/>
      <c r="BK915" s="42"/>
      <c r="BL915" s="42"/>
      <c r="BM915" s="40"/>
      <c r="BN915" s="44"/>
      <c r="BO915" s="40"/>
      <c r="BP915" s="42"/>
      <c r="BQ915" s="10"/>
    </row>
    <row r="916">
      <c r="A916" s="45">
        <v>3.0</v>
      </c>
      <c r="B916" s="46">
        <v>55551.0</v>
      </c>
      <c r="C916" s="47"/>
      <c r="D916" s="47"/>
      <c r="E916" s="47"/>
      <c r="F916" s="47"/>
      <c r="G916" s="47"/>
      <c r="H916" s="47"/>
      <c r="I916" s="48" t="str">
        <f t="shared" si="6"/>
        <v>55551</v>
      </c>
      <c r="J916" s="49"/>
      <c r="K916" s="49"/>
      <c r="L916" s="48" t="s">
        <v>1623</v>
      </c>
      <c r="M916" s="50">
        <v>1.0</v>
      </c>
      <c r="N916" s="51"/>
      <c r="O916" s="47"/>
      <c r="P916" s="51"/>
      <c r="Q916" s="51"/>
      <c r="R916" s="51"/>
      <c r="S916" s="51"/>
      <c r="T916" s="49"/>
      <c r="U916" s="52">
        <v>1.0</v>
      </c>
      <c r="V916" s="49"/>
      <c r="W916" s="52" t="s">
        <v>70</v>
      </c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51"/>
      <c r="AQ916" s="51"/>
      <c r="AR916" s="51"/>
      <c r="AS916" s="51"/>
      <c r="AT916" s="51"/>
      <c r="AU916" s="51"/>
      <c r="AV916" s="49"/>
      <c r="AW916" s="49"/>
      <c r="AX916" s="49"/>
      <c r="AY916" s="49"/>
      <c r="AZ916" s="49"/>
      <c r="BA916" s="49"/>
      <c r="BB916" s="49"/>
      <c r="BC916" s="49"/>
      <c r="BD916" s="49"/>
      <c r="BE916" s="49"/>
      <c r="BF916" s="49"/>
      <c r="BG916" s="49"/>
      <c r="BH916" s="51"/>
      <c r="BI916" s="51"/>
      <c r="BJ916" s="51"/>
      <c r="BK916" s="51"/>
      <c r="BL916" s="51"/>
      <c r="BM916" s="49"/>
      <c r="BN916" s="53"/>
      <c r="BO916" s="49"/>
      <c r="BP916" s="51"/>
      <c r="BQ916" s="10"/>
    </row>
    <row r="917">
      <c r="A917" s="70">
        <v>4.0</v>
      </c>
      <c r="B917" s="71">
        <v>55551.0</v>
      </c>
      <c r="C917" s="71" t="s">
        <v>76</v>
      </c>
      <c r="D917" s="56"/>
      <c r="E917" s="56"/>
      <c r="F917" s="56"/>
      <c r="G917" s="56"/>
      <c r="H917" s="56"/>
      <c r="I917" s="57" t="str">
        <f t="shared" si="6"/>
        <v>5555101</v>
      </c>
      <c r="J917" s="58"/>
      <c r="K917" s="58"/>
      <c r="L917" s="146" t="s">
        <v>1624</v>
      </c>
      <c r="M917" s="133">
        <v>1.0</v>
      </c>
      <c r="N917" s="117" t="s">
        <v>1625</v>
      </c>
      <c r="O917" s="118" t="s">
        <v>1626</v>
      </c>
      <c r="P917" s="117" t="s">
        <v>1627</v>
      </c>
      <c r="Q917" s="116" t="s">
        <v>1628</v>
      </c>
      <c r="R917" s="58"/>
      <c r="S917" s="58"/>
      <c r="T917" s="58"/>
      <c r="U917" s="117">
        <v>1.0</v>
      </c>
      <c r="V917" s="58"/>
      <c r="W917" s="117" t="s">
        <v>78</v>
      </c>
      <c r="X917" s="58"/>
      <c r="Y917" s="58"/>
      <c r="Z917" s="58"/>
      <c r="AA917" s="62" t="s">
        <v>79</v>
      </c>
      <c r="AB917" s="62" t="s">
        <v>79</v>
      </c>
      <c r="AC917" s="58"/>
      <c r="AD917" s="58"/>
      <c r="AE917" s="58"/>
      <c r="AF917" s="58"/>
      <c r="AG917" s="58"/>
      <c r="AH917" s="58"/>
      <c r="AI917" s="58"/>
      <c r="AJ917" s="58"/>
      <c r="AK917" s="58"/>
      <c r="AL917" s="58"/>
      <c r="AM917" s="58"/>
      <c r="AN917" s="58"/>
      <c r="AO917" s="58"/>
      <c r="AP917" s="117" t="s">
        <v>1627</v>
      </c>
      <c r="AQ917" s="58"/>
      <c r="AR917" s="58"/>
      <c r="AS917" s="58"/>
      <c r="AT917" s="58"/>
      <c r="AU917" s="58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 t="s">
        <v>1629</v>
      </c>
      <c r="BI917" s="70">
        <v>29.0</v>
      </c>
      <c r="BJ917" s="57" t="s">
        <v>1627</v>
      </c>
      <c r="BK917" s="58"/>
      <c r="BL917" s="58"/>
      <c r="BM917" s="58"/>
      <c r="BN917" s="63"/>
      <c r="BO917" s="58"/>
      <c r="BP917" s="58"/>
      <c r="BQ917" s="64"/>
    </row>
    <row r="918">
      <c r="A918" s="28">
        <v>1.0</v>
      </c>
      <c r="B918" s="29" t="s">
        <v>1630</v>
      </c>
      <c r="C918" s="30"/>
      <c r="D918" s="30"/>
      <c r="E918" s="30"/>
      <c r="F918" s="30"/>
      <c r="G918" s="30"/>
      <c r="H918" s="30"/>
      <c r="I918" s="31" t="str">
        <f t="shared" si="6"/>
        <v>55600</v>
      </c>
      <c r="J918" s="32"/>
      <c r="K918" s="32"/>
      <c r="L918" s="31" t="s">
        <v>1631</v>
      </c>
      <c r="M918" s="33">
        <v>1.0</v>
      </c>
      <c r="N918" s="32"/>
      <c r="O918" s="30"/>
      <c r="P918" s="32"/>
      <c r="Q918" s="32"/>
      <c r="R918" s="32"/>
      <c r="S918" s="32"/>
      <c r="T918" s="32"/>
      <c r="U918" s="34">
        <v>1.0</v>
      </c>
      <c r="V918" s="32"/>
      <c r="W918" s="34" t="s">
        <v>70</v>
      </c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  <c r="BF918" s="32"/>
      <c r="BG918" s="32"/>
      <c r="BH918" s="32"/>
      <c r="BI918" s="32"/>
      <c r="BJ918" s="32"/>
      <c r="BK918" s="32"/>
      <c r="BL918" s="32"/>
      <c r="BM918" s="32"/>
      <c r="BN918" s="35"/>
      <c r="BO918" s="32"/>
      <c r="BP918" s="32"/>
      <c r="BQ918" s="10"/>
    </row>
    <row r="919">
      <c r="A919" s="36">
        <v>2.0</v>
      </c>
      <c r="B919" s="37" t="s">
        <v>1632</v>
      </c>
      <c r="C919" s="38"/>
      <c r="D919" s="38"/>
      <c r="E919" s="38"/>
      <c r="F919" s="38"/>
      <c r="G919" s="38"/>
      <c r="H919" s="38"/>
      <c r="I919" s="39" t="str">
        <f t="shared" si="6"/>
        <v>55610</v>
      </c>
      <c r="J919" s="40"/>
      <c r="K919" s="40"/>
      <c r="L919" s="39" t="s">
        <v>1633</v>
      </c>
      <c r="M919" s="41">
        <v>1.0</v>
      </c>
      <c r="N919" s="42"/>
      <c r="O919" s="38"/>
      <c r="P919" s="42"/>
      <c r="Q919" s="42"/>
      <c r="R919" s="42"/>
      <c r="S919" s="42"/>
      <c r="T919" s="40"/>
      <c r="U919" s="43">
        <v>1.0</v>
      </c>
      <c r="V919" s="40"/>
      <c r="W919" s="43" t="s">
        <v>70</v>
      </c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2"/>
      <c r="AQ919" s="42"/>
      <c r="AR919" s="42"/>
      <c r="AS919" s="42"/>
      <c r="AT919" s="42"/>
      <c r="AU919" s="42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2"/>
      <c r="BI919" s="42"/>
      <c r="BJ919" s="42"/>
      <c r="BK919" s="42"/>
      <c r="BL919" s="42"/>
      <c r="BM919" s="40"/>
      <c r="BN919" s="44"/>
      <c r="BO919" s="40"/>
      <c r="BP919" s="42"/>
      <c r="BQ919" s="10"/>
    </row>
    <row r="920">
      <c r="A920" s="65">
        <v>3.0</v>
      </c>
      <c r="B920" s="66" t="s">
        <v>1634</v>
      </c>
      <c r="C920" s="56"/>
      <c r="D920" s="56"/>
      <c r="E920" s="56"/>
      <c r="F920" s="56"/>
      <c r="G920" s="56"/>
      <c r="H920" s="56"/>
      <c r="I920" s="67" t="str">
        <f t="shared" si="6"/>
        <v>55611</v>
      </c>
      <c r="J920" s="58"/>
      <c r="K920" s="58"/>
      <c r="L920" s="67" t="s">
        <v>1635</v>
      </c>
      <c r="M920" s="68">
        <v>1.0</v>
      </c>
      <c r="N920" s="58"/>
      <c r="O920" s="56"/>
      <c r="P920" s="58"/>
      <c r="Q920" s="114" t="s">
        <v>491</v>
      </c>
      <c r="R920" s="58"/>
      <c r="S920" s="114" t="s">
        <v>1636</v>
      </c>
      <c r="T920" s="58"/>
      <c r="U920" s="69">
        <v>1.0</v>
      </c>
      <c r="V920" s="58"/>
      <c r="W920" s="69" t="s">
        <v>70</v>
      </c>
      <c r="X920" s="58"/>
      <c r="Y920" s="58"/>
      <c r="Z920" s="58"/>
      <c r="AA920" s="58"/>
      <c r="AB920" s="58"/>
      <c r="AC920" s="58"/>
      <c r="AD920" s="58"/>
      <c r="AE920" s="58"/>
      <c r="AF920" s="58"/>
      <c r="AG920" s="58"/>
      <c r="AH920" s="58"/>
      <c r="AI920" s="58"/>
      <c r="AJ920" s="58"/>
      <c r="AK920" s="58"/>
      <c r="AL920" s="58"/>
      <c r="AM920" s="58"/>
      <c r="AN920" s="58"/>
      <c r="AO920" s="58"/>
      <c r="AP920" s="58"/>
      <c r="AQ920" s="58"/>
      <c r="AR920" s="58"/>
      <c r="AS920" s="58"/>
      <c r="AT920" s="58"/>
      <c r="AU920" s="58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63"/>
      <c r="BO920" s="58"/>
      <c r="BP920" s="58"/>
      <c r="BQ920" s="64"/>
    </row>
    <row r="921">
      <c r="A921" s="70">
        <v>4.0</v>
      </c>
      <c r="B921" s="71" t="s">
        <v>1634</v>
      </c>
      <c r="C921" s="71" t="s">
        <v>76</v>
      </c>
      <c r="D921" s="56"/>
      <c r="E921" s="56"/>
      <c r="F921" s="56"/>
      <c r="G921" s="56"/>
      <c r="H921" s="56"/>
      <c r="I921" s="58" t="str">
        <f t="shared" si="6"/>
        <v>5561101</v>
      </c>
      <c r="J921" s="58"/>
      <c r="K921" s="58"/>
      <c r="L921" s="59" t="s">
        <v>1637</v>
      </c>
      <c r="M921" s="133">
        <v>1.0</v>
      </c>
      <c r="N921" s="117" t="s">
        <v>1638</v>
      </c>
      <c r="O921" s="118" t="s">
        <v>1639</v>
      </c>
      <c r="P921" s="117" t="s">
        <v>1640</v>
      </c>
      <c r="Q921" s="121" t="s">
        <v>1636</v>
      </c>
      <c r="R921" s="117" t="s">
        <v>1640</v>
      </c>
      <c r="S921" s="121" t="s">
        <v>1636</v>
      </c>
      <c r="T921" s="58"/>
      <c r="U921" s="117">
        <v>1.0</v>
      </c>
      <c r="V921" s="58"/>
      <c r="W921" s="117" t="s">
        <v>78</v>
      </c>
      <c r="X921" s="58"/>
      <c r="Y921" s="58"/>
      <c r="Z921" s="58"/>
      <c r="AA921" s="62" t="s">
        <v>79</v>
      </c>
      <c r="AB921" s="62" t="s">
        <v>79</v>
      </c>
      <c r="AC921" s="58"/>
      <c r="AD921" s="58"/>
      <c r="AE921" s="58"/>
      <c r="AF921" s="58"/>
      <c r="AG921" s="58"/>
      <c r="AH921" s="58"/>
      <c r="AI921" s="58"/>
      <c r="AJ921" s="58"/>
      <c r="AK921" s="58"/>
      <c r="AL921" s="58"/>
      <c r="AM921" s="58"/>
      <c r="AN921" s="58"/>
      <c r="AO921" s="58"/>
      <c r="AP921" s="117" t="s">
        <v>1641</v>
      </c>
      <c r="AQ921" s="58"/>
      <c r="AR921" s="58"/>
      <c r="AS921" s="58"/>
      <c r="AT921" s="58"/>
      <c r="AU921" s="58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 t="s">
        <v>1642</v>
      </c>
      <c r="BI921" s="70">
        <v>2.0</v>
      </c>
      <c r="BJ921" s="116" t="s">
        <v>1643</v>
      </c>
      <c r="BK921" s="117" t="s">
        <v>1640</v>
      </c>
      <c r="BL921" s="58"/>
      <c r="BM921" s="58"/>
      <c r="BN921" s="63"/>
      <c r="BO921" s="58"/>
      <c r="BP921" s="58"/>
      <c r="BQ921" s="64"/>
    </row>
    <row r="922">
      <c r="A922" s="70">
        <v>4.0</v>
      </c>
      <c r="B922" s="71" t="s">
        <v>1634</v>
      </c>
      <c r="C922" s="71" t="s">
        <v>119</v>
      </c>
      <c r="D922" s="56"/>
      <c r="E922" s="56"/>
      <c r="F922" s="56"/>
      <c r="G922" s="56"/>
      <c r="H922" s="56"/>
      <c r="I922" s="58" t="str">
        <f t="shared" si="6"/>
        <v>5561102</v>
      </c>
      <c r="J922" s="58"/>
      <c r="K922" s="58"/>
      <c r="L922" s="59" t="s">
        <v>1644</v>
      </c>
      <c r="M922" s="133">
        <v>1.0</v>
      </c>
      <c r="N922" s="58"/>
      <c r="O922" s="118" t="s">
        <v>1645</v>
      </c>
      <c r="P922" s="117" t="s">
        <v>1646</v>
      </c>
      <c r="Q922" s="121" t="s">
        <v>1636</v>
      </c>
      <c r="R922" s="117" t="s">
        <v>1646</v>
      </c>
      <c r="S922" s="121" t="s">
        <v>1636</v>
      </c>
      <c r="T922" s="58"/>
      <c r="U922" s="117">
        <v>1.0</v>
      </c>
      <c r="V922" s="58"/>
      <c r="W922" s="117" t="s">
        <v>78</v>
      </c>
      <c r="X922" s="58"/>
      <c r="Y922" s="58"/>
      <c r="Z922" s="58"/>
      <c r="AA922" s="62" t="s">
        <v>79</v>
      </c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117" t="s">
        <v>80</v>
      </c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 t="s">
        <v>1642</v>
      </c>
      <c r="BI922" s="70">
        <v>6.0</v>
      </c>
      <c r="BJ922" s="116" t="s">
        <v>1647</v>
      </c>
      <c r="BK922" s="117" t="s">
        <v>1646</v>
      </c>
      <c r="BL922" s="58"/>
      <c r="BM922" s="58"/>
      <c r="BN922" s="63"/>
      <c r="BO922" s="58"/>
      <c r="BP922" s="58"/>
      <c r="BQ922" s="64"/>
    </row>
    <row r="923">
      <c r="A923" s="70">
        <v>4.0</v>
      </c>
      <c r="B923" s="71" t="s">
        <v>1634</v>
      </c>
      <c r="C923" s="71" t="s">
        <v>124</v>
      </c>
      <c r="D923" s="56"/>
      <c r="E923" s="56"/>
      <c r="F923" s="56"/>
      <c r="G923" s="56"/>
      <c r="H923" s="56"/>
      <c r="I923" s="58" t="str">
        <f t="shared" si="6"/>
        <v>5561103</v>
      </c>
      <c r="J923" s="58"/>
      <c r="K923" s="58"/>
      <c r="L923" s="59" t="s">
        <v>1648</v>
      </c>
      <c r="M923" s="133">
        <v>1.0</v>
      </c>
      <c r="N923" s="58"/>
      <c r="O923" s="118" t="s">
        <v>1649</v>
      </c>
      <c r="P923" s="117" t="s">
        <v>1650</v>
      </c>
      <c r="Q923" s="121" t="s">
        <v>1636</v>
      </c>
      <c r="R923" s="117" t="s">
        <v>1650</v>
      </c>
      <c r="S923" s="121" t="s">
        <v>1636</v>
      </c>
      <c r="T923" s="58"/>
      <c r="U923" s="117">
        <v>1.0</v>
      </c>
      <c r="V923" s="58"/>
      <c r="W923" s="117" t="s">
        <v>78</v>
      </c>
      <c r="X923" s="58"/>
      <c r="Y923" s="58"/>
      <c r="Z923" s="58"/>
      <c r="AA923" s="62" t="s">
        <v>79</v>
      </c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117" t="s">
        <v>80</v>
      </c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 t="s">
        <v>1642</v>
      </c>
      <c r="BI923" s="70">
        <v>7.0</v>
      </c>
      <c r="BJ923" s="116" t="s">
        <v>1651</v>
      </c>
      <c r="BK923" s="117" t="s">
        <v>1650</v>
      </c>
      <c r="BL923" s="58"/>
      <c r="BM923" s="58"/>
      <c r="BN923" s="63"/>
      <c r="BO923" s="58"/>
      <c r="BP923" s="58"/>
      <c r="BQ923" s="64"/>
    </row>
    <row r="924">
      <c r="A924" s="70">
        <v>4.0</v>
      </c>
      <c r="B924" s="71" t="s">
        <v>1634</v>
      </c>
      <c r="C924" s="71" t="s">
        <v>127</v>
      </c>
      <c r="D924" s="56"/>
      <c r="E924" s="56"/>
      <c r="F924" s="56"/>
      <c r="G924" s="56"/>
      <c r="H924" s="56"/>
      <c r="I924" s="58" t="str">
        <f t="shared" si="6"/>
        <v>5561104</v>
      </c>
      <c r="J924" s="58"/>
      <c r="K924" s="58"/>
      <c r="L924" s="59" t="s">
        <v>1652</v>
      </c>
      <c r="M924" s="133">
        <v>1.0</v>
      </c>
      <c r="N924" s="58"/>
      <c r="O924" s="118" t="s">
        <v>1653</v>
      </c>
      <c r="P924" s="117" t="s">
        <v>1654</v>
      </c>
      <c r="Q924" s="121" t="s">
        <v>1636</v>
      </c>
      <c r="R924" s="117" t="s">
        <v>1654</v>
      </c>
      <c r="S924" s="121" t="s">
        <v>1636</v>
      </c>
      <c r="T924" s="58"/>
      <c r="U924" s="117">
        <v>1.0</v>
      </c>
      <c r="V924" s="58"/>
      <c r="W924" s="117" t="s">
        <v>78</v>
      </c>
      <c r="X924" s="58"/>
      <c r="Y924" s="58"/>
      <c r="Z924" s="58"/>
      <c r="AA924" s="62" t="s">
        <v>79</v>
      </c>
      <c r="AB924" s="62" t="s">
        <v>79</v>
      </c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117" t="s">
        <v>1655</v>
      </c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 t="s">
        <v>1642</v>
      </c>
      <c r="BI924" s="70">
        <v>8.0</v>
      </c>
      <c r="BJ924" s="116" t="s">
        <v>1656</v>
      </c>
      <c r="BK924" s="117" t="s">
        <v>1654</v>
      </c>
      <c r="BL924" s="58"/>
      <c r="BM924" s="58"/>
      <c r="BN924" s="63"/>
      <c r="BO924" s="58"/>
      <c r="BP924" s="58"/>
      <c r="BQ924" s="64"/>
    </row>
    <row r="925">
      <c r="A925" s="70">
        <v>4.0</v>
      </c>
      <c r="B925" s="71" t="s">
        <v>1634</v>
      </c>
      <c r="C925" s="71" t="s">
        <v>91</v>
      </c>
      <c r="D925" s="56"/>
      <c r="E925" s="56"/>
      <c r="F925" s="56"/>
      <c r="G925" s="56"/>
      <c r="H925" s="56"/>
      <c r="I925" s="58" t="str">
        <f t="shared" si="6"/>
        <v>5561105</v>
      </c>
      <c r="J925" s="58"/>
      <c r="K925" s="58"/>
      <c r="L925" s="59" t="s">
        <v>1657</v>
      </c>
      <c r="M925" s="133">
        <v>1.0</v>
      </c>
      <c r="N925" s="58"/>
      <c r="O925" s="118" t="s">
        <v>1658</v>
      </c>
      <c r="P925" s="117" t="s">
        <v>1659</v>
      </c>
      <c r="Q925" s="121" t="s">
        <v>1636</v>
      </c>
      <c r="R925" s="117" t="s">
        <v>1659</v>
      </c>
      <c r="S925" s="121" t="s">
        <v>1636</v>
      </c>
      <c r="T925" s="58"/>
      <c r="U925" s="117">
        <v>1.0</v>
      </c>
      <c r="V925" s="58"/>
      <c r="W925" s="117" t="s">
        <v>78</v>
      </c>
      <c r="X925" s="58"/>
      <c r="Y925" s="58"/>
      <c r="Z925" s="58"/>
      <c r="AA925" s="62" t="s">
        <v>79</v>
      </c>
      <c r="AB925" s="62" t="s">
        <v>79</v>
      </c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117" t="s">
        <v>80</v>
      </c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 t="s">
        <v>1642</v>
      </c>
      <c r="BI925" s="70">
        <v>5.0</v>
      </c>
      <c r="BJ925" s="116" t="s">
        <v>1660</v>
      </c>
      <c r="BK925" s="117" t="s">
        <v>1659</v>
      </c>
      <c r="BL925" s="58"/>
      <c r="BM925" s="58"/>
      <c r="BN925" s="63"/>
      <c r="BO925" s="58"/>
      <c r="BP925" s="58"/>
      <c r="BQ925" s="64"/>
    </row>
    <row r="926">
      <c r="A926" s="70">
        <v>4.0</v>
      </c>
      <c r="B926" s="71" t="s">
        <v>1634</v>
      </c>
      <c r="C926" s="71" t="s">
        <v>133</v>
      </c>
      <c r="D926" s="56"/>
      <c r="E926" s="56"/>
      <c r="F926" s="56"/>
      <c r="G926" s="56"/>
      <c r="H926" s="56"/>
      <c r="I926" s="58" t="str">
        <f t="shared" si="6"/>
        <v>5561106</v>
      </c>
      <c r="J926" s="58"/>
      <c r="K926" s="58"/>
      <c r="L926" s="59" t="s">
        <v>1661</v>
      </c>
      <c r="M926" s="133">
        <v>1.0</v>
      </c>
      <c r="N926" s="58"/>
      <c r="O926" s="56"/>
      <c r="P926" s="117" t="s">
        <v>1662</v>
      </c>
      <c r="Q926" s="121" t="s">
        <v>1636</v>
      </c>
      <c r="R926" s="117" t="s">
        <v>1662</v>
      </c>
      <c r="S926" s="121" t="s">
        <v>1636</v>
      </c>
      <c r="T926" s="58"/>
      <c r="U926" s="117">
        <v>1.0</v>
      </c>
      <c r="V926" s="58"/>
      <c r="W926" s="117" t="s">
        <v>78</v>
      </c>
      <c r="X926" s="58"/>
      <c r="Y926" s="58"/>
      <c r="Z926" s="58"/>
      <c r="AA926" s="62" t="s">
        <v>79</v>
      </c>
      <c r="AB926" s="62" t="s">
        <v>79</v>
      </c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117" t="s">
        <v>80</v>
      </c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 t="s">
        <v>1642</v>
      </c>
      <c r="BI926" s="70">
        <v>3.0</v>
      </c>
      <c r="BJ926" s="116" t="s">
        <v>1663</v>
      </c>
      <c r="BK926" s="117" t="s">
        <v>1662</v>
      </c>
      <c r="BL926" s="58"/>
      <c r="BM926" s="58"/>
      <c r="BN926" s="63"/>
      <c r="BO926" s="58"/>
      <c r="BP926" s="58"/>
      <c r="BQ926" s="64"/>
    </row>
    <row r="927">
      <c r="A927" s="45">
        <v>3.0</v>
      </c>
      <c r="B927" s="46">
        <v>55612.0</v>
      </c>
      <c r="C927" s="47"/>
      <c r="D927" s="47"/>
      <c r="E927" s="47"/>
      <c r="F927" s="47"/>
      <c r="G927" s="47"/>
      <c r="H927" s="47"/>
      <c r="I927" s="48" t="str">
        <f t="shared" si="6"/>
        <v>55612</v>
      </c>
      <c r="J927" s="49"/>
      <c r="K927" s="49"/>
      <c r="L927" s="48" t="s">
        <v>1664</v>
      </c>
      <c r="M927" s="50">
        <v>1.0</v>
      </c>
      <c r="N927" s="51"/>
      <c r="O927" s="47"/>
      <c r="P927" s="51"/>
      <c r="Q927" s="51"/>
      <c r="R927" s="51"/>
      <c r="S927" s="51"/>
      <c r="T927" s="49"/>
      <c r="U927" s="52">
        <v>1.0</v>
      </c>
      <c r="V927" s="49"/>
      <c r="W927" s="52" t="s">
        <v>70</v>
      </c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51"/>
      <c r="AQ927" s="51"/>
      <c r="AR927" s="51"/>
      <c r="AS927" s="51"/>
      <c r="AT927" s="51"/>
      <c r="AU927" s="51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51"/>
      <c r="BI927" s="51"/>
      <c r="BJ927" s="51"/>
      <c r="BK927" s="51"/>
      <c r="BL927" s="51"/>
      <c r="BM927" s="49"/>
      <c r="BN927" s="53"/>
      <c r="BO927" s="49"/>
      <c r="BP927" s="51"/>
      <c r="BQ927" s="10"/>
    </row>
    <row r="928">
      <c r="A928" s="45">
        <v>3.0</v>
      </c>
      <c r="B928" s="46">
        <v>55613.0</v>
      </c>
      <c r="C928" s="47"/>
      <c r="D928" s="47"/>
      <c r="E928" s="47"/>
      <c r="F928" s="47"/>
      <c r="G928" s="47"/>
      <c r="H928" s="47"/>
      <c r="I928" s="48" t="str">
        <f t="shared" si="6"/>
        <v>55613</v>
      </c>
      <c r="J928" s="49"/>
      <c r="K928" s="49"/>
      <c r="L928" s="48" t="s">
        <v>1665</v>
      </c>
      <c r="M928" s="50">
        <v>1.0</v>
      </c>
      <c r="N928" s="51"/>
      <c r="O928" s="47"/>
      <c r="P928" s="51"/>
      <c r="Q928" s="51"/>
      <c r="R928" s="51"/>
      <c r="S928" s="51"/>
      <c r="T928" s="49"/>
      <c r="U928" s="52">
        <v>1.0</v>
      </c>
      <c r="V928" s="49"/>
      <c r="W928" s="52" t="s">
        <v>70</v>
      </c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51"/>
      <c r="AQ928" s="51"/>
      <c r="AR928" s="51"/>
      <c r="AS928" s="51"/>
      <c r="AT928" s="51"/>
      <c r="AU928" s="51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51"/>
      <c r="BI928" s="51"/>
      <c r="BJ928" s="51"/>
      <c r="BK928" s="51"/>
      <c r="BL928" s="51"/>
      <c r="BM928" s="49"/>
      <c r="BN928" s="53"/>
      <c r="BO928" s="49"/>
      <c r="BP928" s="51"/>
      <c r="BQ928" s="10"/>
    </row>
    <row r="929">
      <c r="A929" s="45">
        <v>3.0</v>
      </c>
      <c r="B929" s="46">
        <v>55614.0</v>
      </c>
      <c r="C929" s="47"/>
      <c r="D929" s="47"/>
      <c r="E929" s="47"/>
      <c r="F929" s="47"/>
      <c r="G929" s="47"/>
      <c r="H929" s="47"/>
      <c r="I929" s="48" t="str">
        <f t="shared" si="6"/>
        <v>55614</v>
      </c>
      <c r="J929" s="49"/>
      <c r="K929" s="49"/>
      <c r="L929" s="48" t="s">
        <v>1666</v>
      </c>
      <c r="M929" s="50">
        <v>1.0</v>
      </c>
      <c r="N929" s="51"/>
      <c r="O929" s="47"/>
      <c r="P929" s="51"/>
      <c r="Q929" s="51"/>
      <c r="R929" s="51"/>
      <c r="S929" s="51"/>
      <c r="T929" s="49"/>
      <c r="U929" s="52">
        <v>1.0</v>
      </c>
      <c r="V929" s="49"/>
      <c r="W929" s="52" t="s">
        <v>70</v>
      </c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51"/>
      <c r="AQ929" s="51"/>
      <c r="AR929" s="51"/>
      <c r="AS929" s="51"/>
      <c r="AT929" s="51"/>
      <c r="AU929" s="51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51"/>
      <c r="BI929" s="51"/>
      <c r="BJ929" s="51"/>
      <c r="BK929" s="51"/>
      <c r="BL929" s="51"/>
      <c r="BM929" s="49"/>
      <c r="BN929" s="53"/>
      <c r="BO929" s="49"/>
      <c r="BP929" s="51"/>
      <c r="BQ929" s="10"/>
    </row>
    <row r="930">
      <c r="A930" s="1">
        <v>4.0</v>
      </c>
      <c r="B930" s="2">
        <v>55614.0</v>
      </c>
      <c r="C930" s="2" t="s">
        <v>76</v>
      </c>
      <c r="D930" s="93"/>
      <c r="E930" s="93"/>
      <c r="F930" s="93"/>
      <c r="G930" s="93"/>
      <c r="H930" s="93"/>
      <c r="I930" s="140" t="str">
        <f t="shared" si="6"/>
        <v>5561401</v>
      </c>
      <c r="J930" s="3"/>
      <c r="K930" s="3"/>
      <c r="L930" s="94" t="s">
        <v>1667</v>
      </c>
      <c r="M930" s="141">
        <v>1.0</v>
      </c>
      <c r="N930" s="3"/>
      <c r="O930" s="93"/>
      <c r="P930" s="3"/>
      <c r="Q930" s="3"/>
      <c r="R930" s="3"/>
      <c r="S930" s="3"/>
      <c r="T930" s="3"/>
      <c r="U930" s="112">
        <v>2.0</v>
      </c>
      <c r="V930" s="3"/>
      <c r="W930" s="112" t="s">
        <v>78</v>
      </c>
      <c r="X930" s="3"/>
      <c r="Y930" s="3"/>
      <c r="Z930" s="3"/>
      <c r="AA930" s="96" t="s">
        <v>79</v>
      </c>
      <c r="AB930" s="96" t="s">
        <v>79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112" t="s">
        <v>80</v>
      </c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97"/>
      <c r="BO930" s="3"/>
      <c r="BP930" s="3"/>
      <c r="BQ930" s="10"/>
    </row>
    <row r="931">
      <c r="A931" s="1">
        <v>4.0</v>
      </c>
      <c r="B931" s="2">
        <v>55614.0</v>
      </c>
      <c r="C931" s="2" t="s">
        <v>119</v>
      </c>
      <c r="D931" s="93"/>
      <c r="E931" s="93"/>
      <c r="F931" s="93"/>
      <c r="G931" s="93"/>
      <c r="H931" s="93"/>
      <c r="I931" s="140" t="str">
        <f t="shared" si="6"/>
        <v>5561402</v>
      </c>
      <c r="J931" s="3"/>
      <c r="K931" s="3"/>
      <c r="L931" s="94" t="s">
        <v>1668</v>
      </c>
      <c r="M931" s="141">
        <v>2.0</v>
      </c>
      <c r="N931" s="3"/>
      <c r="O931" s="93"/>
      <c r="P931" s="3"/>
      <c r="Q931" s="3"/>
      <c r="R931" s="3"/>
      <c r="S931" s="3"/>
      <c r="T931" s="3"/>
      <c r="U931" s="112">
        <v>1.0</v>
      </c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97"/>
      <c r="BO931" s="3"/>
      <c r="BP931" s="3"/>
      <c r="BQ931" s="10"/>
    </row>
    <row r="932">
      <c r="A932" s="28">
        <v>1.0</v>
      </c>
      <c r="B932" s="29" t="s">
        <v>1669</v>
      </c>
      <c r="C932" s="30"/>
      <c r="D932" s="30"/>
      <c r="E932" s="30"/>
      <c r="F932" s="30"/>
      <c r="G932" s="30"/>
      <c r="H932" s="30"/>
      <c r="I932" s="31" t="str">
        <f t="shared" si="6"/>
        <v>55700</v>
      </c>
      <c r="J932" s="32"/>
      <c r="K932" s="32"/>
      <c r="L932" s="31" t="s">
        <v>1670</v>
      </c>
      <c r="M932" s="33">
        <v>1.0</v>
      </c>
      <c r="N932" s="32"/>
      <c r="O932" s="30"/>
      <c r="P932" s="32"/>
      <c r="Q932" s="32"/>
      <c r="R932" s="32"/>
      <c r="S932" s="32"/>
      <c r="T932" s="32"/>
      <c r="U932" s="34">
        <v>1.0</v>
      </c>
      <c r="V932" s="32"/>
      <c r="W932" s="34" t="s">
        <v>70</v>
      </c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  <c r="BF932" s="32"/>
      <c r="BG932" s="32"/>
      <c r="BH932" s="32"/>
      <c r="BI932" s="32"/>
      <c r="BJ932" s="32"/>
      <c r="BK932" s="32"/>
      <c r="BL932" s="32"/>
      <c r="BM932" s="32"/>
      <c r="BN932" s="35"/>
      <c r="BO932" s="32"/>
      <c r="BP932" s="32"/>
      <c r="BQ932" s="10"/>
    </row>
    <row r="933">
      <c r="A933" s="36">
        <v>2.0</v>
      </c>
      <c r="B933" s="37" t="s">
        <v>1671</v>
      </c>
      <c r="C933" s="38"/>
      <c r="D933" s="38"/>
      <c r="E933" s="38"/>
      <c r="F933" s="38"/>
      <c r="G933" s="38"/>
      <c r="H933" s="38"/>
      <c r="I933" s="39" t="str">
        <f t="shared" si="6"/>
        <v>55710</v>
      </c>
      <c r="J933" s="40"/>
      <c r="K933" s="40"/>
      <c r="L933" s="39" t="s">
        <v>1670</v>
      </c>
      <c r="M933" s="41">
        <v>1.0</v>
      </c>
      <c r="N933" s="42"/>
      <c r="O933" s="38"/>
      <c r="P933" s="42"/>
      <c r="Q933" s="42"/>
      <c r="R933" s="42"/>
      <c r="S933" s="42"/>
      <c r="T933" s="40"/>
      <c r="U933" s="43">
        <v>1.0</v>
      </c>
      <c r="V933" s="40"/>
      <c r="W933" s="43" t="s">
        <v>70</v>
      </c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2"/>
      <c r="AQ933" s="42"/>
      <c r="AR933" s="42"/>
      <c r="AS933" s="42"/>
      <c r="AT933" s="42"/>
      <c r="AU933" s="42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2"/>
      <c r="BI933" s="42"/>
      <c r="BJ933" s="42"/>
      <c r="BK933" s="42"/>
      <c r="BL933" s="42"/>
      <c r="BM933" s="40"/>
      <c r="BN933" s="44"/>
      <c r="BO933" s="40"/>
      <c r="BP933" s="42"/>
      <c r="BQ933" s="10"/>
    </row>
    <row r="934">
      <c r="A934" s="45">
        <v>3.0</v>
      </c>
      <c r="B934" s="46" t="s">
        <v>1672</v>
      </c>
      <c r="C934" s="47"/>
      <c r="D934" s="47"/>
      <c r="E934" s="47"/>
      <c r="F934" s="47"/>
      <c r="G934" s="47"/>
      <c r="H934" s="47"/>
      <c r="I934" s="48" t="str">
        <f t="shared" si="6"/>
        <v>55711</v>
      </c>
      <c r="J934" s="49"/>
      <c r="K934" s="49"/>
      <c r="L934" s="48" t="s">
        <v>1670</v>
      </c>
      <c r="M934" s="50">
        <v>1.0</v>
      </c>
      <c r="N934" s="51"/>
      <c r="O934" s="47"/>
      <c r="P934" s="51"/>
      <c r="Q934" s="51"/>
      <c r="R934" s="51"/>
      <c r="S934" s="51"/>
      <c r="T934" s="49"/>
      <c r="U934" s="52">
        <v>1.0</v>
      </c>
      <c r="V934" s="49"/>
      <c r="W934" s="52" t="s">
        <v>70</v>
      </c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51"/>
      <c r="AQ934" s="51"/>
      <c r="AR934" s="51"/>
      <c r="AS934" s="51"/>
      <c r="AT934" s="51"/>
      <c r="AU934" s="51"/>
      <c r="AV934" s="49"/>
      <c r="AW934" s="49"/>
      <c r="AX934" s="49"/>
      <c r="AY934" s="49"/>
      <c r="AZ934" s="49"/>
      <c r="BA934" s="49"/>
      <c r="BB934" s="49"/>
      <c r="BC934" s="49"/>
      <c r="BD934" s="49"/>
      <c r="BE934" s="49"/>
      <c r="BF934" s="49"/>
      <c r="BG934" s="49"/>
      <c r="BH934" s="51"/>
      <c r="BI934" s="51"/>
      <c r="BJ934" s="51"/>
      <c r="BK934" s="51"/>
      <c r="BL934" s="51"/>
      <c r="BM934" s="49"/>
      <c r="BN934" s="53"/>
      <c r="BO934" s="49"/>
      <c r="BP934" s="51"/>
      <c r="BQ934" s="10"/>
    </row>
    <row r="935">
      <c r="A935" s="147">
        <v>4.0</v>
      </c>
      <c r="B935" s="2" t="s">
        <v>1672</v>
      </c>
      <c r="C935" s="2" t="s">
        <v>76</v>
      </c>
      <c r="D935" s="10"/>
      <c r="E935" s="93"/>
      <c r="F935" s="93"/>
      <c r="G935" s="93"/>
      <c r="H935" s="93"/>
      <c r="I935" s="140" t="str">
        <f t="shared" si="6"/>
        <v>5571101</v>
      </c>
      <c r="J935" s="3"/>
      <c r="K935" s="3"/>
      <c r="L935" s="140" t="s">
        <v>1673</v>
      </c>
      <c r="M935" s="141">
        <v>2.0</v>
      </c>
      <c r="N935" s="3"/>
      <c r="O935" s="93"/>
      <c r="P935" s="3"/>
      <c r="Q935" s="3" t="s">
        <v>1674</v>
      </c>
      <c r="R935" s="3"/>
      <c r="S935" s="3"/>
      <c r="T935" s="3"/>
      <c r="U935" s="1">
        <v>1.0</v>
      </c>
      <c r="V935" s="3"/>
      <c r="W935" s="1" t="s">
        <v>304</v>
      </c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 t="s">
        <v>1675</v>
      </c>
      <c r="BK935" s="3"/>
      <c r="BL935" s="3"/>
      <c r="BM935" s="3"/>
      <c r="BN935" s="97"/>
      <c r="BO935" s="3"/>
      <c r="BP935" s="3"/>
      <c r="BQ935" s="10"/>
    </row>
    <row r="936">
      <c r="A936" s="147">
        <v>5.0</v>
      </c>
      <c r="B936" s="2" t="s">
        <v>1672</v>
      </c>
      <c r="C936" s="2" t="s">
        <v>76</v>
      </c>
      <c r="D936" s="148" t="s">
        <v>76</v>
      </c>
      <c r="E936" s="93"/>
      <c r="F936" s="93"/>
      <c r="G936" s="93"/>
      <c r="H936" s="93"/>
      <c r="I936" s="140" t="str">
        <f t="shared" si="6"/>
        <v>557110101</v>
      </c>
      <c r="J936" s="3"/>
      <c r="K936" s="3"/>
      <c r="L936" s="140" t="s">
        <v>1676</v>
      </c>
      <c r="M936" s="141">
        <v>1.0</v>
      </c>
      <c r="N936" s="3"/>
      <c r="O936" s="2" t="s">
        <v>1677</v>
      </c>
      <c r="P936" s="3"/>
      <c r="Q936" s="3" t="s">
        <v>1674</v>
      </c>
      <c r="R936" s="3"/>
      <c r="S936" s="3"/>
      <c r="T936" s="3"/>
      <c r="U936" s="1">
        <v>1.0</v>
      </c>
      <c r="V936" s="3"/>
      <c r="W936" s="1" t="s">
        <v>78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 t="s">
        <v>1675</v>
      </c>
      <c r="BK936" s="1" t="s">
        <v>1677</v>
      </c>
      <c r="BL936" s="3"/>
      <c r="BM936" s="3"/>
      <c r="BN936" s="97"/>
      <c r="BO936" s="3"/>
      <c r="BP936" s="3"/>
      <c r="BQ936" s="10"/>
    </row>
    <row r="937">
      <c r="A937" s="147">
        <v>6.0</v>
      </c>
      <c r="B937" s="2" t="s">
        <v>1672</v>
      </c>
      <c r="C937" s="2" t="s">
        <v>76</v>
      </c>
      <c r="D937" s="148" t="s">
        <v>76</v>
      </c>
      <c r="E937" s="149" t="s">
        <v>76</v>
      </c>
      <c r="F937" s="93"/>
      <c r="G937" s="93"/>
      <c r="H937" s="93"/>
      <c r="I937" s="140" t="str">
        <f t="shared" si="6"/>
        <v>55711010101</v>
      </c>
      <c r="J937" s="3"/>
      <c r="K937" s="3"/>
      <c r="L937" s="140" t="s">
        <v>1678</v>
      </c>
      <c r="M937" s="141">
        <v>2.0</v>
      </c>
      <c r="N937" s="3"/>
      <c r="O937" s="93"/>
      <c r="P937" s="3"/>
      <c r="Q937" s="3" t="s">
        <v>1674</v>
      </c>
      <c r="R937" s="3"/>
      <c r="S937" s="3"/>
      <c r="T937" s="3"/>
      <c r="U937" s="1">
        <v>2.0</v>
      </c>
      <c r="V937" s="3"/>
      <c r="W937" s="1" t="s">
        <v>160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 t="s">
        <v>1675</v>
      </c>
      <c r="BK937" s="3"/>
      <c r="BL937" s="3"/>
      <c r="BM937" s="3"/>
      <c r="BN937" s="97"/>
      <c r="BO937" s="3"/>
      <c r="BP937" s="3"/>
      <c r="BQ937" s="10"/>
    </row>
    <row r="938">
      <c r="A938" s="147">
        <v>6.0</v>
      </c>
      <c r="B938" s="2" t="s">
        <v>1672</v>
      </c>
      <c r="C938" s="2" t="s">
        <v>76</v>
      </c>
      <c r="D938" s="148" t="s">
        <v>76</v>
      </c>
      <c r="E938" s="149" t="s">
        <v>119</v>
      </c>
      <c r="F938" s="93"/>
      <c r="G938" s="93"/>
      <c r="H938" s="93"/>
      <c r="I938" s="140" t="str">
        <f t="shared" si="6"/>
        <v>55711010102</v>
      </c>
      <c r="J938" s="3"/>
      <c r="K938" s="3"/>
      <c r="L938" s="140" t="s">
        <v>1679</v>
      </c>
      <c r="M938" s="141">
        <v>2.0</v>
      </c>
      <c r="N938" s="3"/>
      <c r="O938" s="93"/>
      <c r="P938" s="3"/>
      <c r="Q938" s="3" t="s">
        <v>1674</v>
      </c>
      <c r="R938" s="3"/>
      <c r="S938" s="3"/>
      <c r="T938" s="3"/>
      <c r="U938" s="1">
        <v>4.0</v>
      </c>
      <c r="V938" s="3"/>
      <c r="W938" s="1" t="s">
        <v>160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 t="s">
        <v>1675</v>
      </c>
      <c r="BK938" s="3"/>
      <c r="BL938" s="3"/>
      <c r="BM938" s="3"/>
      <c r="BN938" s="97"/>
      <c r="BO938" s="3"/>
      <c r="BP938" s="3"/>
      <c r="BQ938" s="10"/>
    </row>
    <row r="939">
      <c r="A939" s="147">
        <v>6.0</v>
      </c>
      <c r="B939" s="2" t="s">
        <v>1672</v>
      </c>
      <c r="C939" s="2" t="s">
        <v>76</v>
      </c>
      <c r="D939" s="148" t="s">
        <v>76</v>
      </c>
      <c r="E939" s="149" t="s">
        <v>124</v>
      </c>
      <c r="F939" s="93"/>
      <c r="G939" s="93"/>
      <c r="H939" s="93"/>
      <c r="I939" s="140" t="str">
        <f t="shared" si="6"/>
        <v>55711010103</v>
      </c>
      <c r="J939" s="3"/>
      <c r="K939" s="3"/>
      <c r="L939" s="140" t="s">
        <v>1680</v>
      </c>
      <c r="M939" s="141">
        <v>2.0</v>
      </c>
      <c r="N939" s="3"/>
      <c r="O939" s="93"/>
      <c r="P939" s="3"/>
      <c r="Q939" s="3" t="s">
        <v>1674</v>
      </c>
      <c r="R939" s="3"/>
      <c r="S939" s="3"/>
      <c r="T939" s="3"/>
      <c r="U939" s="1">
        <v>1.0</v>
      </c>
      <c r="V939" s="3"/>
      <c r="W939" s="1" t="s">
        <v>160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 t="s">
        <v>1675</v>
      </c>
      <c r="BK939" s="3"/>
      <c r="BL939" s="3"/>
      <c r="BM939" s="3"/>
      <c r="BN939" s="97"/>
      <c r="BO939" s="3"/>
      <c r="BP939" s="3"/>
      <c r="BQ939" s="10"/>
    </row>
    <row r="940">
      <c r="A940" s="147">
        <v>6.0</v>
      </c>
      <c r="B940" s="2" t="s">
        <v>1672</v>
      </c>
      <c r="C940" s="2" t="s">
        <v>76</v>
      </c>
      <c r="D940" s="148" t="s">
        <v>76</v>
      </c>
      <c r="E940" s="149" t="s">
        <v>127</v>
      </c>
      <c r="F940" s="93"/>
      <c r="G940" s="93"/>
      <c r="H940" s="93"/>
      <c r="I940" s="140" t="str">
        <f t="shared" si="6"/>
        <v>55711010104</v>
      </c>
      <c r="J940" s="3"/>
      <c r="K940" s="3"/>
      <c r="L940" s="140" t="s">
        <v>1681</v>
      </c>
      <c r="M940" s="141">
        <v>2.0</v>
      </c>
      <c r="N940" s="3"/>
      <c r="O940" s="93"/>
      <c r="P940" s="3"/>
      <c r="Q940" s="3" t="s">
        <v>1674</v>
      </c>
      <c r="R940" s="3"/>
      <c r="S940" s="3"/>
      <c r="T940" s="3"/>
      <c r="U940" s="1">
        <v>3.0</v>
      </c>
      <c r="V940" s="3"/>
      <c r="W940" s="1" t="s">
        <v>160</v>
      </c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 t="s">
        <v>1675</v>
      </c>
      <c r="BK940" s="3"/>
      <c r="BL940" s="3"/>
      <c r="BM940" s="3"/>
      <c r="BN940" s="97"/>
      <c r="BO940" s="3"/>
      <c r="BP940" s="3"/>
      <c r="BQ940" s="10"/>
    </row>
    <row r="941">
      <c r="A941" s="147">
        <v>5.0</v>
      </c>
      <c r="B941" s="2" t="s">
        <v>1672</v>
      </c>
      <c r="C941" s="2" t="s">
        <v>76</v>
      </c>
      <c r="D941" s="149" t="s">
        <v>119</v>
      </c>
      <c r="E941" s="93"/>
      <c r="F941" s="93"/>
      <c r="G941" s="93"/>
      <c r="H941" s="93"/>
      <c r="I941" s="140" t="str">
        <f t="shared" si="6"/>
        <v>557110102</v>
      </c>
      <c r="J941" s="3"/>
      <c r="K941" s="3"/>
      <c r="L941" s="140" t="s">
        <v>1682</v>
      </c>
      <c r="M941" s="141">
        <v>1.0</v>
      </c>
      <c r="N941" s="3"/>
      <c r="O941" s="2" t="s">
        <v>1683</v>
      </c>
      <c r="P941" s="3"/>
      <c r="Q941" s="3" t="s">
        <v>1674</v>
      </c>
      <c r="R941" s="3"/>
      <c r="S941" s="3"/>
      <c r="T941" s="3"/>
      <c r="U941" s="1">
        <v>1.0</v>
      </c>
      <c r="V941" s="3"/>
      <c r="W941" s="1" t="s">
        <v>78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 t="s">
        <v>1675</v>
      </c>
      <c r="BK941" s="1" t="s">
        <v>1683</v>
      </c>
      <c r="BL941" s="3"/>
      <c r="BM941" s="3"/>
      <c r="BN941" s="97"/>
      <c r="BO941" s="3"/>
      <c r="BP941" s="3"/>
      <c r="BQ941" s="10"/>
    </row>
    <row r="942">
      <c r="A942" s="147">
        <v>6.0</v>
      </c>
      <c r="B942" s="2" t="s">
        <v>1672</v>
      </c>
      <c r="C942" s="2" t="s">
        <v>76</v>
      </c>
      <c r="D942" s="149" t="s">
        <v>119</v>
      </c>
      <c r="E942" s="148" t="s">
        <v>76</v>
      </c>
      <c r="F942" s="93"/>
      <c r="G942" s="93"/>
      <c r="H942" s="93"/>
      <c r="I942" s="140" t="str">
        <f t="shared" si="6"/>
        <v>55711010201</v>
      </c>
      <c r="J942" s="3"/>
      <c r="K942" s="3"/>
      <c r="L942" s="140" t="s">
        <v>1678</v>
      </c>
      <c r="M942" s="141">
        <v>2.0</v>
      </c>
      <c r="N942" s="3"/>
      <c r="O942" s="93"/>
      <c r="P942" s="3"/>
      <c r="Q942" s="3" t="s">
        <v>1674</v>
      </c>
      <c r="R942" s="3"/>
      <c r="S942" s="3"/>
      <c r="T942" s="3"/>
      <c r="U942" s="1">
        <v>2.0</v>
      </c>
      <c r="V942" s="3"/>
      <c r="W942" s="1" t="s">
        <v>160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 t="s">
        <v>1675</v>
      </c>
      <c r="BK942" s="3"/>
      <c r="BL942" s="3"/>
      <c r="BM942" s="3"/>
      <c r="BN942" s="97"/>
      <c r="BO942" s="3"/>
      <c r="BP942" s="3"/>
      <c r="BQ942" s="10"/>
    </row>
    <row r="943">
      <c r="A943" s="147">
        <v>6.0</v>
      </c>
      <c r="B943" s="2" t="s">
        <v>1672</v>
      </c>
      <c r="C943" s="2" t="s">
        <v>76</v>
      </c>
      <c r="D943" s="149" t="s">
        <v>119</v>
      </c>
      <c r="E943" s="148" t="s">
        <v>119</v>
      </c>
      <c r="F943" s="93"/>
      <c r="G943" s="93"/>
      <c r="H943" s="93"/>
      <c r="I943" s="140" t="str">
        <f t="shared" si="6"/>
        <v>55711010202</v>
      </c>
      <c r="J943" s="3"/>
      <c r="K943" s="3"/>
      <c r="L943" s="140" t="s">
        <v>1679</v>
      </c>
      <c r="M943" s="141">
        <v>2.0</v>
      </c>
      <c r="N943" s="3"/>
      <c r="O943" s="93"/>
      <c r="P943" s="3"/>
      <c r="Q943" s="3" t="s">
        <v>1674</v>
      </c>
      <c r="R943" s="3"/>
      <c r="S943" s="3"/>
      <c r="T943" s="3"/>
      <c r="U943" s="1">
        <v>4.0</v>
      </c>
      <c r="V943" s="3"/>
      <c r="W943" s="1" t="s">
        <v>160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 t="s">
        <v>1675</v>
      </c>
      <c r="BK943" s="3"/>
      <c r="BL943" s="3"/>
      <c r="BM943" s="3"/>
      <c r="BN943" s="97"/>
      <c r="BO943" s="3"/>
      <c r="BP943" s="3"/>
      <c r="BQ943" s="10"/>
    </row>
    <row r="944">
      <c r="A944" s="147">
        <v>6.0</v>
      </c>
      <c r="B944" s="2" t="s">
        <v>1672</v>
      </c>
      <c r="C944" s="2" t="s">
        <v>76</v>
      </c>
      <c r="D944" s="149" t="s">
        <v>119</v>
      </c>
      <c r="E944" s="148" t="s">
        <v>124</v>
      </c>
      <c r="F944" s="93"/>
      <c r="G944" s="93"/>
      <c r="H944" s="93"/>
      <c r="I944" s="140" t="str">
        <f t="shared" si="6"/>
        <v>55711010203</v>
      </c>
      <c r="J944" s="3"/>
      <c r="K944" s="3"/>
      <c r="L944" s="140" t="s">
        <v>1680</v>
      </c>
      <c r="M944" s="141">
        <v>2.0</v>
      </c>
      <c r="N944" s="3"/>
      <c r="O944" s="93"/>
      <c r="P944" s="3"/>
      <c r="Q944" s="3" t="s">
        <v>1674</v>
      </c>
      <c r="R944" s="3"/>
      <c r="S944" s="3"/>
      <c r="T944" s="3"/>
      <c r="U944" s="1">
        <v>1.0</v>
      </c>
      <c r="V944" s="3"/>
      <c r="W944" s="1" t="s">
        <v>160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 t="s">
        <v>1675</v>
      </c>
      <c r="BK944" s="3"/>
      <c r="BL944" s="3"/>
      <c r="BM944" s="3"/>
      <c r="BN944" s="97"/>
      <c r="BO944" s="3"/>
      <c r="BP944" s="3"/>
      <c r="BQ944" s="10"/>
    </row>
    <row r="945">
      <c r="A945" s="147">
        <v>6.0</v>
      </c>
      <c r="B945" s="2" t="s">
        <v>1672</v>
      </c>
      <c r="C945" s="2" t="s">
        <v>76</v>
      </c>
      <c r="D945" s="149" t="s">
        <v>119</v>
      </c>
      <c r="E945" s="148" t="s">
        <v>127</v>
      </c>
      <c r="F945" s="93"/>
      <c r="G945" s="93"/>
      <c r="H945" s="93"/>
      <c r="I945" s="140" t="str">
        <f t="shared" si="6"/>
        <v>55711010204</v>
      </c>
      <c r="J945" s="3"/>
      <c r="K945" s="3"/>
      <c r="L945" s="140" t="s">
        <v>1681</v>
      </c>
      <c r="M945" s="141">
        <v>2.0</v>
      </c>
      <c r="N945" s="3"/>
      <c r="O945" s="93"/>
      <c r="P945" s="3"/>
      <c r="Q945" s="3" t="s">
        <v>1674</v>
      </c>
      <c r="R945" s="3"/>
      <c r="S945" s="3"/>
      <c r="T945" s="3"/>
      <c r="U945" s="1">
        <v>3.0</v>
      </c>
      <c r="V945" s="3"/>
      <c r="W945" s="1" t="s">
        <v>160</v>
      </c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 t="s">
        <v>1675</v>
      </c>
      <c r="BK945" s="3"/>
      <c r="BL945" s="3"/>
      <c r="BM945" s="3"/>
      <c r="BN945" s="97"/>
      <c r="BO945" s="3"/>
      <c r="BP945" s="3"/>
      <c r="BQ945" s="10"/>
    </row>
    <row r="946">
      <c r="A946" s="70">
        <v>5.0</v>
      </c>
      <c r="B946" s="71" t="s">
        <v>1672</v>
      </c>
      <c r="C946" s="71" t="s">
        <v>76</v>
      </c>
      <c r="D946" s="71" t="s">
        <v>124</v>
      </c>
      <c r="E946" s="56"/>
      <c r="F946" s="56"/>
      <c r="G946" s="56"/>
      <c r="H946" s="56"/>
      <c r="I946" s="58" t="str">
        <f t="shared" si="6"/>
        <v>557110103</v>
      </c>
      <c r="J946" s="58"/>
      <c r="K946" s="58"/>
      <c r="L946" s="116" t="s">
        <v>1684</v>
      </c>
      <c r="M946" s="133">
        <v>1.0</v>
      </c>
      <c r="N946" s="117" t="s">
        <v>1685</v>
      </c>
      <c r="O946" s="118" t="s">
        <v>1686</v>
      </c>
      <c r="P946" s="58"/>
      <c r="Q946" s="121" t="s">
        <v>1674</v>
      </c>
      <c r="R946" s="58"/>
      <c r="S946" s="121" t="s">
        <v>1242</v>
      </c>
      <c r="T946" s="58"/>
      <c r="U946" s="117">
        <v>1.0</v>
      </c>
      <c r="V946" s="58"/>
      <c r="W946" s="117" t="s">
        <v>78</v>
      </c>
      <c r="X946" s="58"/>
      <c r="Y946" s="58"/>
      <c r="Z946" s="58"/>
      <c r="AA946" s="62" t="s">
        <v>79</v>
      </c>
      <c r="AB946" s="62" t="s">
        <v>79</v>
      </c>
      <c r="AC946" s="58"/>
      <c r="AD946" s="58"/>
      <c r="AE946" s="58"/>
      <c r="AF946" s="58"/>
      <c r="AG946" s="58"/>
      <c r="AH946" s="58"/>
      <c r="AI946" s="58"/>
      <c r="AJ946" s="58"/>
      <c r="AK946" s="58"/>
      <c r="AL946" s="58"/>
      <c r="AM946" s="58"/>
      <c r="AN946" s="58"/>
      <c r="AO946" s="58"/>
      <c r="AP946" s="117" t="s">
        <v>80</v>
      </c>
      <c r="AQ946" s="58"/>
      <c r="AR946" s="58"/>
      <c r="AS946" s="58"/>
      <c r="AT946" s="58"/>
      <c r="AU946" s="58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 t="s">
        <v>1687</v>
      </c>
      <c r="BI946" s="58"/>
      <c r="BJ946" s="116" t="s">
        <v>1675</v>
      </c>
      <c r="BK946" s="117" t="s">
        <v>1686</v>
      </c>
      <c r="BL946" s="58"/>
      <c r="BM946" s="58"/>
      <c r="BN946" s="63"/>
      <c r="BO946" s="58"/>
      <c r="BP946" s="58"/>
      <c r="BQ946" s="64"/>
    </row>
    <row r="947">
      <c r="A947" s="70">
        <v>5.0</v>
      </c>
      <c r="B947" s="71" t="s">
        <v>1672</v>
      </c>
      <c r="C947" s="71" t="s">
        <v>76</v>
      </c>
      <c r="D947" s="71" t="s">
        <v>127</v>
      </c>
      <c r="E947" s="56"/>
      <c r="F947" s="56"/>
      <c r="G947" s="56"/>
      <c r="H947" s="56"/>
      <c r="I947" s="58" t="str">
        <f t="shared" si="6"/>
        <v>557110104</v>
      </c>
      <c r="J947" s="58"/>
      <c r="K947" s="58"/>
      <c r="L947" s="116" t="s">
        <v>1688</v>
      </c>
      <c r="M947" s="133">
        <v>1.0</v>
      </c>
      <c r="N947" s="117" t="s">
        <v>1685</v>
      </c>
      <c r="O947" s="118" t="s">
        <v>1689</v>
      </c>
      <c r="P947" s="58"/>
      <c r="Q947" s="121" t="s">
        <v>1674</v>
      </c>
      <c r="R947" s="58"/>
      <c r="S947" s="121" t="s">
        <v>1242</v>
      </c>
      <c r="T947" s="58"/>
      <c r="U947" s="117">
        <v>1.0</v>
      </c>
      <c r="V947" s="58"/>
      <c r="W947" s="117" t="s">
        <v>78</v>
      </c>
      <c r="X947" s="58"/>
      <c r="Y947" s="58"/>
      <c r="Z947" s="58"/>
      <c r="AA947" s="62" t="s">
        <v>79</v>
      </c>
      <c r="AB947" s="58"/>
      <c r="AC947" s="58"/>
      <c r="AD947" s="58"/>
      <c r="AE947" s="58"/>
      <c r="AF947" s="58"/>
      <c r="AG947" s="58"/>
      <c r="AH947" s="58"/>
      <c r="AI947" s="58"/>
      <c r="AJ947" s="58"/>
      <c r="AK947" s="58"/>
      <c r="AL947" s="58"/>
      <c r="AM947" s="58"/>
      <c r="AN947" s="58"/>
      <c r="AO947" s="58"/>
      <c r="AP947" s="117" t="s">
        <v>80</v>
      </c>
      <c r="AQ947" s="58"/>
      <c r="AR947" s="58"/>
      <c r="AS947" s="58"/>
      <c r="AT947" s="58"/>
      <c r="AU947" s="58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 t="s">
        <v>1687</v>
      </c>
      <c r="BI947" s="58"/>
      <c r="BJ947" s="116" t="s">
        <v>1675</v>
      </c>
      <c r="BK947" s="117" t="s">
        <v>1689</v>
      </c>
      <c r="BL947" s="58"/>
      <c r="BM947" s="58"/>
      <c r="BN947" s="63"/>
      <c r="BO947" s="58"/>
      <c r="BP947" s="58"/>
      <c r="BQ947" s="64"/>
    </row>
    <row r="948">
      <c r="A948" s="70">
        <v>5.0</v>
      </c>
      <c r="B948" s="71" t="s">
        <v>1672</v>
      </c>
      <c r="C948" s="71" t="s">
        <v>76</v>
      </c>
      <c r="D948" s="71" t="s">
        <v>91</v>
      </c>
      <c r="E948" s="56"/>
      <c r="F948" s="56"/>
      <c r="G948" s="56"/>
      <c r="H948" s="56"/>
      <c r="I948" s="58" t="str">
        <f t="shared" si="6"/>
        <v>557110105</v>
      </c>
      <c r="J948" s="58"/>
      <c r="K948" s="58"/>
      <c r="L948" s="116" t="s">
        <v>1690</v>
      </c>
      <c r="M948" s="133">
        <v>1.0</v>
      </c>
      <c r="N948" s="117" t="s">
        <v>1685</v>
      </c>
      <c r="O948" s="118" t="s">
        <v>1691</v>
      </c>
      <c r="P948" s="58"/>
      <c r="Q948" s="121" t="s">
        <v>1674</v>
      </c>
      <c r="R948" s="58"/>
      <c r="S948" s="121" t="s">
        <v>1242</v>
      </c>
      <c r="T948" s="58"/>
      <c r="U948" s="117">
        <v>1.0</v>
      </c>
      <c r="V948" s="58"/>
      <c r="W948" s="117" t="s">
        <v>78</v>
      </c>
      <c r="X948" s="58"/>
      <c r="Y948" s="58"/>
      <c r="Z948" s="58"/>
      <c r="AA948" s="62" t="s">
        <v>79</v>
      </c>
      <c r="AB948" s="58"/>
      <c r="AC948" s="58"/>
      <c r="AD948" s="58"/>
      <c r="AE948" s="58"/>
      <c r="AF948" s="58"/>
      <c r="AG948" s="58"/>
      <c r="AH948" s="58"/>
      <c r="AI948" s="58"/>
      <c r="AJ948" s="58"/>
      <c r="AK948" s="58"/>
      <c r="AL948" s="58"/>
      <c r="AM948" s="58"/>
      <c r="AN948" s="58"/>
      <c r="AO948" s="58"/>
      <c r="AP948" s="117" t="s">
        <v>80</v>
      </c>
      <c r="AQ948" s="58"/>
      <c r="AR948" s="58"/>
      <c r="AS948" s="58"/>
      <c r="AT948" s="58"/>
      <c r="AU948" s="58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 t="s">
        <v>1687</v>
      </c>
      <c r="BI948" s="58"/>
      <c r="BJ948" s="116" t="s">
        <v>1675</v>
      </c>
      <c r="BK948" s="117" t="s">
        <v>1691</v>
      </c>
      <c r="BL948" s="58"/>
      <c r="BM948" s="58"/>
      <c r="BN948" s="63"/>
      <c r="BO948" s="58"/>
      <c r="BP948" s="58"/>
      <c r="BQ948" s="64"/>
    </row>
    <row r="949">
      <c r="A949" s="70">
        <v>5.0</v>
      </c>
      <c r="B949" s="71" t="s">
        <v>1672</v>
      </c>
      <c r="C949" s="71" t="s">
        <v>76</v>
      </c>
      <c r="D949" s="71" t="s">
        <v>133</v>
      </c>
      <c r="E949" s="56"/>
      <c r="F949" s="56"/>
      <c r="G949" s="56"/>
      <c r="H949" s="56"/>
      <c r="I949" s="58" t="str">
        <f t="shared" si="6"/>
        <v>557110106</v>
      </c>
      <c r="J949" s="58"/>
      <c r="K949" s="58"/>
      <c r="L949" s="116" t="s">
        <v>1692</v>
      </c>
      <c r="M949" s="133">
        <v>1.0</v>
      </c>
      <c r="N949" s="117" t="s">
        <v>1685</v>
      </c>
      <c r="O949" s="118" t="s">
        <v>1693</v>
      </c>
      <c r="P949" s="58"/>
      <c r="Q949" s="121" t="s">
        <v>1674</v>
      </c>
      <c r="R949" s="58"/>
      <c r="S949" s="121" t="s">
        <v>1242</v>
      </c>
      <c r="T949" s="58"/>
      <c r="U949" s="117">
        <v>1.0</v>
      </c>
      <c r="V949" s="58"/>
      <c r="W949" s="117" t="s">
        <v>78</v>
      </c>
      <c r="X949" s="58"/>
      <c r="Y949" s="58"/>
      <c r="Z949" s="58"/>
      <c r="AA949" s="62" t="s">
        <v>79</v>
      </c>
      <c r="AB949" s="58"/>
      <c r="AC949" s="58"/>
      <c r="AD949" s="58"/>
      <c r="AE949" s="58"/>
      <c r="AF949" s="58"/>
      <c r="AG949" s="58"/>
      <c r="AH949" s="58"/>
      <c r="AI949" s="58"/>
      <c r="AJ949" s="58"/>
      <c r="AK949" s="58"/>
      <c r="AL949" s="58"/>
      <c r="AM949" s="58"/>
      <c r="AN949" s="58"/>
      <c r="AO949" s="58"/>
      <c r="AP949" s="117" t="s">
        <v>80</v>
      </c>
      <c r="AQ949" s="58"/>
      <c r="AR949" s="58"/>
      <c r="AS949" s="58"/>
      <c r="AT949" s="58"/>
      <c r="AU949" s="58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 t="s">
        <v>1687</v>
      </c>
      <c r="BI949" s="58"/>
      <c r="BJ949" s="116" t="s">
        <v>1675</v>
      </c>
      <c r="BK949" s="117" t="s">
        <v>1693</v>
      </c>
      <c r="BL949" s="58"/>
      <c r="BM949" s="58"/>
      <c r="BN949" s="63"/>
      <c r="BO949" s="58"/>
      <c r="BP949" s="58"/>
      <c r="BQ949" s="64"/>
    </row>
    <row r="950">
      <c r="A950" s="70">
        <v>5.0</v>
      </c>
      <c r="B950" s="71" t="s">
        <v>1672</v>
      </c>
      <c r="C950" s="71" t="s">
        <v>76</v>
      </c>
      <c r="D950" s="71" t="s">
        <v>136</v>
      </c>
      <c r="E950" s="56"/>
      <c r="F950" s="56"/>
      <c r="G950" s="56"/>
      <c r="H950" s="56"/>
      <c r="I950" s="58" t="str">
        <f t="shared" si="6"/>
        <v>557110107</v>
      </c>
      <c r="J950" s="58"/>
      <c r="K950" s="58"/>
      <c r="L950" s="116" t="s">
        <v>1694</v>
      </c>
      <c r="M950" s="133">
        <v>1.0</v>
      </c>
      <c r="N950" s="117" t="s">
        <v>1695</v>
      </c>
      <c r="O950" s="118" t="s">
        <v>1696</v>
      </c>
      <c r="P950" s="117" t="s">
        <v>1697</v>
      </c>
      <c r="Q950" s="121" t="s">
        <v>1674</v>
      </c>
      <c r="R950" s="117" t="s">
        <v>1697</v>
      </c>
      <c r="S950" s="121" t="s">
        <v>1698</v>
      </c>
      <c r="T950" s="58"/>
      <c r="U950" s="117">
        <v>1.0</v>
      </c>
      <c r="V950" s="58"/>
      <c r="W950" s="117" t="s">
        <v>78</v>
      </c>
      <c r="X950" s="58"/>
      <c r="Y950" s="58"/>
      <c r="Z950" s="58"/>
      <c r="AA950" s="62" t="s">
        <v>79</v>
      </c>
      <c r="AB950" s="62" t="s">
        <v>79</v>
      </c>
      <c r="AC950" s="58"/>
      <c r="AD950" s="58"/>
      <c r="AE950" s="58"/>
      <c r="AF950" s="58"/>
      <c r="AG950" s="58"/>
      <c r="AH950" s="58"/>
      <c r="AI950" s="58"/>
      <c r="AJ950" s="58"/>
      <c r="AK950" s="58"/>
      <c r="AL950" s="58"/>
      <c r="AM950" s="58"/>
      <c r="AN950" s="58"/>
      <c r="AO950" s="58"/>
      <c r="AP950" s="117" t="s">
        <v>80</v>
      </c>
      <c r="AQ950" s="58"/>
      <c r="AR950" s="58"/>
      <c r="AS950" s="58"/>
      <c r="AT950" s="58"/>
      <c r="AU950" s="58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 t="s">
        <v>1699</v>
      </c>
      <c r="BI950" s="58"/>
      <c r="BJ950" s="116" t="s">
        <v>1675</v>
      </c>
      <c r="BK950" s="117" t="s">
        <v>1696</v>
      </c>
      <c r="BL950" s="58"/>
      <c r="BM950" s="58"/>
      <c r="BN950" s="63"/>
      <c r="BO950" s="58"/>
      <c r="BP950" s="58"/>
      <c r="BQ950" s="64"/>
    </row>
    <row r="951">
      <c r="A951" s="70">
        <v>5.0</v>
      </c>
      <c r="B951" s="71" t="s">
        <v>1672</v>
      </c>
      <c r="C951" s="71" t="s">
        <v>76</v>
      </c>
      <c r="D951" s="71" t="s">
        <v>138</v>
      </c>
      <c r="E951" s="56"/>
      <c r="F951" s="56"/>
      <c r="G951" s="56"/>
      <c r="H951" s="56"/>
      <c r="I951" s="58" t="str">
        <f t="shared" si="6"/>
        <v>557110108</v>
      </c>
      <c r="J951" s="58"/>
      <c r="K951" s="58"/>
      <c r="L951" s="116" t="s">
        <v>1700</v>
      </c>
      <c r="M951" s="133">
        <v>1.0</v>
      </c>
      <c r="N951" s="117" t="s">
        <v>1695</v>
      </c>
      <c r="O951" s="118" t="s">
        <v>1701</v>
      </c>
      <c r="P951" s="117" t="s">
        <v>1697</v>
      </c>
      <c r="Q951" s="121" t="s">
        <v>1674</v>
      </c>
      <c r="R951" s="117" t="s">
        <v>1697</v>
      </c>
      <c r="S951" s="121" t="s">
        <v>1698</v>
      </c>
      <c r="T951" s="58"/>
      <c r="U951" s="117">
        <v>1.0</v>
      </c>
      <c r="V951" s="58"/>
      <c r="W951" s="117" t="s">
        <v>78</v>
      </c>
      <c r="X951" s="58"/>
      <c r="Y951" s="58"/>
      <c r="Z951" s="58"/>
      <c r="AA951" s="62" t="s">
        <v>79</v>
      </c>
      <c r="AB951" s="58"/>
      <c r="AC951" s="58"/>
      <c r="AD951" s="58"/>
      <c r="AE951" s="58"/>
      <c r="AF951" s="58"/>
      <c r="AG951" s="58"/>
      <c r="AH951" s="58"/>
      <c r="AI951" s="58"/>
      <c r="AJ951" s="58"/>
      <c r="AK951" s="58"/>
      <c r="AL951" s="58"/>
      <c r="AM951" s="58"/>
      <c r="AN951" s="58"/>
      <c r="AO951" s="58"/>
      <c r="AP951" s="117" t="s">
        <v>80</v>
      </c>
      <c r="AQ951" s="58"/>
      <c r="AR951" s="58"/>
      <c r="AS951" s="58"/>
      <c r="AT951" s="58"/>
      <c r="AU951" s="58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 t="s">
        <v>1699</v>
      </c>
      <c r="BI951" s="58"/>
      <c r="BJ951" s="116" t="s">
        <v>1675</v>
      </c>
      <c r="BK951" s="117" t="s">
        <v>1701</v>
      </c>
      <c r="BL951" s="58"/>
      <c r="BM951" s="58"/>
      <c r="BN951" s="63"/>
      <c r="BO951" s="58"/>
      <c r="BP951" s="58"/>
      <c r="BQ951" s="64"/>
    </row>
    <row r="952">
      <c r="A952" s="70">
        <v>5.0</v>
      </c>
      <c r="B952" s="71" t="s">
        <v>1672</v>
      </c>
      <c r="C952" s="71" t="s">
        <v>76</v>
      </c>
      <c r="D952" s="71" t="s">
        <v>142</v>
      </c>
      <c r="E952" s="56"/>
      <c r="F952" s="56"/>
      <c r="G952" s="56"/>
      <c r="H952" s="56"/>
      <c r="I952" s="58" t="str">
        <f t="shared" si="6"/>
        <v>557110109</v>
      </c>
      <c r="J952" s="58"/>
      <c r="K952" s="58"/>
      <c r="L952" s="116" t="s">
        <v>1702</v>
      </c>
      <c r="M952" s="133">
        <v>1.0</v>
      </c>
      <c r="N952" s="117" t="s">
        <v>1703</v>
      </c>
      <c r="O952" s="118" t="s">
        <v>1704</v>
      </c>
      <c r="P952" s="58"/>
      <c r="Q952" s="121" t="s">
        <v>1674</v>
      </c>
      <c r="R952" s="58"/>
      <c r="S952" s="121" t="s">
        <v>1705</v>
      </c>
      <c r="T952" s="58"/>
      <c r="U952" s="117">
        <v>1.0</v>
      </c>
      <c r="V952" s="58"/>
      <c r="W952" s="117" t="s">
        <v>78</v>
      </c>
      <c r="X952" s="58"/>
      <c r="Y952" s="58"/>
      <c r="Z952" s="58"/>
      <c r="AA952" s="62" t="s">
        <v>79</v>
      </c>
      <c r="AB952" s="62" t="s">
        <v>79</v>
      </c>
      <c r="AC952" s="58"/>
      <c r="AD952" s="58"/>
      <c r="AE952" s="58"/>
      <c r="AF952" s="58"/>
      <c r="AG952" s="58"/>
      <c r="AH952" s="58"/>
      <c r="AI952" s="58"/>
      <c r="AJ952" s="58"/>
      <c r="AK952" s="58"/>
      <c r="AL952" s="58"/>
      <c r="AM952" s="58"/>
      <c r="AN952" s="58"/>
      <c r="AO952" s="58"/>
      <c r="AP952" s="117" t="s">
        <v>1706</v>
      </c>
      <c r="AQ952" s="58"/>
      <c r="AR952" s="58"/>
      <c r="AS952" s="58"/>
      <c r="AT952" s="58"/>
      <c r="AU952" s="58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 t="s">
        <v>1707</v>
      </c>
      <c r="BI952" s="58"/>
      <c r="BJ952" s="116" t="s">
        <v>1675</v>
      </c>
      <c r="BK952" s="117" t="s">
        <v>1704</v>
      </c>
      <c r="BL952" s="58"/>
      <c r="BM952" s="58"/>
      <c r="BN952" s="63"/>
      <c r="BO952" s="58"/>
      <c r="BP952" s="58"/>
      <c r="BQ952" s="64"/>
    </row>
    <row r="953">
      <c r="A953" s="70">
        <v>5.0</v>
      </c>
      <c r="B953" s="71" t="s">
        <v>1672</v>
      </c>
      <c r="C953" s="71" t="s">
        <v>76</v>
      </c>
      <c r="D953" s="71" t="s">
        <v>149</v>
      </c>
      <c r="E953" s="56"/>
      <c r="F953" s="56"/>
      <c r="G953" s="56"/>
      <c r="H953" s="56"/>
      <c r="I953" s="58" t="str">
        <f t="shared" si="6"/>
        <v>55711010A</v>
      </c>
      <c r="J953" s="58"/>
      <c r="K953" s="58"/>
      <c r="L953" s="116" t="s">
        <v>1708</v>
      </c>
      <c r="M953" s="133">
        <v>1.0</v>
      </c>
      <c r="N953" s="117" t="s">
        <v>1703</v>
      </c>
      <c r="O953" s="118" t="s">
        <v>1709</v>
      </c>
      <c r="P953" s="58"/>
      <c r="Q953" s="121" t="s">
        <v>1674</v>
      </c>
      <c r="R953" s="58"/>
      <c r="S953" s="121" t="s">
        <v>1705</v>
      </c>
      <c r="T953" s="58"/>
      <c r="U953" s="117">
        <v>1.0</v>
      </c>
      <c r="V953" s="58"/>
      <c r="W953" s="117" t="s">
        <v>78</v>
      </c>
      <c r="X953" s="58"/>
      <c r="Y953" s="58"/>
      <c r="Z953" s="58"/>
      <c r="AA953" s="62" t="s">
        <v>79</v>
      </c>
      <c r="AB953" s="58"/>
      <c r="AC953" s="58"/>
      <c r="AD953" s="58"/>
      <c r="AE953" s="58"/>
      <c r="AF953" s="58"/>
      <c r="AG953" s="58"/>
      <c r="AH953" s="58"/>
      <c r="AI953" s="58"/>
      <c r="AJ953" s="58"/>
      <c r="AK953" s="58"/>
      <c r="AL953" s="58"/>
      <c r="AM953" s="58"/>
      <c r="AN953" s="58"/>
      <c r="AO953" s="58"/>
      <c r="AP953" s="117" t="s">
        <v>1706</v>
      </c>
      <c r="AQ953" s="58"/>
      <c r="AR953" s="58"/>
      <c r="AS953" s="58"/>
      <c r="AT953" s="58"/>
      <c r="AU953" s="58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 t="s">
        <v>1707</v>
      </c>
      <c r="BI953" s="58"/>
      <c r="BJ953" s="116" t="s">
        <v>1675</v>
      </c>
      <c r="BK953" s="117" t="s">
        <v>1704</v>
      </c>
      <c r="BL953" s="58"/>
      <c r="BM953" s="58"/>
      <c r="BN953" s="63"/>
      <c r="BO953" s="58"/>
      <c r="BP953" s="58"/>
      <c r="BQ953" s="64"/>
    </row>
    <row r="954">
      <c r="A954" s="70">
        <v>5.0</v>
      </c>
      <c r="B954" s="71" t="s">
        <v>1672</v>
      </c>
      <c r="C954" s="71" t="s">
        <v>76</v>
      </c>
      <c r="D954" s="71" t="s">
        <v>151</v>
      </c>
      <c r="E954" s="56"/>
      <c r="F954" s="56"/>
      <c r="G954" s="56"/>
      <c r="H954" s="56"/>
      <c r="I954" s="58" t="str">
        <f t="shared" si="6"/>
        <v>55711010B</v>
      </c>
      <c r="J954" s="58"/>
      <c r="K954" s="58"/>
      <c r="L954" s="116" t="s">
        <v>1710</v>
      </c>
      <c r="M954" s="133">
        <v>1.0</v>
      </c>
      <c r="N954" s="117" t="s">
        <v>1703</v>
      </c>
      <c r="O954" s="118" t="s">
        <v>1711</v>
      </c>
      <c r="P954" s="58"/>
      <c r="Q954" s="121" t="s">
        <v>1674</v>
      </c>
      <c r="R954" s="58"/>
      <c r="S954" s="121" t="s">
        <v>1705</v>
      </c>
      <c r="T954" s="58"/>
      <c r="U954" s="117">
        <v>1.0</v>
      </c>
      <c r="V954" s="58"/>
      <c r="W954" s="117" t="s">
        <v>78</v>
      </c>
      <c r="X954" s="58"/>
      <c r="Y954" s="58"/>
      <c r="Z954" s="58"/>
      <c r="AA954" s="62" t="s">
        <v>79</v>
      </c>
      <c r="AB954" s="58"/>
      <c r="AC954" s="58"/>
      <c r="AD954" s="58"/>
      <c r="AE954" s="58"/>
      <c r="AF954" s="58"/>
      <c r="AG954" s="58"/>
      <c r="AH954" s="58"/>
      <c r="AI954" s="58"/>
      <c r="AJ954" s="58"/>
      <c r="AK954" s="58"/>
      <c r="AL954" s="58"/>
      <c r="AM954" s="58"/>
      <c r="AN954" s="58"/>
      <c r="AO954" s="58"/>
      <c r="AP954" s="117" t="s">
        <v>1712</v>
      </c>
      <c r="AQ954" s="58"/>
      <c r="AR954" s="58"/>
      <c r="AS954" s="58"/>
      <c r="AT954" s="58"/>
      <c r="AU954" s="58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 t="s">
        <v>1707</v>
      </c>
      <c r="BI954" s="58"/>
      <c r="BJ954" s="116" t="s">
        <v>1675</v>
      </c>
      <c r="BK954" s="117" t="s">
        <v>1711</v>
      </c>
      <c r="BL954" s="58"/>
      <c r="BM954" s="58"/>
      <c r="BN954" s="63"/>
      <c r="BO954" s="58"/>
      <c r="BP954" s="58"/>
      <c r="BQ954" s="64"/>
    </row>
    <row r="955">
      <c r="A955" s="70">
        <v>5.0</v>
      </c>
      <c r="B955" s="71" t="s">
        <v>1672</v>
      </c>
      <c r="C955" s="71" t="s">
        <v>76</v>
      </c>
      <c r="D955" s="71" t="s">
        <v>155</v>
      </c>
      <c r="E955" s="56"/>
      <c r="F955" s="56"/>
      <c r="G955" s="56"/>
      <c r="H955" s="56"/>
      <c r="I955" s="58" t="str">
        <f t="shared" si="6"/>
        <v>55711010C</v>
      </c>
      <c r="J955" s="58"/>
      <c r="K955" s="58"/>
      <c r="L955" s="116" t="s">
        <v>1713</v>
      </c>
      <c r="M955" s="133">
        <v>1.0</v>
      </c>
      <c r="N955" s="117" t="s">
        <v>1703</v>
      </c>
      <c r="O955" s="118" t="s">
        <v>1714</v>
      </c>
      <c r="P955" s="58"/>
      <c r="Q955" s="121" t="s">
        <v>1674</v>
      </c>
      <c r="R955" s="58"/>
      <c r="S955" s="121" t="s">
        <v>1705</v>
      </c>
      <c r="T955" s="58"/>
      <c r="U955" s="117">
        <v>1.0</v>
      </c>
      <c r="V955" s="58"/>
      <c r="W955" s="117" t="s">
        <v>78</v>
      </c>
      <c r="X955" s="58"/>
      <c r="Y955" s="58"/>
      <c r="Z955" s="58"/>
      <c r="AA955" s="62" t="s">
        <v>79</v>
      </c>
      <c r="AB955" s="58"/>
      <c r="AC955" s="58"/>
      <c r="AD955" s="58"/>
      <c r="AE955" s="58"/>
      <c r="AF955" s="58"/>
      <c r="AG955" s="58"/>
      <c r="AH955" s="58"/>
      <c r="AI955" s="58"/>
      <c r="AJ955" s="58"/>
      <c r="AK955" s="58"/>
      <c r="AL955" s="58"/>
      <c r="AM955" s="58"/>
      <c r="AN955" s="58"/>
      <c r="AO955" s="58"/>
      <c r="AP955" s="117" t="s">
        <v>1715</v>
      </c>
      <c r="AQ955" s="58"/>
      <c r="AR955" s="58"/>
      <c r="AS955" s="58"/>
      <c r="AT955" s="58"/>
      <c r="AU955" s="58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 t="s">
        <v>1707</v>
      </c>
      <c r="BI955" s="58"/>
      <c r="BJ955" s="116" t="s">
        <v>1675</v>
      </c>
      <c r="BK955" s="117" t="s">
        <v>1714</v>
      </c>
      <c r="BL955" s="58"/>
      <c r="BM955" s="58"/>
      <c r="BN955" s="63"/>
      <c r="BO955" s="58"/>
      <c r="BP955" s="58"/>
      <c r="BQ955" s="64"/>
    </row>
    <row r="956">
      <c r="A956" s="54">
        <v>5.0</v>
      </c>
      <c r="B956" s="71" t="s">
        <v>1672</v>
      </c>
      <c r="C956" s="71" t="s">
        <v>76</v>
      </c>
      <c r="D956" s="71" t="s">
        <v>158</v>
      </c>
      <c r="E956" s="56"/>
      <c r="F956" s="56"/>
      <c r="G956" s="56"/>
      <c r="H956" s="56"/>
      <c r="I956" s="57" t="str">
        <f t="shared" si="6"/>
        <v>55711010D</v>
      </c>
      <c r="J956" s="58"/>
      <c r="K956" s="58"/>
      <c r="L956" s="57" t="s">
        <v>1716</v>
      </c>
      <c r="M956" s="133">
        <v>1.0</v>
      </c>
      <c r="N956" s="58"/>
      <c r="O956" s="71" t="s">
        <v>1717</v>
      </c>
      <c r="P956" s="58"/>
      <c r="Q956" s="58" t="s">
        <v>1674</v>
      </c>
      <c r="R956" s="58"/>
      <c r="S956" s="58" t="s">
        <v>1718</v>
      </c>
      <c r="T956" s="58"/>
      <c r="U956" s="70">
        <v>1.0</v>
      </c>
      <c r="V956" s="58"/>
      <c r="W956" s="70" t="s">
        <v>78</v>
      </c>
      <c r="X956" s="58"/>
      <c r="Y956" s="58"/>
      <c r="Z956" s="58"/>
      <c r="AA956" s="62" t="s">
        <v>79</v>
      </c>
      <c r="AB956" s="62" t="s">
        <v>79</v>
      </c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70" t="s">
        <v>1719</v>
      </c>
      <c r="AQ956" s="58"/>
      <c r="AR956" s="58"/>
      <c r="AS956" s="58"/>
      <c r="AT956" s="58"/>
      <c r="AU956" s="58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 t="s">
        <v>1675</v>
      </c>
      <c r="BK956" s="70" t="s">
        <v>1717</v>
      </c>
      <c r="BL956" s="58"/>
      <c r="BM956" s="58"/>
      <c r="BN956" s="63"/>
      <c r="BO956" s="58"/>
      <c r="BP956" s="58"/>
      <c r="BQ956" s="64"/>
    </row>
    <row r="957">
      <c r="A957" s="147">
        <v>5.0</v>
      </c>
      <c r="B957" s="2" t="s">
        <v>1672</v>
      </c>
      <c r="C957" s="2" t="s">
        <v>76</v>
      </c>
      <c r="D957" s="2" t="s">
        <v>162</v>
      </c>
      <c r="E957" s="93"/>
      <c r="F957" s="93"/>
      <c r="G957" s="93"/>
      <c r="H957" s="93"/>
      <c r="I957" s="140" t="str">
        <f t="shared" si="6"/>
        <v>55711010E</v>
      </c>
      <c r="J957" s="3"/>
      <c r="K957" s="3"/>
      <c r="L957" s="140" t="s">
        <v>1720</v>
      </c>
      <c r="M957" s="141">
        <v>2.0</v>
      </c>
      <c r="N957" s="3"/>
      <c r="O957" s="93"/>
      <c r="P957" s="3"/>
      <c r="Q957" s="3" t="s">
        <v>1674</v>
      </c>
      <c r="R957" s="3"/>
      <c r="S957" s="3"/>
      <c r="T957" s="3"/>
      <c r="U957" s="1">
        <v>2.0</v>
      </c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 t="s">
        <v>1675</v>
      </c>
      <c r="BK957" s="3"/>
      <c r="BL957" s="3"/>
      <c r="BM957" s="3"/>
      <c r="BN957" s="97"/>
      <c r="BO957" s="3"/>
      <c r="BP957" s="3"/>
      <c r="BQ957" s="10"/>
    </row>
    <row r="958">
      <c r="A958" s="147">
        <v>5.0</v>
      </c>
      <c r="B958" s="2" t="s">
        <v>1672</v>
      </c>
      <c r="C958" s="2" t="s">
        <v>76</v>
      </c>
      <c r="D958" s="2" t="s">
        <v>166</v>
      </c>
      <c r="E958" s="93"/>
      <c r="F958" s="93"/>
      <c r="G958" s="93"/>
      <c r="H958" s="93"/>
      <c r="I958" s="140" t="str">
        <f t="shared" si="6"/>
        <v>55711010F</v>
      </c>
      <c r="J958" s="3"/>
      <c r="K958" s="3"/>
      <c r="L958" s="140" t="s">
        <v>1721</v>
      </c>
      <c r="M958" s="141">
        <v>2.0</v>
      </c>
      <c r="N958" s="3"/>
      <c r="O958" s="93"/>
      <c r="P958" s="3"/>
      <c r="Q958" s="3" t="s">
        <v>1674</v>
      </c>
      <c r="R958" s="3"/>
      <c r="S958" s="3"/>
      <c r="T958" s="3"/>
      <c r="U958" s="1">
        <v>2.0</v>
      </c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 t="s">
        <v>1675</v>
      </c>
      <c r="BK958" s="3"/>
      <c r="BL958" s="3"/>
      <c r="BM958" s="3"/>
      <c r="BN958" s="97"/>
      <c r="BO958" s="3"/>
      <c r="BP958" s="3"/>
      <c r="BQ958" s="10"/>
    </row>
    <row r="959">
      <c r="A959" s="147">
        <v>5.0</v>
      </c>
      <c r="B959" s="2" t="s">
        <v>1672</v>
      </c>
      <c r="C959" s="2" t="s">
        <v>76</v>
      </c>
      <c r="D959" s="2" t="s">
        <v>170</v>
      </c>
      <c r="E959" s="93"/>
      <c r="F959" s="93"/>
      <c r="G959" s="93"/>
      <c r="H959" s="93"/>
      <c r="I959" s="140" t="str">
        <f t="shared" si="6"/>
        <v>55711010G</v>
      </c>
      <c r="J959" s="3"/>
      <c r="K959" s="3"/>
      <c r="L959" s="140" t="s">
        <v>1722</v>
      </c>
      <c r="M959" s="141">
        <v>2.0</v>
      </c>
      <c r="N959" s="3"/>
      <c r="O959" s="93"/>
      <c r="P959" s="3"/>
      <c r="Q959" s="3" t="s">
        <v>1674</v>
      </c>
      <c r="R959" s="3"/>
      <c r="S959" s="3"/>
      <c r="T959" s="3"/>
      <c r="U959" s="1">
        <v>1.0</v>
      </c>
      <c r="V959" s="3"/>
      <c r="W959" s="1" t="s">
        <v>304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 t="s">
        <v>1675</v>
      </c>
      <c r="BK959" s="3"/>
      <c r="BL959" s="3"/>
      <c r="BM959" s="3"/>
      <c r="BN959" s="97"/>
      <c r="BO959" s="3"/>
      <c r="BP959" s="3"/>
      <c r="BQ959" s="10"/>
    </row>
    <row r="960">
      <c r="A960" s="147">
        <v>5.0</v>
      </c>
      <c r="B960" s="2" t="s">
        <v>1672</v>
      </c>
      <c r="C960" s="2" t="s">
        <v>76</v>
      </c>
      <c r="D960" s="2" t="s">
        <v>173</v>
      </c>
      <c r="E960" s="93"/>
      <c r="F960" s="93"/>
      <c r="G960" s="93"/>
      <c r="H960" s="93"/>
      <c r="I960" s="140" t="str">
        <f t="shared" si="6"/>
        <v>55711010H</v>
      </c>
      <c r="J960" s="3"/>
      <c r="K960" s="3"/>
      <c r="L960" s="140" t="s">
        <v>1723</v>
      </c>
      <c r="M960" s="141">
        <v>2.0</v>
      </c>
      <c r="N960" s="3"/>
      <c r="O960" s="93"/>
      <c r="P960" s="3"/>
      <c r="Q960" s="3" t="s">
        <v>1674</v>
      </c>
      <c r="R960" s="3"/>
      <c r="S960" s="3"/>
      <c r="T960" s="3"/>
      <c r="U960" s="1">
        <v>1.0</v>
      </c>
      <c r="V960" s="3"/>
      <c r="W960" s="1" t="s">
        <v>304</v>
      </c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 t="s">
        <v>1675</v>
      </c>
      <c r="BK960" s="3"/>
      <c r="BL960" s="3"/>
      <c r="BM960" s="3"/>
      <c r="BN960" s="97"/>
      <c r="BO960" s="3"/>
      <c r="BP960" s="3"/>
      <c r="BQ960" s="10"/>
    </row>
    <row r="961">
      <c r="A961" s="54">
        <v>5.0</v>
      </c>
      <c r="B961" s="71" t="s">
        <v>1672</v>
      </c>
      <c r="C961" s="71" t="s">
        <v>76</v>
      </c>
      <c r="D961" s="71" t="s">
        <v>179</v>
      </c>
      <c r="E961" s="56"/>
      <c r="F961" s="56"/>
      <c r="G961" s="56"/>
      <c r="H961" s="56"/>
      <c r="I961" s="57" t="s">
        <v>1724</v>
      </c>
      <c r="J961" s="58"/>
      <c r="K961" s="58"/>
      <c r="L961" s="57" t="s">
        <v>1725</v>
      </c>
      <c r="M961" s="133">
        <v>2.0</v>
      </c>
      <c r="N961" s="58"/>
      <c r="O961" s="56"/>
      <c r="P961" s="58"/>
      <c r="Q961" s="58" t="s">
        <v>1674</v>
      </c>
      <c r="R961" s="58"/>
      <c r="S961" s="58" t="s">
        <v>1726</v>
      </c>
      <c r="T961" s="58"/>
      <c r="U961" s="70">
        <v>1.0</v>
      </c>
      <c r="V961" s="58"/>
      <c r="W961" s="70" t="s">
        <v>304</v>
      </c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 t="s">
        <v>1727</v>
      </c>
      <c r="BI961" s="58"/>
      <c r="BJ961" s="58" t="s">
        <v>1675</v>
      </c>
      <c r="BK961" s="58"/>
      <c r="BL961" s="58"/>
      <c r="BM961" s="58"/>
      <c r="BN961" s="58"/>
      <c r="BO961" s="58"/>
      <c r="BP961" s="58"/>
      <c r="BQ961" s="58"/>
    </row>
    <row r="962">
      <c r="A962" s="147">
        <v>5.0</v>
      </c>
      <c r="B962" s="2" t="s">
        <v>1672</v>
      </c>
      <c r="C962" s="2" t="s">
        <v>76</v>
      </c>
      <c r="D962" s="2" t="s">
        <v>187</v>
      </c>
      <c r="E962" s="93"/>
      <c r="F962" s="93"/>
      <c r="G962" s="93"/>
      <c r="H962" s="93"/>
      <c r="I962" s="140" t="str">
        <f t="shared" ref="I962:I1560" si="16">CONCATENATE(B962,C962,D962,E962,F962,G962,H962)</f>
        <v>55711010L</v>
      </c>
      <c r="J962" s="3"/>
      <c r="K962" s="3"/>
      <c r="L962" s="140" t="s">
        <v>1728</v>
      </c>
      <c r="M962" s="141">
        <v>2.0</v>
      </c>
      <c r="N962" s="3"/>
      <c r="O962" s="93"/>
      <c r="P962" s="3"/>
      <c r="Q962" s="3" t="s">
        <v>1674</v>
      </c>
      <c r="R962" s="3"/>
      <c r="S962" s="3"/>
      <c r="T962" s="3"/>
      <c r="U962" s="1">
        <v>1.0</v>
      </c>
      <c r="V962" s="3"/>
      <c r="W962" s="1" t="s">
        <v>304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 t="s">
        <v>1675</v>
      </c>
      <c r="BK962" s="3"/>
      <c r="BL962" s="3"/>
      <c r="BM962" s="3"/>
      <c r="BN962" s="97"/>
      <c r="BO962" s="3"/>
      <c r="BP962" s="3"/>
      <c r="BQ962" s="10"/>
    </row>
    <row r="963">
      <c r="A963" s="147">
        <v>4.0</v>
      </c>
      <c r="B963" s="2" t="s">
        <v>1672</v>
      </c>
      <c r="C963" s="2" t="s">
        <v>119</v>
      </c>
      <c r="D963" s="93"/>
      <c r="E963" s="93"/>
      <c r="F963" s="93"/>
      <c r="G963" s="93"/>
      <c r="H963" s="93"/>
      <c r="I963" s="140" t="str">
        <f t="shared" si="16"/>
        <v>5571102</v>
      </c>
      <c r="J963" s="3"/>
      <c r="K963" s="3"/>
      <c r="L963" s="140" t="s">
        <v>1729</v>
      </c>
      <c r="M963" s="141">
        <v>2.0</v>
      </c>
      <c r="N963" s="3"/>
      <c r="O963" s="93"/>
      <c r="P963" s="3"/>
      <c r="Q963" s="3" t="s">
        <v>1674</v>
      </c>
      <c r="R963" s="3"/>
      <c r="S963" s="3"/>
      <c r="T963" s="3"/>
      <c r="U963" s="1">
        <v>1.0</v>
      </c>
      <c r="V963" s="3"/>
      <c r="W963" s="1" t="s">
        <v>304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 t="s">
        <v>1675</v>
      </c>
      <c r="BK963" s="3"/>
      <c r="BL963" s="3"/>
      <c r="BM963" s="3"/>
      <c r="BN963" s="97"/>
      <c r="BO963" s="3"/>
      <c r="BP963" s="3"/>
      <c r="BQ963" s="10"/>
    </row>
    <row r="964">
      <c r="A964" s="70">
        <v>5.0</v>
      </c>
      <c r="B964" s="71" t="s">
        <v>1672</v>
      </c>
      <c r="C964" s="71" t="s">
        <v>119</v>
      </c>
      <c r="D964" s="55" t="s">
        <v>76</v>
      </c>
      <c r="E964" s="56"/>
      <c r="F964" s="56"/>
      <c r="G964" s="56"/>
      <c r="H964" s="56"/>
      <c r="I964" s="57" t="str">
        <f t="shared" si="16"/>
        <v>557110201</v>
      </c>
      <c r="J964" s="58"/>
      <c r="K964" s="58"/>
      <c r="L964" s="59" t="s">
        <v>1730</v>
      </c>
      <c r="M964" s="133">
        <v>1.0</v>
      </c>
      <c r="N964" s="117" t="s">
        <v>1731</v>
      </c>
      <c r="O964" s="118" t="s">
        <v>1732</v>
      </c>
      <c r="P964" s="58"/>
      <c r="Q964" s="116" t="s">
        <v>1674</v>
      </c>
      <c r="R964" s="58"/>
      <c r="S964" s="116" t="s">
        <v>1733</v>
      </c>
      <c r="T964" s="58"/>
      <c r="U964" s="117">
        <v>1.0</v>
      </c>
      <c r="V964" s="58"/>
      <c r="W964" s="117" t="s">
        <v>78</v>
      </c>
      <c r="X964" s="58"/>
      <c r="Y964" s="58"/>
      <c r="Z964" s="58"/>
      <c r="AA964" s="62" t="s">
        <v>79</v>
      </c>
      <c r="AB964" s="62" t="s">
        <v>79</v>
      </c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117" t="s">
        <v>80</v>
      </c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64"/>
      <c r="BB964" s="64"/>
      <c r="BC964" s="64"/>
      <c r="BD964" s="64"/>
      <c r="BE964" s="64"/>
      <c r="BF964" s="64"/>
      <c r="BG964" s="64"/>
      <c r="BH964" s="64"/>
      <c r="BI964" s="64"/>
      <c r="BJ964" s="64" t="s">
        <v>1675</v>
      </c>
      <c r="BK964" s="150" t="s">
        <v>1732</v>
      </c>
      <c r="BL964" s="64"/>
      <c r="BM964" s="64"/>
      <c r="BN964" s="64"/>
      <c r="BO964" s="64"/>
      <c r="BP964" s="64"/>
      <c r="BQ964" s="64"/>
    </row>
    <row r="965">
      <c r="A965" s="147">
        <v>5.0</v>
      </c>
      <c r="B965" s="2" t="s">
        <v>1672</v>
      </c>
      <c r="C965" s="2" t="s">
        <v>119</v>
      </c>
      <c r="D965" s="149" t="s">
        <v>119</v>
      </c>
      <c r="E965" s="93"/>
      <c r="F965" s="93"/>
      <c r="G965" s="93"/>
      <c r="H965" s="93"/>
      <c r="I965" s="140" t="str">
        <f t="shared" si="16"/>
        <v>557110202</v>
      </c>
      <c r="J965" s="3"/>
      <c r="K965" s="3"/>
      <c r="L965" s="140" t="s">
        <v>1734</v>
      </c>
      <c r="M965" s="141">
        <v>1.0</v>
      </c>
      <c r="N965" s="3"/>
      <c r="O965" s="2" t="s">
        <v>1735</v>
      </c>
      <c r="P965" s="3"/>
      <c r="Q965" s="3" t="s">
        <v>1674</v>
      </c>
      <c r="R965" s="3"/>
      <c r="S965" s="3" t="s">
        <v>1736</v>
      </c>
      <c r="T965" s="3"/>
      <c r="U965" s="1">
        <v>1.0</v>
      </c>
      <c r="V965" s="3"/>
      <c r="W965" s="1" t="s">
        <v>78</v>
      </c>
      <c r="X965" s="3"/>
      <c r="Y965" s="3"/>
      <c r="Z965" s="3"/>
      <c r="AA965" s="96" t="s">
        <v>79</v>
      </c>
      <c r="AB965" s="96" t="s">
        <v>79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1" t="s">
        <v>1737</v>
      </c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 t="s">
        <v>1675</v>
      </c>
      <c r="BK965" s="1" t="s">
        <v>1735</v>
      </c>
      <c r="BL965" s="3"/>
      <c r="BM965" s="3"/>
      <c r="BN965" s="97"/>
      <c r="BO965" s="3"/>
      <c r="BP965" s="3"/>
      <c r="BQ965" s="10"/>
    </row>
    <row r="966">
      <c r="A966" s="147">
        <v>5.0</v>
      </c>
      <c r="B966" s="2" t="s">
        <v>1672</v>
      </c>
      <c r="C966" s="2" t="s">
        <v>119</v>
      </c>
      <c r="D966" s="149" t="s">
        <v>124</v>
      </c>
      <c r="E966" s="93"/>
      <c r="F966" s="93"/>
      <c r="G966" s="93"/>
      <c r="H966" s="93"/>
      <c r="I966" s="140" t="str">
        <f t="shared" si="16"/>
        <v>557110203</v>
      </c>
      <c r="J966" s="3"/>
      <c r="K966" s="3"/>
      <c r="L966" s="140" t="s">
        <v>1738</v>
      </c>
      <c r="M966" s="141">
        <v>1.0</v>
      </c>
      <c r="N966" s="3"/>
      <c r="O966" s="2" t="s">
        <v>1739</v>
      </c>
      <c r="P966" s="3"/>
      <c r="Q966" s="3" t="s">
        <v>1674</v>
      </c>
      <c r="R966" s="3"/>
      <c r="S966" s="3" t="s">
        <v>1740</v>
      </c>
      <c r="T966" s="3"/>
      <c r="U966" s="1">
        <v>1.0</v>
      </c>
      <c r="V966" s="3"/>
      <c r="W966" s="1" t="s">
        <v>78</v>
      </c>
      <c r="X966" s="3"/>
      <c r="Y966" s="3"/>
      <c r="Z966" s="3"/>
      <c r="AA966" s="96" t="s">
        <v>79</v>
      </c>
      <c r="AB966" s="96" t="s">
        <v>79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1" t="s">
        <v>1741</v>
      </c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 t="s">
        <v>1675</v>
      </c>
      <c r="BK966" s="1" t="s">
        <v>1739</v>
      </c>
      <c r="BL966" s="3"/>
      <c r="BM966" s="3"/>
      <c r="BN966" s="97"/>
      <c r="BO966" s="3"/>
      <c r="BP966" s="3"/>
      <c r="BQ966" s="10"/>
    </row>
    <row r="967">
      <c r="A967" s="147">
        <v>5.0</v>
      </c>
      <c r="B967" s="2" t="s">
        <v>1672</v>
      </c>
      <c r="C967" s="2" t="s">
        <v>119</v>
      </c>
      <c r="D967" s="149" t="s">
        <v>127</v>
      </c>
      <c r="E967" s="93"/>
      <c r="F967" s="93"/>
      <c r="G967" s="93"/>
      <c r="H967" s="93"/>
      <c r="I967" s="140" t="str">
        <f t="shared" si="16"/>
        <v>557110204</v>
      </c>
      <c r="J967" s="3"/>
      <c r="K967" s="3"/>
      <c r="L967" s="140" t="s">
        <v>1742</v>
      </c>
      <c r="M967" s="141">
        <v>1.0</v>
      </c>
      <c r="N967" s="3"/>
      <c r="O967" s="2" t="s">
        <v>1743</v>
      </c>
      <c r="P967" s="3"/>
      <c r="Q967" s="3" t="s">
        <v>1674</v>
      </c>
      <c r="R967" s="3"/>
      <c r="S967" s="3" t="s">
        <v>1736</v>
      </c>
      <c r="T967" s="3"/>
      <c r="U967" s="1">
        <v>1.0</v>
      </c>
      <c r="V967" s="3"/>
      <c r="W967" s="1" t="s">
        <v>78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 t="s">
        <v>1675</v>
      </c>
      <c r="BK967" s="1" t="s">
        <v>1743</v>
      </c>
      <c r="BL967" s="3"/>
      <c r="BM967" s="3"/>
      <c r="BN967" s="97"/>
      <c r="BO967" s="3"/>
      <c r="BP967" s="3"/>
      <c r="BQ967" s="10"/>
    </row>
    <row r="968">
      <c r="A968" s="147">
        <v>5.0</v>
      </c>
      <c r="B968" s="2" t="s">
        <v>1672</v>
      </c>
      <c r="C968" s="2" t="s">
        <v>119</v>
      </c>
      <c r="D968" s="149" t="s">
        <v>91</v>
      </c>
      <c r="E968" s="93"/>
      <c r="F968" s="93"/>
      <c r="G968" s="93"/>
      <c r="H968" s="93"/>
      <c r="I968" s="140" t="str">
        <f t="shared" si="16"/>
        <v>557110205</v>
      </c>
      <c r="J968" s="3"/>
      <c r="K968" s="3"/>
      <c r="L968" s="140" t="s">
        <v>1744</v>
      </c>
      <c r="M968" s="141">
        <v>1.0</v>
      </c>
      <c r="N968" s="3"/>
      <c r="O968" s="2" t="s">
        <v>1745</v>
      </c>
      <c r="P968" s="3"/>
      <c r="Q968" s="3" t="s">
        <v>1674</v>
      </c>
      <c r="R968" s="3"/>
      <c r="S968" s="3" t="s">
        <v>1736</v>
      </c>
      <c r="T968" s="3"/>
      <c r="U968" s="1">
        <v>1.0</v>
      </c>
      <c r="V968" s="3"/>
      <c r="W968" s="1" t="s">
        <v>78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1" t="s">
        <v>1746</v>
      </c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 t="s">
        <v>1675</v>
      </c>
      <c r="BK968" s="1" t="s">
        <v>1745</v>
      </c>
      <c r="BL968" s="3"/>
      <c r="BM968" s="3"/>
      <c r="BN968" s="97"/>
      <c r="BO968" s="3"/>
      <c r="BP968" s="3"/>
      <c r="BQ968" s="10"/>
    </row>
    <row r="969">
      <c r="A969" s="147">
        <v>5.0</v>
      </c>
      <c r="B969" s="2" t="s">
        <v>1672</v>
      </c>
      <c r="C969" s="2" t="s">
        <v>119</v>
      </c>
      <c r="D969" s="149" t="s">
        <v>133</v>
      </c>
      <c r="E969" s="93"/>
      <c r="F969" s="93"/>
      <c r="G969" s="93"/>
      <c r="H969" s="93"/>
      <c r="I969" s="140" t="str">
        <f t="shared" si="16"/>
        <v>557110206</v>
      </c>
      <c r="J969" s="3"/>
      <c r="K969" s="3"/>
      <c r="L969" s="140" t="s">
        <v>1747</v>
      </c>
      <c r="M969" s="141">
        <v>1.0</v>
      </c>
      <c r="N969" s="3"/>
      <c r="O969" s="2" t="s">
        <v>1748</v>
      </c>
      <c r="P969" s="3"/>
      <c r="Q969" s="3" t="s">
        <v>1674</v>
      </c>
      <c r="R969" s="3"/>
      <c r="S969" s="3"/>
      <c r="T969" s="3"/>
      <c r="U969" s="1">
        <v>1.0</v>
      </c>
      <c r="V969" s="3"/>
      <c r="W969" s="1" t="s">
        <v>78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1" t="s">
        <v>1749</v>
      </c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 t="s">
        <v>1675</v>
      </c>
      <c r="BK969" s="1" t="s">
        <v>1748</v>
      </c>
      <c r="BL969" s="3"/>
      <c r="BM969" s="3"/>
      <c r="BN969" s="97"/>
      <c r="BO969" s="3"/>
      <c r="BP969" s="3"/>
      <c r="BQ969" s="10"/>
    </row>
    <row r="970">
      <c r="A970" s="147">
        <v>5.0</v>
      </c>
      <c r="B970" s="2" t="s">
        <v>1672</v>
      </c>
      <c r="C970" s="2" t="s">
        <v>119</v>
      </c>
      <c r="D970" s="149" t="s">
        <v>136</v>
      </c>
      <c r="E970" s="93"/>
      <c r="F970" s="93"/>
      <c r="G970" s="93"/>
      <c r="H970" s="93"/>
      <c r="I970" s="140" t="str">
        <f t="shared" si="16"/>
        <v>557110207</v>
      </c>
      <c r="J970" s="3"/>
      <c r="K970" s="3"/>
      <c r="L970" s="140" t="s">
        <v>1750</v>
      </c>
      <c r="M970" s="141">
        <v>1.0</v>
      </c>
      <c r="N970" s="3"/>
      <c r="O970" s="93"/>
      <c r="P970" s="3"/>
      <c r="Q970" s="3" t="s">
        <v>1674</v>
      </c>
      <c r="R970" s="3"/>
      <c r="S970" s="3"/>
      <c r="T970" s="3"/>
      <c r="U970" s="1">
        <v>1.0</v>
      </c>
      <c r="V970" s="3"/>
      <c r="W970" s="1" t="s">
        <v>78</v>
      </c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 t="s">
        <v>1675</v>
      </c>
      <c r="BK970" s="3"/>
      <c r="BL970" s="3"/>
      <c r="BM970" s="3"/>
      <c r="BN970" s="97"/>
      <c r="BO970" s="3"/>
      <c r="BP970" s="3"/>
      <c r="BQ970" s="10"/>
    </row>
    <row r="971">
      <c r="A971" s="147">
        <v>5.0</v>
      </c>
      <c r="B971" s="2" t="s">
        <v>1672</v>
      </c>
      <c r="C971" s="2" t="s">
        <v>119</v>
      </c>
      <c r="D971" s="149" t="s">
        <v>142</v>
      </c>
      <c r="E971" s="93"/>
      <c r="F971" s="93"/>
      <c r="G971" s="93"/>
      <c r="H971" s="93"/>
      <c r="I971" s="140" t="str">
        <f t="shared" si="16"/>
        <v>557110209</v>
      </c>
      <c r="J971" s="3"/>
      <c r="K971" s="3"/>
      <c r="L971" s="140" t="s">
        <v>1751</v>
      </c>
      <c r="M971" s="141">
        <v>1.0</v>
      </c>
      <c r="N971" s="3"/>
      <c r="O971" s="93"/>
      <c r="P971" s="3"/>
      <c r="Q971" s="3" t="s">
        <v>1674</v>
      </c>
      <c r="R971" s="3"/>
      <c r="S971" s="3"/>
      <c r="T971" s="3"/>
      <c r="U971" s="1">
        <v>1.0</v>
      </c>
      <c r="V971" s="3"/>
      <c r="W971" s="1" t="s">
        <v>78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 t="s">
        <v>1675</v>
      </c>
      <c r="BK971" s="3"/>
      <c r="BL971" s="3"/>
      <c r="BM971" s="3"/>
      <c r="BN971" s="97"/>
      <c r="BO971" s="3"/>
      <c r="BP971" s="3"/>
      <c r="BQ971" s="10"/>
    </row>
    <row r="972">
      <c r="A972" s="147">
        <v>4.0</v>
      </c>
      <c r="B972" s="2" t="s">
        <v>1672</v>
      </c>
      <c r="C972" s="2" t="s">
        <v>124</v>
      </c>
      <c r="D972" s="93"/>
      <c r="E972" s="93"/>
      <c r="F972" s="93"/>
      <c r="G972" s="93"/>
      <c r="H972" s="93"/>
      <c r="I972" s="140" t="str">
        <f t="shared" si="16"/>
        <v>5571103</v>
      </c>
      <c r="J972" s="3"/>
      <c r="K972" s="3"/>
      <c r="L972" s="140" t="s">
        <v>1752</v>
      </c>
      <c r="M972" s="141">
        <v>2.0</v>
      </c>
      <c r="N972" s="3"/>
      <c r="O972" s="93"/>
      <c r="P972" s="3"/>
      <c r="Q972" s="3" t="s">
        <v>1674</v>
      </c>
      <c r="R972" s="3"/>
      <c r="S972" s="3"/>
      <c r="T972" s="3"/>
      <c r="U972" s="1">
        <v>1.0</v>
      </c>
      <c r="V972" s="3"/>
      <c r="W972" s="1" t="s">
        <v>304</v>
      </c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 t="s">
        <v>1675</v>
      </c>
      <c r="BK972" s="3"/>
      <c r="BL972" s="3"/>
      <c r="BM972" s="3"/>
      <c r="BN972" s="97"/>
      <c r="BO972" s="3"/>
      <c r="BP972" s="3"/>
      <c r="BQ972" s="10"/>
    </row>
    <row r="973">
      <c r="A973" s="147">
        <v>5.0</v>
      </c>
      <c r="B973" s="2" t="s">
        <v>1672</v>
      </c>
      <c r="C973" s="2" t="s">
        <v>124</v>
      </c>
      <c r="D973" s="149" t="s">
        <v>76</v>
      </c>
      <c r="E973" s="93"/>
      <c r="F973" s="93"/>
      <c r="G973" s="93"/>
      <c r="H973" s="93"/>
      <c r="I973" s="140" t="str">
        <f t="shared" si="16"/>
        <v>557110301</v>
      </c>
      <c r="J973" s="3"/>
      <c r="K973" s="3"/>
      <c r="L973" s="140" t="s">
        <v>1753</v>
      </c>
      <c r="M973" s="141">
        <v>2.0</v>
      </c>
      <c r="N973" s="3"/>
      <c r="O973" s="93"/>
      <c r="P973" s="3"/>
      <c r="Q973" s="3" t="s">
        <v>1674</v>
      </c>
      <c r="R973" s="3"/>
      <c r="S973" s="3"/>
      <c r="T973" s="3"/>
      <c r="U973" s="1">
        <v>1.0</v>
      </c>
      <c r="V973" s="3"/>
      <c r="W973" s="1" t="s">
        <v>304</v>
      </c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 t="s">
        <v>1675</v>
      </c>
      <c r="BK973" s="3"/>
      <c r="BL973" s="3"/>
      <c r="BM973" s="3"/>
      <c r="BN973" s="97"/>
      <c r="BO973" s="3"/>
      <c r="BP973" s="3"/>
      <c r="BQ973" s="10"/>
    </row>
    <row r="974">
      <c r="A974" s="70">
        <v>5.0</v>
      </c>
      <c r="B974" s="71" t="s">
        <v>1672</v>
      </c>
      <c r="C974" s="71" t="s">
        <v>124</v>
      </c>
      <c r="D974" s="55" t="s">
        <v>76</v>
      </c>
      <c r="E974" s="55" t="s">
        <v>76</v>
      </c>
      <c r="F974" s="56"/>
      <c r="G974" s="56"/>
      <c r="H974" s="56"/>
      <c r="I974" s="57" t="str">
        <f t="shared" si="16"/>
        <v>55711030101</v>
      </c>
      <c r="J974" s="58"/>
      <c r="K974" s="58"/>
      <c r="L974" s="57" t="s">
        <v>1754</v>
      </c>
      <c r="M974" s="133">
        <v>1.0</v>
      </c>
      <c r="N974" s="117" t="s">
        <v>1755</v>
      </c>
      <c r="O974" s="118" t="s">
        <v>1756</v>
      </c>
      <c r="P974" s="58"/>
      <c r="Q974" s="58"/>
      <c r="R974" s="58"/>
      <c r="S974" s="58"/>
      <c r="T974" s="58"/>
      <c r="U974" s="117">
        <v>1.0</v>
      </c>
      <c r="V974" s="58"/>
      <c r="W974" s="117" t="s">
        <v>78</v>
      </c>
      <c r="X974" s="58"/>
      <c r="Y974" s="58"/>
      <c r="Z974" s="58"/>
      <c r="AA974" s="62" t="s">
        <v>79</v>
      </c>
      <c r="AB974" s="62" t="s">
        <v>79</v>
      </c>
      <c r="AC974" s="58"/>
      <c r="AD974" s="58"/>
      <c r="AE974" s="58"/>
      <c r="AF974" s="58"/>
      <c r="AG974" s="58"/>
      <c r="AH974" s="58"/>
      <c r="AI974" s="58"/>
      <c r="AJ974" s="58"/>
      <c r="AK974" s="58"/>
      <c r="AL974" s="58"/>
      <c r="AM974" s="58"/>
      <c r="AN974" s="58"/>
      <c r="AO974" s="58"/>
      <c r="AP974" s="117">
        <v>62041.0</v>
      </c>
      <c r="AQ974" s="117">
        <v>1695.0</v>
      </c>
      <c r="AR974" s="117">
        <v>3730.0</v>
      </c>
      <c r="AS974" s="117">
        <v>1290.0</v>
      </c>
      <c r="AT974" s="117">
        <v>2000.0</v>
      </c>
      <c r="AU974" s="117">
        <v>9.6234</v>
      </c>
      <c r="AV974" s="58"/>
      <c r="AW974" s="58"/>
      <c r="AX974" s="58"/>
      <c r="AY974" s="58"/>
      <c r="AZ974" s="58"/>
      <c r="BA974" s="58"/>
      <c r="BB974" s="58"/>
      <c r="BC974" s="135">
        <v>42.0</v>
      </c>
      <c r="BD974" s="58"/>
      <c r="BE974" s="58"/>
      <c r="BF974" s="58"/>
      <c r="BG974" s="58"/>
      <c r="BH974" s="58" t="s">
        <v>1757</v>
      </c>
      <c r="BI974" s="58"/>
      <c r="BJ974" s="116" t="s">
        <v>1758</v>
      </c>
      <c r="BK974" s="117" t="s">
        <v>1756</v>
      </c>
      <c r="BL974" s="58"/>
      <c r="BM974" s="58"/>
      <c r="BN974" s="63"/>
      <c r="BO974" s="58"/>
      <c r="BP974" s="116" t="s">
        <v>1759</v>
      </c>
      <c r="BQ974" s="64"/>
    </row>
    <row r="975">
      <c r="A975" s="147">
        <v>5.0</v>
      </c>
      <c r="B975" s="2" t="s">
        <v>1672</v>
      </c>
      <c r="C975" s="2" t="s">
        <v>124</v>
      </c>
      <c r="D975" s="148" t="s">
        <v>119</v>
      </c>
      <c r="E975" s="93"/>
      <c r="F975" s="93"/>
      <c r="G975" s="93"/>
      <c r="H975" s="93"/>
      <c r="I975" s="140" t="str">
        <f t="shared" si="16"/>
        <v>557110302</v>
      </c>
      <c r="J975" s="3"/>
      <c r="K975" s="3"/>
      <c r="L975" s="140" t="s">
        <v>1760</v>
      </c>
      <c r="M975" s="141">
        <v>2.0</v>
      </c>
      <c r="N975" s="3"/>
      <c r="O975" s="93"/>
      <c r="P975" s="3"/>
      <c r="Q975" s="3" t="s">
        <v>1674</v>
      </c>
      <c r="R975" s="3"/>
      <c r="S975" s="3"/>
      <c r="T975" s="3"/>
      <c r="U975" s="1">
        <v>1.0</v>
      </c>
      <c r="V975" s="3"/>
      <c r="W975" s="1" t="s">
        <v>304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 t="s">
        <v>1761</v>
      </c>
      <c r="BK975" s="3"/>
      <c r="BL975" s="3"/>
      <c r="BM975" s="3"/>
      <c r="BN975" s="97"/>
      <c r="BO975" s="3"/>
      <c r="BP975" s="3"/>
      <c r="BQ975" s="10"/>
    </row>
    <row r="976">
      <c r="A976" s="147">
        <v>6.0</v>
      </c>
      <c r="B976" s="2" t="s">
        <v>1672</v>
      </c>
      <c r="C976" s="2" t="s">
        <v>124</v>
      </c>
      <c r="D976" s="148" t="s">
        <v>119</v>
      </c>
      <c r="E976" s="149" t="s">
        <v>76</v>
      </c>
      <c r="F976" s="93"/>
      <c r="G976" s="93"/>
      <c r="H976" s="93"/>
      <c r="I976" s="140" t="str">
        <f t="shared" si="16"/>
        <v>55711030201</v>
      </c>
      <c r="J976" s="3"/>
      <c r="K976" s="3"/>
      <c r="L976" s="140" t="s">
        <v>1762</v>
      </c>
      <c r="M976" s="141">
        <v>1.0</v>
      </c>
      <c r="N976" s="3"/>
      <c r="O976" s="2" t="s">
        <v>1763</v>
      </c>
      <c r="P976" s="3"/>
      <c r="Q976" s="3" t="s">
        <v>1674</v>
      </c>
      <c r="R976" s="3"/>
      <c r="S976" s="3"/>
      <c r="T976" s="3"/>
      <c r="U976" s="1">
        <v>1.0</v>
      </c>
      <c r="V976" s="3"/>
      <c r="W976" s="1" t="s">
        <v>78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 t="s">
        <v>1761</v>
      </c>
      <c r="BK976" s="1" t="s">
        <v>1763</v>
      </c>
      <c r="BL976" s="3"/>
      <c r="BM976" s="3"/>
      <c r="BN976" s="97"/>
      <c r="BO976" s="3"/>
      <c r="BP976" s="3"/>
      <c r="BQ976" s="10"/>
    </row>
    <row r="977">
      <c r="A977" s="54">
        <v>6.0</v>
      </c>
      <c r="B977" s="71" t="s">
        <v>1672</v>
      </c>
      <c r="C977" s="71" t="s">
        <v>124</v>
      </c>
      <c r="D977" s="55" t="s">
        <v>119</v>
      </c>
      <c r="E977" s="151" t="s">
        <v>119</v>
      </c>
      <c r="F977" s="56"/>
      <c r="G977" s="56"/>
      <c r="H977" s="56"/>
      <c r="I977" s="57" t="str">
        <f t="shared" si="16"/>
        <v>55711030202</v>
      </c>
      <c r="J977" s="58"/>
      <c r="K977" s="58"/>
      <c r="L977" s="57" t="s">
        <v>1764</v>
      </c>
      <c r="M977" s="133">
        <v>1.0</v>
      </c>
      <c r="N977" s="70" t="s">
        <v>1765</v>
      </c>
      <c r="O977" s="71" t="s">
        <v>1766</v>
      </c>
      <c r="P977" s="58"/>
      <c r="Q977" s="58" t="s">
        <v>1674</v>
      </c>
      <c r="R977" s="58"/>
      <c r="S977" s="58"/>
      <c r="T977" s="58"/>
      <c r="U977" s="70">
        <v>1.0</v>
      </c>
      <c r="V977" s="58"/>
      <c r="W977" s="70" t="s">
        <v>78</v>
      </c>
      <c r="X977" s="58"/>
      <c r="Y977" s="58"/>
      <c r="Z977" s="58"/>
      <c r="AA977" s="62" t="s">
        <v>79</v>
      </c>
      <c r="AB977" s="62" t="s">
        <v>79</v>
      </c>
      <c r="AC977" s="58"/>
      <c r="AD977" s="58"/>
      <c r="AE977" s="58"/>
      <c r="AF977" s="58"/>
      <c r="AG977" s="58"/>
      <c r="AH977" s="58"/>
      <c r="AI977" s="58"/>
      <c r="AJ977" s="58"/>
      <c r="AK977" s="58"/>
      <c r="AL977" s="58"/>
      <c r="AM977" s="58"/>
      <c r="AN977" s="58"/>
      <c r="AO977" s="58"/>
      <c r="AP977" s="70" t="s">
        <v>1767</v>
      </c>
      <c r="AQ977" s="58"/>
      <c r="AR977" s="58"/>
      <c r="AS977" s="58"/>
      <c r="AT977" s="58"/>
      <c r="AU977" s="58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 t="s">
        <v>1761</v>
      </c>
      <c r="BK977" s="70" t="s">
        <v>1766</v>
      </c>
      <c r="BL977" s="58"/>
      <c r="BM977" s="58"/>
      <c r="BN977" s="63"/>
      <c r="BO977" s="58"/>
      <c r="BP977" s="58"/>
      <c r="BQ977" s="64"/>
    </row>
    <row r="978">
      <c r="A978" s="54">
        <v>6.0</v>
      </c>
      <c r="B978" s="71" t="s">
        <v>1672</v>
      </c>
      <c r="C978" s="71" t="s">
        <v>124</v>
      </c>
      <c r="D978" s="55" t="s">
        <v>119</v>
      </c>
      <c r="E978" s="151" t="s">
        <v>124</v>
      </c>
      <c r="F978" s="56"/>
      <c r="G978" s="56"/>
      <c r="H978" s="56"/>
      <c r="I978" s="57" t="str">
        <f t="shared" si="16"/>
        <v>55711030203</v>
      </c>
      <c r="J978" s="58"/>
      <c r="K978" s="58"/>
      <c r="L978" s="57" t="s">
        <v>1768</v>
      </c>
      <c r="M978" s="133">
        <v>1.0</v>
      </c>
      <c r="N978" s="70" t="s">
        <v>1765</v>
      </c>
      <c r="O978" s="71" t="s">
        <v>1769</v>
      </c>
      <c r="P978" s="58"/>
      <c r="Q978" s="58" t="s">
        <v>1674</v>
      </c>
      <c r="R978" s="58"/>
      <c r="S978" s="58"/>
      <c r="T978" s="58"/>
      <c r="U978" s="70">
        <v>1.0</v>
      </c>
      <c r="V978" s="58"/>
      <c r="W978" s="70" t="s">
        <v>78</v>
      </c>
      <c r="X978" s="58"/>
      <c r="Y978" s="58"/>
      <c r="Z978" s="58"/>
      <c r="AA978" s="62" t="s">
        <v>79</v>
      </c>
      <c r="AB978" s="58"/>
      <c r="AC978" s="58"/>
      <c r="AD978" s="58"/>
      <c r="AE978" s="58"/>
      <c r="AF978" s="58"/>
      <c r="AG978" s="58"/>
      <c r="AH978" s="58"/>
      <c r="AI978" s="58"/>
      <c r="AJ978" s="58"/>
      <c r="AK978" s="58"/>
      <c r="AL978" s="58"/>
      <c r="AM978" s="58"/>
      <c r="AN978" s="58"/>
      <c r="AO978" s="58"/>
      <c r="AP978" s="70" t="s">
        <v>1770</v>
      </c>
      <c r="AQ978" s="58"/>
      <c r="AR978" s="58"/>
      <c r="AS978" s="58"/>
      <c r="AT978" s="58"/>
      <c r="AU978" s="58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 t="s">
        <v>1761</v>
      </c>
      <c r="BK978" s="70" t="s">
        <v>1769</v>
      </c>
      <c r="BL978" s="58"/>
      <c r="BM978" s="58"/>
      <c r="BN978" s="63"/>
      <c r="BO978" s="58"/>
      <c r="BP978" s="58"/>
      <c r="BQ978" s="64"/>
    </row>
    <row r="979">
      <c r="A979" s="147">
        <v>6.0</v>
      </c>
      <c r="B979" s="2" t="s">
        <v>1672</v>
      </c>
      <c r="C979" s="2" t="s">
        <v>124</v>
      </c>
      <c r="D979" s="148" t="s">
        <v>119</v>
      </c>
      <c r="E979" s="149" t="s">
        <v>127</v>
      </c>
      <c r="F979" s="93"/>
      <c r="G979" s="93"/>
      <c r="H979" s="93"/>
      <c r="I979" s="140" t="str">
        <f t="shared" si="16"/>
        <v>55711030204</v>
      </c>
      <c r="J979" s="3"/>
      <c r="K979" s="3"/>
      <c r="L979" s="140" t="s">
        <v>1771</v>
      </c>
      <c r="M979" s="141">
        <v>1.0</v>
      </c>
      <c r="N979" s="1" t="s">
        <v>1772</v>
      </c>
      <c r="O979" s="2" t="s">
        <v>1773</v>
      </c>
      <c r="P979" s="3"/>
      <c r="Q979" s="3" t="s">
        <v>1674</v>
      </c>
      <c r="R979" s="3"/>
      <c r="S979" s="3"/>
      <c r="T979" s="3"/>
      <c r="U979" s="1">
        <v>1.0</v>
      </c>
      <c r="V979" s="3"/>
      <c r="W979" s="1" t="s">
        <v>78</v>
      </c>
      <c r="X979" s="3"/>
      <c r="Y979" s="3"/>
      <c r="Z979" s="3"/>
      <c r="AA979" s="96" t="s">
        <v>79</v>
      </c>
      <c r="AB979" s="96" t="s">
        <v>79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1" t="s">
        <v>1774</v>
      </c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 t="s">
        <v>1761</v>
      </c>
      <c r="BK979" s="1" t="s">
        <v>1773</v>
      </c>
      <c r="BL979" s="3"/>
      <c r="BM979" s="3"/>
      <c r="BN979" s="97"/>
      <c r="BO979" s="3"/>
      <c r="BP979" s="3"/>
      <c r="BQ979" s="10"/>
    </row>
    <row r="980">
      <c r="A980" s="147">
        <v>6.0</v>
      </c>
      <c r="B980" s="2" t="s">
        <v>1672</v>
      </c>
      <c r="C980" s="2" t="s">
        <v>124</v>
      </c>
      <c r="D980" s="148" t="s">
        <v>119</v>
      </c>
      <c r="E980" s="149" t="s">
        <v>91</v>
      </c>
      <c r="F980" s="93"/>
      <c r="G980" s="93"/>
      <c r="H980" s="93"/>
      <c r="I980" s="140" t="str">
        <f t="shared" si="16"/>
        <v>55711030205</v>
      </c>
      <c r="J980" s="3"/>
      <c r="K980" s="3"/>
      <c r="L980" s="140" t="s">
        <v>1775</v>
      </c>
      <c r="M980" s="141">
        <v>1.0</v>
      </c>
      <c r="N980" s="1" t="s">
        <v>1772</v>
      </c>
      <c r="O980" s="2" t="s">
        <v>1776</v>
      </c>
      <c r="P980" s="3"/>
      <c r="Q980" s="3" t="s">
        <v>1674</v>
      </c>
      <c r="R980" s="3"/>
      <c r="S980" s="3"/>
      <c r="T980" s="3"/>
      <c r="U980" s="1">
        <v>1.0</v>
      </c>
      <c r="V980" s="3"/>
      <c r="W980" s="1" t="s">
        <v>78</v>
      </c>
      <c r="X980" s="3"/>
      <c r="Y980" s="3"/>
      <c r="Z980" s="3"/>
      <c r="AA980" s="96" t="s">
        <v>79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1" t="s">
        <v>1777</v>
      </c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 t="s">
        <v>1761</v>
      </c>
      <c r="BK980" s="1" t="s">
        <v>1776</v>
      </c>
      <c r="BL980" s="3"/>
      <c r="BM980" s="3"/>
      <c r="BN980" s="97"/>
      <c r="BO980" s="3"/>
      <c r="BP980" s="3"/>
      <c r="BQ980" s="10"/>
    </row>
    <row r="981">
      <c r="A981" s="147">
        <v>6.0</v>
      </c>
      <c r="B981" s="2" t="s">
        <v>1672</v>
      </c>
      <c r="C981" s="2" t="s">
        <v>124</v>
      </c>
      <c r="D981" s="148" t="s">
        <v>119</v>
      </c>
      <c r="E981" s="149" t="s">
        <v>133</v>
      </c>
      <c r="F981" s="93"/>
      <c r="G981" s="93"/>
      <c r="H981" s="93"/>
      <c r="I981" s="140" t="str">
        <f t="shared" si="16"/>
        <v>55711030206</v>
      </c>
      <c r="J981" s="3"/>
      <c r="K981" s="3"/>
      <c r="L981" s="140" t="s">
        <v>1778</v>
      </c>
      <c r="M981" s="141">
        <v>1.0</v>
      </c>
      <c r="N981" s="3"/>
      <c r="O981" s="2" t="s">
        <v>1779</v>
      </c>
      <c r="P981" s="3"/>
      <c r="Q981" s="3" t="s">
        <v>1674</v>
      </c>
      <c r="R981" s="3"/>
      <c r="S981" s="3"/>
      <c r="T981" s="3"/>
      <c r="U981" s="1">
        <v>1.0</v>
      </c>
      <c r="V981" s="3"/>
      <c r="W981" s="1" t="s">
        <v>78</v>
      </c>
      <c r="X981" s="3"/>
      <c r="Y981" s="3"/>
      <c r="Z981" s="3"/>
      <c r="AA981" s="96" t="s">
        <v>79</v>
      </c>
      <c r="AB981" s="96" t="s">
        <v>79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1" t="s">
        <v>80</v>
      </c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 t="s">
        <v>1761</v>
      </c>
      <c r="BK981" s="1" t="s">
        <v>1779</v>
      </c>
      <c r="BL981" s="3"/>
      <c r="BM981" s="3"/>
      <c r="BN981" s="97"/>
      <c r="BO981" s="3"/>
      <c r="BP981" s="3"/>
      <c r="BQ981" s="10"/>
    </row>
    <row r="982">
      <c r="A982" s="147">
        <v>6.0</v>
      </c>
      <c r="B982" s="2" t="s">
        <v>1672</v>
      </c>
      <c r="C982" s="2" t="s">
        <v>124</v>
      </c>
      <c r="D982" s="148" t="s">
        <v>119</v>
      </c>
      <c r="E982" s="149" t="s">
        <v>136</v>
      </c>
      <c r="F982" s="93"/>
      <c r="G982" s="93"/>
      <c r="H982" s="93"/>
      <c r="I982" s="140" t="str">
        <f t="shared" si="16"/>
        <v>55711030207</v>
      </c>
      <c r="J982" s="3"/>
      <c r="K982" s="3"/>
      <c r="L982" s="140" t="s">
        <v>1780</v>
      </c>
      <c r="M982" s="141">
        <v>1.0</v>
      </c>
      <c r="N982" s="3"/>
      <c r="O982" s="2" t="s">
        <v>1781</v>
      </c>
      <c r="P982" s="3"/>
      <c r="Q982" s="3" t="s">
        <v>1674</v>
      </c>
      <c r="R982" s="3"/>
      <c r="S982" s="3"/>
      <c r="T982" s="3"/>
      <c r="U982" s="1">
        <v>1.0</v>
      </c>
      <c r="V982" s="3"/>
      <c r="W982" s="1" t="s">
        <v>78</v>
      </c>
      <c r="X982" s="3"/>
      <c r="Y982" s="3"/>
      <c r="Z982" s="3"/>
      <c r="AA982" s="96" t="s">
        <v>79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1" t="s">
        <v>80</v>
      </c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 t="s">
        <v>1761</v>
      </c>
      <c r="BK982" s="1" t="s">
        <v>1781</v>
      </c>
      <c r="BL982" s="3"/>
      <c r="BM982" s="3"/>
      <c r="BN982" s="97"/>
      <c r="BO982" s="3"/>
      <c r="BP982" s="3"/>
      <c r="BQ982" s="10"/>
    </row>
    <row r="983">
      <c r="A983" s="147">
        <v>5.0</v>
      </c>
      <c r="B983" s="2" t="s">
        <v>1672</v>
      </c>
      <c r="C983" s="2" t="s">
        <v>124</v>
      </c>
      <c r="D983" s="2" t="s">
        <v>124</v>
      </c>
      <c r="E983" s="93"/>
      <c r="F983" s="93"/>
      <c r="G983" s="93"/>
      <c r="H983" s="93"/>
      <c r="I983" s="140" t="str">
        <f t="shared" si="16"/>
        <v>557110303</v>
      </c>
      <c r="J983" s="3"/>
      <c r="K983" s="3"/>
      <c r="L983" s="140" t="s">
        <v>1782</v>
      </c>
      <c r="M983" s="141">
        <v>2.0</v>
      </c>
      <c r="N983" s="3"/>
      <c r="O983" s="93"/>
      <c r="P983" s="3"/>
      <c r="Q983" s="3" t="s">
        <v>1674</v>
      </c>
      <c r="R983" s="3"/>
      <c r="S983" s="3"/>
      <c r="T983" s="3"/>
      <c r="U983" s="1">
        <v>1.0</v>
      </c>
      <c r="V983" s="3"/>
      <c r="W983" s="1" t="s">
        <v>304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 t="s">
        <v>1761</v>
      </c>
      <c r="BK983" s="3"/>
      <c r="BL983" s="3"/>
      <c r="BM983" s="3"/>
      <c r="BN983" s="97"/>
      <c r="BO983" s="3"/>
      <c r="BP983" s="3"/>
      <c r="BQ983" s="10"/>
    </row>
    <row r="984">
      <c r="A984" s="70">
        <v>5.0</v>
      </c>
      <c r="B984" s="71" t="s">
        <v>1672</v>
      </c>
      <c r="C984" s="71" t="s">
        <v>124</v>
      </c>
      <c r="D984" s="105" t="s">
        <v>127</v>
      </c>
      <c r="E984" s="56"/>
      <c r="F984" s="56"/>
      <c r="G984" s="56"/>
      <c r="H984" s="56"/>
      <c r="I984" s="57" t="str">
        <f t="shared" si="16"/>
        <v>557110304</v>
      </c>
      <c r="J984" s="58"/>
      <c r="K984" s="58"/>
      <c r="L984" s="59" t="s">
        <v>1783</v>
      </c>
      <c r="M984" s="133">
        <v>2.0</v>
      </c>
      <c r="N984" s="58"/>
      <c r="O984" s="56"/>
      <c r="P984" s="58"/>
      <c r="Q984" s="58"/>
      <c r="R984" s="58"/>
      <c r="S984" s="58"/>
      <c r="T984" s="58"/>
      <c r="U984" s="117">
        <v>1.0</v>
      </c>
      <c r="V984" s="58"/>
      <c r="W984" s="117" t="s">
        <v>304</v>
      </c>
      <c r="X984" s="58"/>
      <c r="Y984" s="58"/>
      <c r="Z984" s="58"/>
      <c r="AA984" s="58"/>
      <c r="AB984" s="58"/>
      <c r="AC984" s="58"/>
      <c r="AD984" s="58"/>
      <c r="AE984" s="58"/>
      <c r="AF984" s="58"/>
      <c r="AG984" s="58"/>
      <c r="AH984" s="58"/>
      <c r="AI984" s="58"/>
      <c r="AJ984" s="58"/>
      <c r="AK984" s="58"/>
      <c r="AL984" s="58"/>
      <c r="AM984" s="58"/>
      <c r="AN984" s="58"/>
      <c r="AO984" s="58"/>
      <c r="AP984" s="58"/>
      <c r="AQ984" s="58"/>
      <c r="AR984" s="58"/>
      <c r="AS984" s="58"/>
      <c r="AT984" s="58"/>
      <c r="AU984" s="58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 t="s">
        <v>1761</v>
      </c>
      <c r="BK984" s="58"/>
      <c r="BL984" s="58"/>
      <c r="BM984" s="58"/>
      <c r="BN984" s="63"/>
      <c r="BO984" s="58"/>
      <c r="BP984" s="58"/>
      <c r="BQ984" s="64"/>
    </row>
    <row r="985">
      <c r="A985" s="70">
        <v>6.0</v>
      </c>
      <c r="B985" s="71" t="s">
        <v>1672</v>
      </c>
      <c r="C985" s="71" t="s">
        <v>124</v>
      </c>
      <c r="D985" s="55" t="s">
        <v>127</v>
      </c>
      <c r="E985" s="151" t="s">
        <v>76</v>
      </c>
      <c r="F985" s="56"/>
      <c r="G985" s="56"/>
      <c r="H985" s="56"/>
      <c r="I985" s="57" t="str">
        <f t="shared" si="16"/>
        <v>55711030401</v>
      </c>
      <c r="J985" s="58"/>
      <c r="K985" s="58"/>
      <c r="L985" s="59" t="s">
        <v>1784</v>
      </c>
      <c r="M985" s="133">
        <v>1.0</v>
      </c>
      <c r="N985" s="117" t="s">
        <v>1785</v>
      </c>
      <c r="O985" s="118" t="s">
        <v>1786</v>
      </c>
      <c r="P985" s="58"/>
      <c r="Q985" s="58"/>
      <c r="R985" s="58"/>
      <c r="S985" s="58"/>
      <c r="T985" s="58"/>
      <c r="U985" s="117">
        <v>1.0</v>
      </c>
      <c r="V985" s="58"/>
      <c r="W985" s="117" t="s">
        <v>78</v>
      </c>
      <c r="X985" s="58"/>
      <c r="Y985" s="58"/>
      <c r="Z985" s="58"/>
      <c r="AA985" s="62" t="s">
        <v>79</v>
      </c>
      <c r="AB985" s="62" t="s">
        <v>79</v>
      </c>
      <c r="AC985" s="58"/>
      <c r="AD985" s="58"/>
      <c r="AE985" s="58"/>
      <c r="AF985" s="58"/>
      <c r="AG985" s="58"/>
      <c r="AH985" s="58"/>
      <c r="AI985" s="58"/>
      <c r="AJ985" s="58"/>
      <c r="AK985" s="58"/>
      <c r="AL985" s="58"/>
      <c r="AM985" s="58"/>
      <c r="AN985" s="58"/>
      <c r="AO985" s="58"/>
      <c r="AP985" s="117">
        <v>7024.0</v>
      </c>
      <c r="AQ985" s="117">
        <v>380.0</v>
      </c>
      <c r="AR985" s="117">
        <v>700.0</v>
      </c>
      <c r="AS985" s="117">
        <v>1200.0</v>
      </c>
      <c r="AT985" s="117">
        <v>2000.0</v>
      </c>
      <c r="AU985" s="58"/>
      <c r="AV985" s="58" t="s">
        <v>1787</v>
      </c>
      <c r="AW985" s="58"/>
      <c r="AX985" s="58"/>
      <c r="AY985" s="58"/>
      <c r="AZ985" s="58"/>
      <c r="BA985" s="58"/>
      <c r="BB985" s="58"/>
      <c r="BC985" s="58" t="s">
        <v>1788</v>
      </c>
      <c r="BD985" s="58"/>
      <c r="BE985" s="58"/>
      <c r="BF985" s="58"/>
      <c r="BG985" s="70" t="s">
        <v>1789</v>
      </c>
      <c r="BH985" s="58" t="s">
        <v>1761</v>
      </c>
      <c r="BI985" s="58"/>
      <c r="BJ985" s="58"/>
      <c r="BK985" s="117" t="s">
        <v>1786</v>
      </c>
      <c r="BL985" s="58"/>
      <c r="BM985" s="58"/>
      <c r="BN985" s="63"/>
      <c r="BO985" s="58"/>
      <c r="BP985" s="58"/>
      <c r="BQ985" s="64"/>
    </row>
    <row r="986">
      <c r="A986" s="70">
        <v>6.0</v>
      </c>
      <c r="B986" s="71" t="s">
        <v>1672</v>
      </c>
      <c r="C986" s="71" t="s">
        <v>124</v>
      </c>
      <c r="D986" s="55" t="s">
        <v>127</v>
      </c>
      <c r="E986" s="151" t="s">
        <v>119</v>
      </c>
      <c r="F986" s="56"/>
      <c r="G986" s="56"/>
      <c r="H986" s="56"/>
      <c r="I986" s="57" t="str">
        <f t="shared" si="16"/>
        <v>55711030402</v>
      </c>
      <c r="J986" s="58"/>
      <c r="K986" s="58"/>
      <c r="L986" s="59" t="s">
        <v>1790</v>
      </c>
      <c r="M986" s="133">
        <v>1.0</v>
      </c>
      <c r="N986" s="117" t="s">
        <v>1785</v>
      </c>
      <c r="O986" s="118" t="s">
        <v>1791</v>
      </c>
      <c r="P986" s="58"/>
      <c r="Q986" s="58"/>
      <c r="R986" s="58"/>
      <c r="S986" s="58"/>
      <c r="T986" s="58"/>
      <c r="U986" s="117">
        <v>1.0</v>
      </c>
      <c r="V986" s="58"/>
      <c r="W986" s="117" t="s">
        <v>78</v>
      </c>
      <c r="X986" s="58"/>
      <c r="Y986" s="58"/>
      <c r="Z986" s="58"/>
      <c r="AA986" s="62" t="s">
        <v>79</v>
      </c>
      <c r="AB986" s="58"/>
      <c r="AC986" s="58"/>
      <c r="AD986" s="58"/>
      <c r="AE986" s="58"/>
      <c r="AF986" s="58"/>
      <c r="AG986" s="58"/>
      <c r="AH986" s="58"/>
      <c r="AI986" s="58"/>
      <c r="AJ986" s="58"/>
      <c r="AK986" s="58"/>
      <c r="AL986" s="58"/>
      <c r="AM986" s="58"/>
      <c r="AN986" s="58"/>
      <c r="AO986" s="58"/>
      <c r="AP986" s="117">
        <v>7124.0</v>
      </c>
      <c r="AQ986" s="117">
        <v>380.0</v>
      </c>
      <c r="AR986" s="117">
        <v>700.0</v>
      </c>
      <c r="AS986" s="117">
        <v>1200.0</v>
      </c>
      <c r="AT986" s="117">
        <v>2000.0</v>
      </c>
      <c r="AU986" s="58"/>
      <c r="AV986" s="58" t="s">
        <v>1787</v>
      </c>
      <c r="AW986" s="58"/>
      <c r="AX986" s="58"/>
      <c r="AY986" s="58"/>
      <c r="AZ986" s="58"/>
      <c r="BA986" s="58"/>
      <c r="BB986" s="58"/>
      <c r="BC986" s="58" t="s">
        <v>1788</v>
      </c>
      <c r="BD986" s="58"/>
      <c r="BE986" s="58"/>
      <c r="BF986" s="58"/>
      <c r="BG986" s="70" t="s">
        <v>1789</v>
      </c>
      <c r="BH986" s="58" t="s">
        <v>1761</v>
      </c>
      <c r="BI986" s="58"/>
      <c r="BJ986" s="58"/>
      <c r="BK986" s="117" t="s">
        <v>1786</v>
      </c>
      <c r="BL986" s="58"/>
      <c r="BM986" s="58"/>
      <c r="BN986" s="63"/>
      <c r="BO986" s="58"/>
      <c r="BP986" s="58"/>
      <c r="BQ986" s="64"/>
    </row>
    <row r="987">
      <c r="A987" s="70">
        <v>6.0</v>
      </c>
      <c r="B987" s="71" t="s">
        <v>1672</v>
      </c>
      <c r="C987" s="71" t="s">
        <v>124</v>
      </c>
      <c r="D987" s="55" t="s">
        <v>127</v>
      </c>
      <c r="E987" s="151" t="s">
        <v>124</v>
      </c>
      <c r="F987" s="56"/>
      <c r="G987" s="56"/>
      <c r="H987" s="56"/>
      <c r="I987" s="57" t="str">
        <f t="shared" si="16"/>
        <v>55711030403</v>
      </c>
      <c r="J987" s="58"/>
      <c r="K987" s="58"/>
      <c r="L987" s="59" t="s">
        <v>1792</v>
      </c>
      <c r="M987" s="133">
        <v>1.0</v>
      </c>
      <c r="N987" s="117" t="s">
        <v>1793</v>
      </c>
      <c r="O987" s="118" t="s">
        <v>1794</v>
      </c>
      <c r="P987" s="58"/>
      <c r="Q987" s="58"/>
      <c r="R987" s="58"/>
      <c r="S987" s="58"/>
      <c r="T987" s="58"/>
      <c r="U987" s="117">
        <v>1.0</v>
      </c>
      <c r="V987" s="58"/>
      <c r="W987" s="117" t="s">
        <v>78</v>
      </c>
      <c r="X987" s="58"/>
      <c r="Y987" s="58"/>
      <c r="Z987" s="58"/>
      <c r="AA987" s="62" t="s">
        <v>79</v>
      </c>
      <c r="AB987" s="62" t="s">
        <v>79</v>
      </c>
      <c r="AC987" s="58"/>
      <c r="AD987" s="58"/>
      <c r="AE987" s="58"/>
      <c r="AF987" s="58"/>
      <c r="AG987" s="58"/>
      <c r="AH987" s="58"/>
      <c r="AI987" s="58"/>
      <c r="AJ987" s="58"/>
      <c r="AK987" s="58"/>
      <c r="AL987" s="58"/>
      <c r="AM987" s="58"/>
      <c r="AN987" s="58"/>
      <c r="AO987" s="58"/>
      <c r="AP987" s="117" t="s">
        <v>1795</v>
      </c>
      <c r="AQ987" s="117">
        <v>1650.0</v>
      </c>
      <c r="AR987" s="58"/>
      <c r="AS987" s="58"/>
      <c r="AT987" s="58"/>
      <c r="AU987" s="58"/>
      <c r="AV987" s="64" t="s">
        <v>1796</v>
      </c>
      <c r="AW987" s="58"/>
      <c r="AX987" s="58"/>
      <c r="AY987" s="58"/>
      <c r="AZ987" s="58"/>
      <c r="BA987" s="58"/>
      <c r="BB987" s="58"/>
      <c r="BC987" s="58" t="s">
        <v>1797</v>
      </c>
      <c r="BD987" s="58"/>
      <c r="BE987" s="58"/>
      <c r="BF987" s="135">
        <v>147.5</v>
      </c>
      <c r="BG987" s="58"/>
      <c r="BH987" s="58" t="s">
        <v>1761</v>
      </c>
      <c r="BI987" s="58"/>
      <c r="BJ987" s="58"/>
      <c r="BK987" s="117" t="s">
        <v>1794</v>
      </c>
      <c r="BL987" s="58"/>
      <c r="BM987" s="58"/>
      <c r="BN987" s="63"/>
      <c r="BO987" s="58"/>
      <c r="BP987" s="58"/>
      <c r="BQ987" s="64"/>
    </row>
    <row r="988">
      <c r="A988" s="70">
        <v>6.0</v>
      </c>
      <c r="B988" s="71" t="s">
        <v>1672</v>
      </c>
      <c r="C988" s="71" t="s">
        <v>124</v>
      </c>
      <c r="D988" s="55" t="s">
        <v>127</v>
      </c>
      <c r="E988" s="151" t="s">
        <v>127</v>
      </c>
      <c r="F988" s="56"/>
      <c r="G988" s="56"/>
      <c r="H988" s="56"/>
      <c r="I988" s="57" t="str">
        <f t="shared" si="16"/>
        <v>55711030404</v>
      </c>
      <c r="J988" s="58"/>
      <c r="K988" s="58"/>
      <c r="L988" s="59" t="s">
        <v>1798</v>
      </c>
      <c r="M988" s="133">
        <v>1.0</v>
      </c>
      <c r="N988" s="117" t="s">
        <v>1793</v>
      </c>
      <c r="O988" s="118" t="s">
        <v>1799</v>
      </c>
      <c r="P988" s="58"/>
      <c r="Q988" s="58"/>
      <c r="R988" s="58"/>
      <c r="S988" s="58"/>
      <c r="T988" s="58"/>
      <c r="U988" s="117">
        <v>1.0</v>
      </c>
      <c r="V988" s="58"/>
      <c r="W988" s="117" t="s">
        <v>78</v>
      </c>
      <c r="X988" s="58"/>
      <c r="Y988" s="58"/>
      <c r="Z988" s="58"/>
      <c r="AA988" s="62" t="s">
        <v>79</v>
      </c>
      <c r="AB988" s="58"/>
      <c r="AC988" s="58"/>
      <c r="AD988" s="58"/>
      <c r="AE988" s="58"/>
      <c r="AF988" s="58"/>
      <c r="AG988" s="58"/>
      <c r="AH988" s="58"/>
      <c r="AI988" s="58"/>
      <c r="AJ988" s="58"/>
      <c r="AK988" s="58"/>
      <c r="AL988" s="58"/>
      <c r="AM988" s="58"/>
      <c r="AN988" s="58"/>
      <c r="AO988" s="58"/>
      <c r="AP988" s="117" t="s">
        <v>1800</v>
      </c>
      <c r="AQ988" s="117">
        <v>1650.0</v>
      </c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 t="s">
        <v>1797</v>
      </c>
      <c r="BD988" s="58"/>
      <c r="BE988" s="58"/>
      <c r="BF988" s="135">
        <v>147.5</v>
      </c>
      <c r="BG988" s="58"/>
      <c r="BH988" s="58" t="s">
        <v>1761</v>
      </c>
      <c r="BI988" s="58"/>
      <c r="BJ988" s="58"/>
      <c r="BK988" s="117" t="s">
        <v>1799</v>
      </c>
      <c r="BL988" s="58"/>
      <c r="BM988" s="58"/>
      <c r="BN988" s="63"/>
      <c r="BO988" s="58"/>
      <c r="BP988" s="58"/>
      <c r="BQ988" s="64"/>
    </row>
    <row r="989">
      <c r="A989" s="70">
        <v>6.0</v>
      </c>
      <c r="B989" s="71" t="s">
        <v>1672</v>
      </c>
      <c r="C989" s="71" t="s">
        <v>124</v>
      </c>
      <c r="D989" s="55" t="s">
        <v>127</v>
      </c>
      <c r="E989" s="151" t="s">
        <v>91</v>
      </c>
      <c r="F989" s="56"/>
      <c r="G989" s="56"/>
      <c r="H989" s="56"/>
      <c r="I989" s="57" t="str">
        <f t="shared" si="16"/>
        <v>55711030405</v>
      </c>
      <c r="J989" s="58"/>
      <c r="K989" s="58"/>
      <c r="L989" s="59" t="s">
        <v>1801</v>
      </c>
      <c r="M989" s="133">
        <v>1.0</v>
      </c>
      <c r="N989" s="117" t="s">
        <v>1802</v>
      </c>
      <c r="O989" s="118" t="s">
        <v>1803</v>
      </c>
      <c r="P989" s="58"/>
      <c r="Q989" s="58"/>
      <c r="R989" s="58"/>
      <c r="S989" s="58"/>
      <c r="T989" s="58"/>
      <c r="U989" s="117">
        <v>2.0</v>
      </c>
      <c r="V989" s="58"/>
      <c r="W989" s="117" t="s">
        <v>78</v>
      </c>
      <c r="X989" s="58"/>
      <c r="Y989" s="58"/>
      <c r="Z989" s="58"/>
      <c r="AA989" s="62" t="s">
        <v>79</v>
      </c>
      <c r="AB989" s="62" t="s">
        <v>79</v>
      </c>
      <c r="AC989" s="58"/>
      <c r="AD989" s="58"/>
      <c r="AE989" s="58"/>
      <c r="AF989" s="58"/>
      <c r="AG989" s="58"/>
      <c r="AH989" s="58"/>
      <c r="AI989" s="58"/>
      <c r="AJ989" s="58"/>
      <c r="AK989" s="58"/>
      <c r="AL989" s="58"/>
      <c r="AM989" s="58"/>
      <c r="AN989" s="58"/>
      <c r="AO989" s="58"/>
      <c r="AP989" s="117">
        <v>2.400960001E9</v>
      </c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 t="s">
        <v>1761</v>
      </c>
      <c r="BK989" s="117" t="s">
        <v>1804</v>
      </c>
      <c r="BL989" s="58"/>
      <c r="BM989" s="58"/>
      <c r="BN989" s="63"/>
      <c r="BO989" s="58"/>
      <c r="BP989" s="58"/>
      <c r="BQ989" s="64"/>
    </row>
    <row r="990">
      <c r="A990" s="70">
        <v>6.0</v>
      </c>
      <c r="B990" s="71" t="s">
        <v>1672</v>
      </c>
      <c r="C990" s="71" t="s">
        <v>124</v>
      </c>
      <c r="D990" s="55" t="s">
        <v>127</v>
      </c>
      <c r="E990" s="151" t="s">
        <v>133</v>
      </c>
      <c r="F990" s="56"/>
      <c r="G990" s="56"/>
      <c r="H990" s="56"/>
      <c r="I990" s="57" t="str">
        <f t="shared" si="16"/>
        <v>55711030406</v>
      </c>
      <c r="J990" s="58"/>
      <c r="K990" s="58"/>
      <c r="L990" s="59" t="s">
        <v>1805</v>
      </c>
      <c r="M990" s="60">
        <v>1.0</v>
      </c>
      <c r="N990" s="152" t="s">
        <v>1806</v>
      </c>
      <c r="O990" s="118" t="s">
        <v>1807</v>
      </c>
      <c r="P990" s="58"/>
      <c r="Q990" s="58"/>
      <c r="R990" s="58"/>
      <c r="S990" s="58"/>
      <c r="T990" s="58"/>
      <c r="U990" s="58"/>
      <c r="V990" s="58"/>
      <c r="W990" s="117" t="s">
        <v>78</v>
      </c>
      <c r="X990" s="58"/>
      <c r="Y990" s="58"/>
      <c r="Z990" s="58"/>
      <c r="AA990" s="62" t="s">
        <v>79</v>
      </c>
      <c r="AB990" s="62" t="s">
        <v>79</v>
      </c>
      <c r="AC990" s="58"/>
      <c r="AD990" s="58"/>
      <c r="AE990" s="58"/>
      <c r="AF990" s="58"/>
      <c r="AG990" s="58"/>
      <c r="AH990" s="58"/>
      <c r="AI990" s="58"/>
      <c r="AJ990" s="58"/>
      <c r="AK990" s="58"/>
      <c r="AL990" s="58"/>
      <c r="AM990" s="58"/>
      <c r="AN990" s="58"/>
      <c r="AO990" s="58"/>
      <c r="AP990" s="117" t="s">
        <v>1808</v>
      </c>
      <c r="AQ990" s="58"/>
      <c r="AR990" s="58"/>
      <c r="AS990" s="58"/>
      <c r="AT990" s="58"/>
      <c r="AU990" s="58"/>
      <c r="AV990" s="58"/>
      <c r="AW990" s="58"/>
      <c r="AX990" s="58"/>
      <c r="AY990" s="58"/>
      <c r="AZ990" s="58"/>
      <c r="BA990" s="58"/>
      <c r="BB990" s="58"/>
      <c r="BC990" s="58"/>
      <c r="BD990" s="58"/>
      <c r="BE990" s="58"/>
      <c r="BF990" s="58"/>
      <c r="BG990" s="58"/>
      <c r="BH990" s="70" t="s">
        <v>1809</v>
      </c>
      <c r="BI990" s="117">
        <v>88.0</v>
      </c>
      <c r="BJ990" s="58" t="s">
        <v>1810</v>
      </c>
      <c r="BK990" s="58"/>
      <c r="BL990" s="58"/>
      <c r="BM990" s="58"/>
      <c r="BN990" s="63"/>
      <c r="BO990" s="58"/>
      <c r="BP990" s="58"/>
      <c r="BQ990" s="64"/>
    </row>
    <row r="991">
      <c r="A991" s="70">
        <v>6.0</v>
      </c>
      <c r="B991" s="71" t="s">
        <v>1672</v>
      </c>
      <c r="C991" s="71" t="s">
        <v>124</v>
      </c>
      <c r="D991" s="55" t="s">
        <v>127</v>
      </c>
      <c r="E991" s="151" t="s">
        <v>136</v>
      </c>
      <c r="F991" s="56"/>
      <c r="G991" s="56"/>
      <c r="H991" s="56"/>
      <c r="I991" s="57" t="str">
        <f t="shared" si="16"/>
        <v>55711030407</v>
      </c>
      <c r="J991" s="58"/>
      <c r="K991" s="58"/>
      <c r="L991" s="59" t="s">
        <v>1811</v>
      </c>
      <c r="M991" s="60">
        <v>1.0</v>
      </c>
      <c r="N991" s="152" t="s">
        <v>1806</v>
      </c>
      <c r="O991" s="118" t="s">
        <v>1812</v>
      </c>
      <c r="P991" s="58"/>
      <c r="Q991" s="58"/>
      <c r="R991" s="58"/>
      <c r="S991" s="58"/>
      <c r="T991" s="58"/>
      <c r="U991" s="58"/>
      <c r="V991" s="58"/>
      <c r="W991" s="117" t="s">
        <v>78</v>
      </c>
      <c r="X991" s="58"/>
      <c r="Y991" s="58"/>
      <c r="Z991" s="58"/>
      <c r="AA991" s="62" t="s">
        <v>79</v>
      </c>
      <c r="AB991" s="58"/>
      <c r="AC991" s="58"/>
      <c r="AD991" s="58"/>
      <c r="AE991" s="58"/>
      <c r="AF991" s="58"/>
      <c r="AG991" s="58"/>
      <c r="AH991" s="58"/>
      <c r="AI991" s="58"/>
      <c r="AJ991" s="58"/>
      <c r="AK991" s="58"/>
      <c r="AL991" s="58"/>
      <c r="AM991" s="58"/>
      <c r="AN991" s="58"/>
      <c r="AO991" s="58"/>
      <c r="AP991" s="117" t="s">
        <v>1813</v>
      </c>
      <c r="AQ991" s="58"/>
      <c r="AR991" s="58"/>
      <c r="AS991" s="58"/>
      <c r="AT991" s="58"/>
      <c r="AU991" s="58"/>
      <c r="AV991" s="58"/>
      <c r="AW991" s="58"/>
      <c r="AX991" s="58"/>
      <c r="AY991" s="58"/>
      <c r="AZ991" s="58"/>
      <c r="BA991" s="58"/>
      <c r="BB991" s="58"/>
      <c r="BC991" s="58"/>
      <c r="BD991" s="58"/>
      <c r="BE991" s="58"/>
      <c r="BF991" s="58"/>
      <c r="BG991" s="58"/>
      <c r="BH991" s="70" t="s">
        <v>1809</v>
      </c>
      <c r="BI991" s="117">
        <v>88.0</v>
      </c>
      <c r="BJ991" s="58" t="s">
        <v>1810</v>
      </c>
      <c r="BK991" s="58"/>
      <c r="BL991" s="58"/>
      <c r="BM991" s="58"/>
      <c r="BN991" s="63"/>
      <c r="BO991" s="58"/>
      <c r="BP991" s="58"/>
      <c r="BQ991" s="64"/>
    </row>
    <row r="992">
      <c r="A992" s="70">
        <v>6.0</v>
      </c>
      <c r="B992" s="71" t="s">
        <v>1672</v>
      </c>
      <c r="C992" s="71" t="s">
        <v>124</v>
      </c>
      <c r="D992" s="55" t="s">
        <v>127</v>
      </c>
      <c r="E992" s="151" t="s">
        <v>138</v>
      </c>
      <c r="F992" s="56"/>
      <c r="G992" s="56"/>
      <c r="H992" s="56"/>
      <c r="I992" s="57" t="str">
        <f t="shared" si="16"/>
        <v>55711030408</v>
      </c>
      <c r="J992" s="58"/>
      <c r="K992" s="58"/>
      <c r="L992" s="59" t="s">
        <v>1814</v>
      </c>
      <c r="M992" s="133">
        <v>1.0</v>
      </c>
      <c r="N992" s="58"/>
      <c r="O992" s="118" t="s">
        <v>1815</v>
      </c>
      <c r="P992" s="58"/>
      <c r="Q992" s="58"/>
      <c r="R992" s="58"/>
      <c r="S992" s="58"/>
      <c r="T992" s="58"/>
      <c r="U992" s="117">
        <v>1.0</v>
      </c>
      <c r="V992" s="58"/>
      <c r="W992" s="117" t="s">
        <v>78</v>
      </c>
      <c r="X992" s="58"/>
      <c r="Y992" s="58"/>
      <c r="Z992" s="58"/>
      <c r="AA992" s="58"/>
      <c r="AB992" s="58"/>
      <c r="AC992" s="58"/>
      <c r="AD992" s="58"/>
      <c r="AE992" s="58"/>
      <c r="AF992" s="58"/>
      <c r="AG992" s="58"/>
      <c r="AH992" s="58"/>
      <c r="AI992" s="58"/>
      <c r="AJ992" s="58"/>
      <c r="AK992" s="58"/>
      <c r="AL992" s="58"/>
      <c r="AM992" s="58"/>
      <c r="AN992" s="58"/>
      <c r="AO992" s="58"/>
      <c r="AP992" s="58"/>
      <c r="AQ992" s="58"/>
      <c r="AR992" s="58"/>
      <c r="AS992" s="58"/>
      <c r="AT992" s="58"/>
      <c r="AU992" s="58"/>
      <c r="AV992" s="58"/>
      <c r="AW992" s="58"/>
      <c r="AX992" s="58"/>
      <c r="AY992" s="58"/>
      <c r="AZ992" s="58"/>
      <c r="BA992" s="58"/>
      <c r="BB992" s="58"/>
      <c r="BC992" s="58"/>
      <c r="BD992" s="58"/>
      <c r="BE992" s="58"/>
      <c r="BF992" s="58"/>
      <c r="BG992" s="58"/>
      <c r="BH992" s="116" t="s">
        <v>1816</v>
      </c>
      <c r="BI992" s="58"/>
      <c r="BJ992" s="116" t="s">
        <v>1817</v>
      </c>
      <c r="BK992" s="117" t="s">
        <v>1815</v>
      </c>
      <c r="BL992" s="58"/>
      <c r="BM992" s="58"/>
      <c r="BN992" s="63"/>
      <c r="BO992" s="58"/>
      <c r="BP992" s="58"/>
      <c r="BQ992" s="64"/>
    </row>
    <row r="993">
      <c r="A993" s="70">
        <v>6.0</v>
      </c>
      <c r="B993" s="71" t="s">
        <v>1672</v>
      </c>
      <c r="C993" s="71" t="s">
        <v>124</v>
      </c>
      <c r="D993" s="55" t="s">
        <v>127</v>
      </c>
      <c r="E993" s="151" t="s">
        <v>142</v>
      </c>
      <c r="F993" s="56"/>
      <c r="G993" s="56"/>
      <c r="H993" s="56"/>
      <c r="I993" s="57" t="str">
        <f t="shared" si="16"/>
        <v>55711030409</v>
      </c>
      <c r="J993" s="58"/>
      <c r="K993" s="58"/>
      <c r="L993" s="59" t="s">
        <v>1801</v>
      </c>
      <c r="M993" s="133">
        <v>1.0</v>
      </c>
      <c r="N993" s="117" t="s">
        <v>1802</v>
      </c>
      <c r="O993" s="118" t="s">
        <v>1818</v>
      </c>
      <c r="P993" s="58"/>
      <c r="Q993" s="58"/>
      <c r="R993" s="58"/>
      <c r="S993" s="58"/>
      <c r="T993" s="58"/>
      <c r="U993" s="117">
        <v>2.0</v>
      </c>
      <c r="V993" s="58"/>
      <c r="W993" s="117" t="s">
        <v>78</v>
      </c>
      <c r="X993" s="58"/>
      <c r="Y993" s="58"/>
      <c r="Z993" s="58"/>
      <c r="AA993" s="62" t="s">
        <v>79</v>
      </c>
      <c r="AB993" s="58"/>
      <c r="AC993" s="58"/>
      <c r="AD993" s="58"/>
      <c r="AE993" s="58"/>
      <c r="AF993" s="58"/>
      <c r="AG993" s="58"/>
      <c r="AH993" s="58"/>
      <c r="AI993" s="58"/>
      <c r="AJ993" s="58"/>
      <c r="AK993" s="58"/>
      <c r="AL993" s="58"/>
      <c r="AM993" s="58"/>
      <c r="AN993" s="58"/>
      <c r="AO993" s="58"/>
      <c r="AP993" s="117">
        <v>2.400960002E9</v>
      </c>
      <c r="AQ993" s="58"/>
      <c r="AR993" s="58"/>
      <c r="AS993" s="58"/>
      <c r="AT993" s="58"/>
      <c r="AU993" s="58"/>
      <c r="AV993" s="58"/>
      <c r="AW993" s="58"/>
      <c r="AX993" s="58"/>
      <c r="AY993" s="58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BJ993" s="58" t="s">
        <v>1761</v>
      </c>
      <c r="BK993" s="117" t="s">
        <v>1804</v>
      </c>
      <c r="BL993" s="58"/>
      <c r="BM993" s="58"/>
      <c r="BN993" s="63"/>
      <c r="BO993" s="58"/>
      <c r="BP993" s="58"/>
      <c r="BQ993" s="64"/>
    </row>
    <row r="994">
      <c r="A994" s="147">
        <v>5.0</v>
      </c>
      <c r="B994" s="2" t="s">
        <v>1672</v>
      </c>
      <c r="C994" s="2" t="s">
        <v>124</v>
      </c>
      <c r="D994" s="148" t="s">
        <v>91</v>
      </c>
      <c r="E994" s="93"/>
      <c r="F994" s="93"/>
      <c r="G994" s="93"/>
      <c r="H994" s="93"/>
      <c r="I994" s="140" t="str">
        <f t="shared" si="16"/>
        <v>557110305</v>
      </c>
      <c r="J994" s="3"/>
      <c r="K994" s="3"/>
      <c r="L994" s="140" t="s">
        <v>1819</v>
      </c>
      <c r="M994" s="141">
        <v>2.0</v>
      </c>
      <c r="N994" s="3"/>
      <c r="O994" s="93"/>
      <c r="P994" s="3"/>
      <c r="Q994" s="3" t="s">
        <v>1674</v>
      </c>
      <c r="R994" s="3"/>
      <c r="S994" s="3"/>
      <c r="T994" s="3"/>
      <c r="U994" s="1">
        <v>1.0</v>
      </c>
      <c r="V994" s="3"/>
      <c r="W994" s="1" t="s">
        <v>160</v>
      </c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97"/>
      <c r="BO994" s="3"/>
      <c r="BP994" s="3"/>
      <c r="BQ994" s="10"/>
    </row>
    <row r="995">
      <c r="A995" s="147">
        <v>4.0</v>
      </c>
      <c r="B995" s="2" t="s">
        <v>1672</v>
      </c>
      <c r="C995" s="2" t="s">
        <v>127</v>
      </c>
      <c r="D995" s="93"/>
      <c r="E995" s="93"/>
      <c r="F995" s="93"/>
      <c r="G995" s="93"/>
      <c r="H995" s="93"/>
      <c r="I995" s="140" t="str">
        <f t="shared" si="16"/>
        <v>5571104</v>
      </c>
      <c r="J995" s="3"/>
      <c r="K995" s="3"/>
      <c r="L995" s="140" t="s">
        <v>1820</v>
      </c>
      <c r="M995" s="141">
        <v>2.0</v>
      </c>
      <c r="N995" s="3"/>
      <c r="O995" s="93"/>
      <c r="P995" s="3"/>
      <c r="Q995" s="3" t="s">
        <v>1674</v>
      </c>
      <c r="R995" s="3"/>
      <c r="S995" s="3"/>
      <c r="T995" s="3"/>
      <c r="U995" s="1">
        <v>1.0</v>
      </c>
      <c r="V995" s="3"/>
      <c r="W995" s="1" t="s">
        <v>304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97"/>
      <c r="BO995" s="3"/>
      <c r="BP995" s="3"/>
      <c r="BQ995" s="10"/>
    </row>
    <row r="996">
      <c r="A996" s="147">
        <v>5.0</v>
      </c>
      <c r="B996" s="2" t="s">
        <v>1672</v>
      </c>
      <c r="C996" s="2" t="s">
        <v>127</v>
      </c>
      <c r="D996" s="149" t="s">
        <v>76</v>
      </c>
      <c r="E996" s="93"/>
      <c r="F996" s="93"/>
      <c r="G996" s="93"/>
      <c r="H996" s="93"/>
      <c r="I996" s="140" t="str">
        <f t="shared" si="16"/>
        <v>557110401</v>
      </c>
      <c r="J996" s="3"/>
      <c r="K996" s="3"/>
      <c r="L996" s="140" t="s">
        <v>1821</v>
      </c>
      <c r="M996" s="141">
        <v>1.0</v>
      </c>
      <c r="N996" s="3"/>
      <c r="O996" s="93"/>
      <c r="P996" s="3"/>
      <c r="Q996" s="3" t="s">
        <v>1674</v>
      </c>
      <c r="R996" s="3"/>
      <c r="S996" s="3" t="s">
        <v>1822</v>
      </c>
      <c r="T996" s="3"/>
      <c r="U996" s="1">
        <v>1.0</v>
      </c>
      <c r="V996" s="3"/>
      <c r="W996" s="1" t="s">
        <v>78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97"/>
      <c r="BO996" s="3"/>
      <c r="BP996" s="3"/>
      <c r="BQ996" s="10"/>
    </row>
    <row r="997">
      <c r="A997" s="147">
        <v>5.0</v>
      </c>
      <c r="B997" s="2" t="s">
        <v>1672</v>
      </c>
      <c r="C997" s="2" t="s">
        <v>127</v>
      </c>
      <c r="D997" s="149" t="s">
        <v>119</v>
      </c>
      <c r="E997" s="93"/>
      <c r="F997" s="93"/>
      <c r="G997" s="93"/>
      <c r="H997" s="93"/>
      <c r="I997" s="140" t="str">
        <f t="shared" si="16"/>
        <v>557110402</v>
      </c>
      <c r="J997" s="3"/>
      <c r="K997" s="3"/>
      <c r="L997" s="140" t="s">
        <v>1821</v>
      </c>
      <c r="M997" s="141">
        <v>1.0</v>
      </c>
      <c r="N997" s="3"/>
      <c r="O997" s="93"/>
      <c r="P997" s="3"/>
      <c r="Q997" s="3" t="s">
        <v>1674</v>
      </c>
      <c r="R997" s="3"/>
      <c r="S997" s="3" t="s">
        <v>1822</v>
      </c>
      <c r="T997" s="3"/>
      <c r="U997" s="1">
        <v>1.0</v>
      </c>
      <c r="V997" s="3"/>
      <c r="W997" s="1" t="s">
        <v>78</v>
      </c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97"/>
      <c r="BO997" s="3"/>
      <c r="BP997" s="3"/>
      <c r="BQ997" s="10"/>
    </row>
    <row r="998">
      <c r="A998" s="147">
        <v>5.0</v>
      </c>
      <c r="B998" s="2" t="s">
        <v>1672</v>
      </c>
      <c r="C998" s="2" t="s">
        <v>127</v>
      </c>
      <c r="D998" s="149" t="s">
        <v>124</v>
      </c>
      <c r="E998" s="93"/>
      <c r="F998" s="93"/>
      <c r="G998" s="93"/>
      <c r="H998" s="93"/>
      <c r="I998" s="140" t="str">
        <f t="shared" si="16"/>
        <v>557110403</v>
      </c>
      <c r="J998" s="3"/>
      <c r="K998" s="3"/>
      <c r="L998" s="140" t="s">
        <v>1821</v>
      </c>
      <c r="M998" s="141">
        <v>1.0</v>
      </c>
      <c r="N998" s="3"/>
      <c r="O998" s="93"/>
      <c r="P998" s="3"/>
      <c r="Q998" s="3" t="s">
        <v>1674</v>
      </c>
      <c r="R998" s="3"/>
      <c r="S998" s="3" t="s">
        <v>1822</v>
      </c>
      <c r="T998" s="3"/>
      <c r="U998" s="1">
        <v>1.0</v>
      </c>
      <c r="V998" s="3"/>
      <c r="W998" s="1" t="s">
        <v>78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97"/>
      <c r="BO998" s="3"/>
      <c r="BP998" s="3"/>
      <c r="BQ998" s="10"/>
    </row>
    <row r="999">
      <c r="A999" s="147">
        <v>5.0</v>
      </c>
      <c r="B999" s="2" t="s">
        <v>1672</v>
      </c>
      <c r="C999" s="2" t="s">
        <v>127</v>
      </c>
      <c r="D999" s="149" t="s">
        <v>127</v>
      </c>
      <c r="E999" s="93"/>
      <c r="F999" s="93"/>
      <c r="G999" s="93"/>
      <c r="H999" s="93"/>
      <c r="I999" s="140" t="str">
        <f t="shared" si="16"/>
        <v>557110404</v>
      </c>
      <c r="J999" s="3"/>
      <c r="K999" s="3"/>
      <c r="L999" s="140" t="s">
        <v>1821</v>
      </c>
      <c r="M999" s="141">
        <v>1.0</v>
      </c>
      <c r="N999" s="3"/>
      <c r="O999" s="93"/>
      <c r="P999" s="3"/>
      <c r="Q999" s="3" t="s">
        <v>1674</v>
      </c>
      <c r="R999" s="3"/>
      <c r="S999" s="3" t="s">
        <v>1822</v>
      </c>
      <c r="T999" s="3"/>
      <c r="U999" s="1">
        <v>1.0</v>
      </c>
      <c r="V999" s="3"/>
      <c r="W999" s="1" t="s">
        <v>78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97"/>
      <c r="BO999" s="3"/>
      <c r="BP999" s="3"/>
      <c r="BQ999" s="10"/>
    </row>
    <row r="1000">
      <c r="A1000" s="147">
        <v>5.0</v>
      </c>
      <c r="B1000" s="2" t="s">
        <v>1672</v>
      </c>
      <c r="C1000" s="2" t="s">
        <v>127</v>
      </c>
      <c r="D1000" s="149" t="s">
        <v>91</v>
      </c>
      <c r="E1000" s="93"/>
      <c r="F1000" s="93"/>
      <c r="G1000" s="93"/>
      <c r="H1000" s="93"/>
      <c r="I1000" s="140" t="str">
        <f t="shared" si="16"/>
        <v>557110405</v>
      </c>
      <c r="J1000" s="3"/>
      <c r="K1000" s="3"/>
      <c r="L1000" s="140" t="s">
        <v>1823</v>
      </c>
      <c r="M1000" s="141">
        <v>1.0</v>
      </c>
      <c r="N1000" s="3"/>
      <c r="O1000" s="93"/>
      <c r="P1000" s="3"/>
      <c r="Q1000" s="3" t="s">
        <v>1674</v>
      </c>
      <c r="R1000" s="3"/>
      <c r="S1000" s="3" t="s">
        <v>1822</v>
      </c>
      <c r="T1000" s="3"/>
      <c r="U1000" s="1">
        <v>1.0</v>
      </c>
      <c r="V1000" s="3"/>
      <c r="W1000" s="1" t="s">
        <v>78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97"/>
      <c r="BO1000" s="3"/>
      <c r="BP1000" s="3"/>
      <c r="BQ1000" s="10"/>
    </row>
    <row r="1001">
      <c r="A1001" s="147">
        <v>5.0</v>
      </c>
      <c r="B1001" s="2" t="s">
        <v>1672</v>
      </c>
      <c r="C1001" s="2" t="s">
        <v>127</v>
      </c>
      <c r="D1001" s="149" t="s">
        <v>133</v>
      </c>
      <c r="E1001" s="93"/>
      <c r="F1001" s="93"/>
      <c r="G1001" s="93"/>
      <c r="H1001" s="93"/>
      <c r="I1001" s="140" t="str">
        <f t="shared" si="16"/>
        <v>557110406</v>
      </c>
      <c r="J1001" s="3"/>
      <c r="K1001" s="3"/>
      <c r="L1001" s="140" t="s">
        <v>1823</v>
      </c>
      <c r="M1001" s="141">
        <v>1.0</v>
      </c>
      <c r="N1001" s="3"/>
      <c r="O1001" s="93"/>
      <c r="P1001" s="3"/>
      <c r="Q1001" s="3" t="s">
        <v>1674</v>
      </c>
      <c r="R1001" s="3"/>
      <c r="S1001" s="3" t="s">
        <v>1822</v>
      </c>
      <c r="T1001" s="3"/>
      <c r="U1001" s="1">
        <v>1.0</v>
      </c>
      <c r="V1001" s="3"/>
      <c r="W1001" s="1" t="s">
        <v>78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97"/>
      <c r="BO1001" s="3"/>
      <c r="BP1001" s="3"/>
      <c r="BQ1001" s="10"/>
    </row>
    <row r="1002">
      <c r="A1002" s="147">
        <v>5.0</v>
      </c>
      <c r="B1002" s="2" t="s">
        <v>1672</v>
      </c>
      <c r="C1002" s="2" t="s">
        <v>127</v>
      </c>
      <c r="D1002" s="149" t="s">
        <v>136</v>
      </c>
      <c r="E1002" s="93"/>
      <c r="F1002" s="93"/>
      <c r="G1002" s="93"/>
      <c r="H1002" s="93"/>
      <c r="I1002" s="140" t="str">
        <f t="shared" si="16"/>
        <v>557110407</v>
      </c>
      <c r="J1002" s="3"/>
      <c r="K1002" s="3"/>
      <c r="L1002" s="140" t="s">
        <v>1824</v>
      </c>
      <c r="M1002" s="141">
        <v>1.0</v>
      </c>
      <c r="N1002" s="3"/>
      <c r="O1002" s="93"/>
      <c r="P1002" s="3"/>
      <c r="Q1002" s="3" t="s">
        <v>1674</v>
      </c>
      <c r="R1002" s="3"/>
      <c r="S1002" s="3" t="s">
        <v>1822</v>
      </c>
      <c r="T1002" s="3"/>
      <c r="U1002" s="1">
        <v>1.0</v>
      </c>
      <c r="V1002" s="3"/>
      <c r="W1002" s="1" t="s">
        <v>78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97"/>
      <c r="BO1002" s="3"/>
      <c r="BP1002" s="3"/>
      <c r="BQ1002" s="10"/>
    </row>
    <row r="1003">
      <c r="A1003" s="147">
        <v>5.0</v>
      </c>
      <c r="B1003" s="2" t="s">
        <v>1672</v>
      </c>
      <c r="C1003" s="2" t="s">
        <v>127</v>
      </c>
      <c r="D1003" s="149" t="s">
        <v>138</v>
      </c>
      <c r="E1003" s="93"/>
      <c r="F1003" s="93"/>
      <c r="G1003" s="93"/>
      <c r="H1003" s="93"/>
      <c r="I1003" s="140" t="str">
        <f t="shared" si="16"/>
        <v>557110408</v>
      </c>
      <c r="J1003" s="3"/>
      <c r="K1003" s="3"/>
      <c r="L1003" s="140" t="s">
        <v>1825</v>
      </c>
      <c r="M1003" s="141">
        <v>1.0</v>
      </c>
      <c r="N1003" s="3"/>
      <c r="O1003" s="93"/>
      <c r="P1003" s="3"/>
      <c r="Q1003" s="3" t="s">
        <v>1674</v>
      </c>
      <c r="R1003" s="3"/>
      <c r="S1003" s="3" t="s">
        <v>1822</v>
      </c>
      <c r="T1003" s="3"/>
      <c r="U1003" s="1">
        <v>1.0</v>
      </c>
      <c r="V1003" s="3"/>
      <c r="W1003" s="1" t="s">
        <v>78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1" t="s">
        <v>1706</v>
      </c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97"/>
      <c r="BO1003" s="3"/>
      <c r="BP1003" s="3"/>
      <c r="BQ1003" s="10"/>
    </row>
    <row r="1004">
      <c r="A1004" s="147">
        <v>5.0</v>
      </c>
      <c r="B1004" s="2" t="s">
        <v>1672</v>
      </c>
      <c r="C1004" s="2" t="s">
        <v>127</v>
      </c>
      <c r="D1004" s="149" t="s">
        <v>142</v>
      </c>
      <c r="E1004" s="93"/>
      <c r="F1004" s="93"/>
      <c r="G1004" s="93"/>
      <c r="H1004" s="93"/>
      <c r="I1004" s="140" t="str">
        <f t="shared" si="16"/>
        <v>557110409</v>
      </c>
      <c r="J1004" s="3"/>
      <c r="K1004" s="3"/>
      <c r="L1004" s="140" t="s">
        <v>1825</v>
      </c>
      <c r="M1004" s="141">
        <v>1.0</v>
      </c>
      <c r="N1004" s="3"/>
      <c r="O1004" s="93"/>
      <c r="P1004" s="3"/>
      <c r="Q1004" s="3" t="s">
        <v>1674</v>
      </c>
      <c r="R1004" s="3"/>
      <c r="S1004" s="3" t="s">
        <v>1822</v>
      </c>
      <c r="T1004" s="3"/>
      <c r="U1004" s="1">
        <v>1.0</v>
      </c>
      <c r="V1004" s="3"/>
      <c r="W1004" s="1" t="s">
        <v>78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97"/>
      <c r="BO1004" s="3"/>
      <c r="BP1004" s="3"/>
      <c r="BQ1004" s="10"/>
    </row>
    <row r="1005">
      <c r="A1005" s="147">
        <v>5.0</v>
      </c>
      <c r="B1005" s="2" t="s">
        <v>1672</v>
      </c>
      <c r="C1005" s="2" t="s">
        <v>127</v>
      </c>
      <c r="D1005" s="149" t="s">
        <v>149</v>
      </c>
      <c r="E1005" s="93"/>
      <c r="F1005" s="93"/>
      <c r="G1005" s="93"/>
      <c r="H1005" s="93"/>
      <c r="I1005" s="140" t="str">
        <f t="shared" si="16"/>
        <v>55711040A</v>
      </c>
      <c r="J1005" s="3"/>
      <c r="K1005" s="3"/>
      <c r="L1005" s="140" t="s">
        <v>1825</v>
      </c>
      <c r="M1005" s="141">
        <v>1.0</v>
      </c>
      <c r="N1005" s="3"/>
      <c r="O1005" s="93"/>
      <c r="P1005" s="3"/>
      <c r="Q1005" s="3" t="s">
        <v>1674</v>
      </c>
      <c r="R1005" s="3"/>
      <c r="S1005" s="3" t="s">
        <v>1822</v>
      </c>
      <c r="T1005" s="3"/>
      <c r="U1005" s="1">
        <v>1.0</v>
      </c>
      <c r="V1005" s="3"/>
      <c r="W1005" s="1" t="s">
        <v>78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1" t="s">
        <v>1712</v>
      </c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97"/>
      <c r="BO1005" s="3"/>
      <c r="BP1005" s="3"/>
      <c r="BQ1005" s="10"/>
    </row>
    <row r="1006">
      <c r="A1006" s="147">
        <v>5.0</v>
      </c>
      <c r="B1006" s="2" t="s">
        <v>1672</v>
      </c>
      <c r="C1006" s="2" t="s">
        <v>127</v>
      </c>
      <c r="D1006" s="149" t="s">
        <v>151</v>
      </c>
      <c r="E1006" s="93"/>
      <c r="F1006" s="93"/>
      <c r="G1006" s="93"/>
      <c r="H1006" s="93"/>
      <c r="I1006" s="140" t="str">
        <f t="shared" si="16"/>
        <v>55711040B</v>
      </c>
      <c r="J1006" s="3"/>
      <c r="K1006" s="3"/>
      <c r="L1006" s="140" t="s">
        <v>1825</v>
      </c>
      <c r="M1006" s="141">
        <v>1.0</v>
      </c>
      <c r="N1006" s="3"/>
      <c r="O1006" s="93"/>
      <c r="P1006" s="3"/>
      <c r="Q1006" s="3" t="s">
        <v>1674</v>
      </c>
      <c r="R1006" s="3"/>
      <c r="S1006" s="3" t="s">
        <v>1822</v>
      </c>
      <c r="T1006" s="3"/>
      <c r="U1006" s="1">
        <v>1.0</v>
      </c>
      <c r="V1006" s="3"/>
      <c r="W1006" s="1" t="s">
        <v>78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1" t="s">
        <v>1715</v>
      </c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97"/>
      <c r="BO1006" s="3"/>
      <c r="BP1006" s="3"/>
      <c r="BQ1006" s="10"/>
    </row>
    <row r="1007">
      <c r="A1007" s="147">
        <v>5.0</v>
      </c>
      <c r="B1007" s="2" t="s">
        <v>1672</v>
      </c>
      <c r="C1007" s="2" t="s">
        <v>127</v>
      </c>
      <c r="D1007" s="149" t="s">
        <v>155</v>
      </c>
      <c r="E1007" s="93"/>
      <c r="F1007" s="93"/>
      <c r="G1007" s="93"/>
      <c r="H1007" s="93"/>
      <c r="I1007" s="140" t="str">
        <f t="shared" si="16"/>
        <v>55711040C</v>
      </c>
      <c r="J1007" s="3"/>
      <c r="K1007" s="3"/>
      <c r="L1007" s="140" t="s">
        <v>1826</v>
      </c>
      <c r="M1007" s="141">
        <v>1.0</v>
      </c>
      <c r="N1007" s="3"/>
      <c r="O1007" s="93"/>
      <c r="P1007" s="3"/>
      <c r="Q1007" s="3" t="s">
        <v>1674</v>
      </c>
      <c r="R1007" s="3"/>
      <c r="S1007" s="3" t="s">
        <v>1822</v>
      </c>
      <c r="T1007" s="3"/>
      <c r="U1007" s="1">
        <v>1.0</v>
      </c>
      <c r="V1007" s="3"/>
      <c r="W1007" s="1" t="s">
        <v>78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97"/>
      <c r="BO1007" s="3"/>
      <c r="BP1007" s="3"/>
      <c r="BQ1007" s="10"/>
    </row>
    <row r="1008">
      <c r="A1008" s="147">
        <v>4.0</v>
      </c>
      <c r="B1008" s="2" t="s">
        <v>1672</v>
      </c>
      <c r="C1008" s="2" t="s">
        <v>91</v>
      </c>
      <c r="D1008" s="93"/>
      <c r="E1008" s="93"/>
      <c r="F1008" s="93"/>
      <c r="G1008" s="93"/>
      <c r="H1008" s="93"/>
      <c r="I1008" s="140" t="str">
        <f t="shared" si="16"/>
        <v>5571105</v>
      </c>
      <c r="J1008" s="3"/>
      <c r="K1008" s="3"/>
      <c r="L1008" s="140" t="s">
        <v>1827</v>
      </c>
      <c r="M1008" s="141">
        <v>1.0</v>
      </c>
      <c r="N1008" s="3"/>
      <c r="O1008" s="93"/>
      <c r="P1008" s="3"/>
      <c r="Q1008" s="3" t="s">
        <v>1674</v>
      </c>
      <c r="R1008" s="3"/>
      <c r="S1008" s="3" t="s">
        <v>1828</v>
      </c>
      <c r="T1008" s="3"/>
      <c r="U1008" s="1">
        <v>1.0</v>
      </c>
      <c r="V1008" s="3"/>
      <c r="W1008" s="1" t="s">
        <v>78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97"/>
      <c r="BO1008" s="3"/>
      <c r="BP1008" s="3"/>
      <c r="BQ1008" s="10"/>
    </row>
    <row r="1009">
      <c r="A1009" s="147">
        <v>4.0</v>
      </c>
      <c r="B1009" s="2" t="s">
        <v>1672</v>
      </c>
      <c r="C1009" s="2" t="s">
        <v>133</v>
      </c>
      <c r="D1009" s="93"/>
      <c r="E1009" s="93"/>
      <c r="F1009" s="93"/>
      <c r="G1009" s="93"/>
      <c r="H1009" s="93"/>
      <c r="I1009" s="140" t="str">
        <f t="shared" si="16"/>
        <v>5571106</v>
      </c>
      <c r="J1009" s="3"/>
      <c r="K1009" s="3"/>
      <c r="L1009" s="140" t="s">
        <v>1829</v>
      </c>
      <c r="M1009" s="141">
        <v>2.0</v>
      </c>
      <c r="N1009" s="3"/>
      <c r="O1009" s="93"/>
      <c r="P1009" s="3"/>
      <c r="Q1009" s="3" t="s">
        <v>1674</v>
      </c>
      <c r="R1009" s="3"/>
      <c r="S1009" s="3"/>
      <c r="T1009" s="3"/>
      <c r="U1009" s="1">
        <v>1.0</v>
      </c>
      <c r="V1009" s="3"/>
      <c r="W1009" s="1" t="s">
        <v>304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97"/>
      <c r="BO1009" s="3"/>
      <c r="BP1009" s="3"/>
      <c r="BQ1009" s="10"/>
    </row>
    <row r="1010">
      <c r="A1010" s="147">
        <v>5.0</v>
      </c>
      <c r="B1010" s="2" t="s">
        <v>1672</v>
      </c>
      <c r="C1010" s="2" t="s">
        <v>133</v>
      </c>
      <c r="D1010" s="149" t="s">
        <v>76</v>
      </c>
      <c r="E1010" s="93"/>
      <c r="F1010" s="93"/>
      <c r="G1010" s="93"/>
      <c r="H1010" s="93"/>
      <c r="I1010" s="140" t="str">
        <f t="shared" si="16"/>
        <v>557110601</v>
      </c>
      <c r="J1010" s="3"/>
      <c r="K1010" s="3"/>
      <c r="L1010" s="140" t="s">
        <v>1830</v>
      </c>
      <c r="M1010" s="141">
        <v>2.0</v>
      </c>
      <c r="N1010" s="3"/>
      <c r="O1010" s="93"/>
      <c r="P1010" s="3"/>
      <c r="Q1010" s="3" t="s">
        <v>1674</v>
      </c>
      <c r="R1010" s="3"/>
      <c r="S1010" s="3"/>
      <c r="T1010" s="3"/>
      <c r="U1010" s="1">
        <v>2.0</v>
      </c>
      <c r="V1010" s="3"/>
      <c r="W1010" s="1" t="s">
        <v>160</v>
      </c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97"/>
      <c r="BO1010" s="3"/>
      <c r="BP1010" s="3"/>
      <c r="BQ1010" s="10"/>
    </row>
    <row r="1011">
      <c r="A1011" s="147">
        <v>5.0</v>
      </c>
      <c r="B1011" s="2" t="s">
        <v>1672</v>
      </c>
      <c r="C1011" s="2" t="s">
        <v>133</v>
      </c>
      <c r="D1011" s="149" t="s">
        <v>119</v>
      </c>
      <c r="E1011" s="93"/>
      <c r="F1011" s="93"/>
      <c r="G1011" s="93"/>
      <c r="H1011" s="93"/>
      <c r="I1011" s="140" t="str">
        <f t="shared" si="16"/>
        <v>557110602</v>
      </c>
      <c r="J1011" s="3"/>
      <c r="K1011" s="3"/>
      <c r="L1011" s="140" t="s">
        <v>1831</v>
      </c>
      <c r="M1011" s="141">
        <v>2.0</v>
      </c>
      <c r="N1011" s="3"/>
      <c r="O1011" s="93"/>
      <c r="P1011" s="3"/>
      <c r="Q1011" s="3" t="s">
        <v>1674</v>
      </c>
      <c r="R1011" s="3"/>
      <c r="S1011" s="3"/>
      <c r="T1011" s="3"/>
      <c r="U1011" s="1">
        <v>2.0</v>
      </c>
      <c r="V1011" s="3"/>
      <c r="W1011" s="1" t="s">
        <v>160</v>
      </c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97"/>
      <c r="BO1011" s="3"/>
      <c r="BP1011" s="3"/>
      <c r="BQ1011" s="10"/>
    </row>
    <row r="1012">
      <c r="A1012" s="147">
        <v>5.0</v>
      </c>
      <c r="B1012" s="2" t="s">
        <v>1672</v>
      </c>
      <c r="C1012" s="2" t="s">
        <v>133</v>
      </c>
      <c r="D1012" s="149" t="s">
        <v>124</v>
      </c>
      <c r="E1012" s="93"/>
      <c r="F1012" s="93"/>
      <c r="G1012" s="93"/>
      <c r="H1012" s="93"/>
      <c r="I1012" s="140" t="str">
        <f t="shared" si="16"/>
        <v>557110603</v>
      </c>
      <c r="J1012" s="3"/>
      <c r="K1012" s="3"/>
      <c r="L1012" s="140" t="s">
        <v>1832</v>
      </c>
      <c r="M1012" s="141">
        <v>2.0</v>
      </c>
      <c r="N1012" s="3"/>
      <c r="O1012" s="93"/>
      <c r="P1012" s="3"/>
      <c r="Q1012" s="3" t="s">
        <v>1674</v>
      </c>
      <c r="R1012" s="3"/>
      <c r="S1012" s="3"/>
      <c r="T1012" s="3"/>
      <c r="U1012" s="1">
        <v>1.0</v>
      </c>
      <c r="V1012" s="3"/>
      <c r="W1012" s="1" t="s">
        <v>160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97"/>
      <c r="BO1012" s="3"/>
      <c r="BP1012" s="3"/>
      <c r="BQ1012" s="10"/>
    </row>
    <row r="1013">
      <c r="A1013" s="147">
        <v>5.0</v>
      </c>
      <c r="B1013" s="2" t="s">
        <v>1672</v>
      </c>
      <c r="C1013" s="2" t="s">
        <v>133</v>
      </c>
      <c r="D1013" s="149" t="s">
        <v>127</v>
      </c>
      <c r="E1013" s="93"/>
      <c r="F1013" s="93"/>
      <c r="G1013" s="93"/>
      <c r="H1013" s="93"/>
      <c r="I1013" s="140" t="str">
        <f t="shared" si="16"/>
        <v>557110604</v>
      </c>
      <c r="J1013" s="3"/>
      <c r="K1013" s="3"/>
      <c r="L1013" s="140" t="s">
        <v>1833</v>
      </c>
      <c r="M1013" s="141">
        <v>2.0</v>
      </c>
      <c r="N1013" s="3"/>
      <c r="O1013" s="93"/>
      <c r="P1013" s="3"/>
      <c r="Q1013" s="3" t="s">
        <v>1674</v>
      </c>
      <c r="R1013" s="3"/>
      <c r="S1013" s="3"/>
      <c r="T1013" s="3"/>
      <c r="U1013" s="1">
        <v>1.0</v>
      </c>
      <c r="V1013" s="3"/>
      <c r="W1013" s="1" t="s">
        <v>160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97"/>
      <c r="BO1013" s="3"/>
      <c r="BP1013" s="3"/>
      <c r="BQ1013" s="10"/>
    </row>
    <row r="1014">
      <c r="A1014" s="147">
        <v>4.0</v>
      </c>
      <c r="B1014" s="2" t="s">
        <v>1672</v>
      </c>
      <c r="C1014" s="2" t="s">
        <v>136</v>
      </c>
      <c r="D1014" s="93"/>
      <c r="E1014" s="93"/>
      <c r="F1014" s="93"/>
      <c r="G1014" s="93"/>
      <c r="H1014" s="93"/>
      <c r="I1014" s="140" t="str">
        <f t="shared" si="16"/>
        <v>5571107</v>
      </c>
      <c r="J1014" s="3"/>
      <c r="K1014" s="3"/>
      <c r="L1014" s="140" t="s">
        <v>1834</v>
      </c>
      <c r="M1014" s="141">
        <v>2.0</v>
      </c>
      <c r="N1014" s="3"/>
      <c r="O1014" s="93"/>
      <c r="P1014" s="3"/>
      <c r="Q1014" s="3" t="s">
        <v>1674</v>
      </c>
      <c r="R1014" s="3"/>
      <c r="S1014" s="3" t="s">
        <v>1835</v>
      </c>
      <c r="T1014" s="3"/>
      <c r="U1014" s="1">
        <v>1.0</v>
      </c>
      <c r="V1014" s="3"/>
      <c r="W1014" s="1" t="s">
        <v>304</v>
      </c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97"/>
      <c r="BO1014" s="3"/>
      <c r="BP1014" s="3"/>
      <c r="BQ1014" s="10"/>
    </row>
    <row r="1015">
      <c r="A1015" s="147">
        <v>5.0</v>
      </c>
      <c r="B1015" s="2" t="s">
        <v>1672</v>
      </c>
      <c r="C1015" s="2" t="s">
        <v>136</v>
      </c>
      <c r="D1015" s="149" t="s">
        <v>76</v>
      </c>
      <c r="E1015" s="93"/>
      <c r="F1015" s="93"/>
      <c r="G1015" s="93"/>
      <c r="H1015" s="93"/>
      <c r="I1015" s="140" t="str">
        <f t="shared" si="16"/>
        <v>557110701</v>
      </c>
      <c r="J1015" s="3"/>
      <c r="K1015" s="3"/>
      <c r="L1015" s="140" t="s">
        <v>1836</v>
      </c>
      <c r="M1015" s="141">
        <v>1.0</v>
      </c>
      <c r="N1015" s="3"/>
      <c r="O1015" s="93"/>
      <c r="P1015" s="3"/>
      <c r="Q1015" s="3" t="s">
        <v>1674</v>
      </c>
      <c r="R1015" s="3"/>
      <c r="S1015" s="3"/>
      <c r="T1015" s="3"/>
      <c r="U1015" s="1">
        <v>1.0</v>
      </c>
      <c r="V1015" s="3"/>
      <c r="W1015" s="1" t="s">
        <v>78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97"/>
      <c r="BO1015" s="3"/>
      <c r="BP1015" s="3"/>
      <c r="BQ1015" s="10"/>
    </row>
    <row r="1016">
      <c r="A1016" s="147">
        <v>5.0</v>
      </c>
      <c r="B1016" s="2" t="s">
        <v>1672</v>
      </c>
      <c r="C1016" s="2" t="s">
        <v>136</v>
      </c>
      <c r="D1016" s="149" t="s">
        <v>119</v>
      </c>
      <c r="E1016" s="93"/>
      <c r="F1016" s="93"/>
      <c r="G1016" s="93"/>
      <c r="H1016" s="93"/>
      <c r="I1016" s="140" t="str">
        <f t="shared" si="16"/>
        <v>557110702</v>
      </c>
      <c r="J1016" s="3"/>
      <c r="K1016" s="3"/>
      <c r="L1016" s="140" t="s">
        <v>1837</v>
      </c>
      <c r="M1016" s="141">
        <v>2.0</v>
      </c>
      <c r="N1016" s="3"/>
      <c r="O1016" s="93"/>
      <c r="P1016" s="3"/>
      <c r="Q1016" s="3" t="s">
        <v>1674</v>
      </c>
      <c r="R1016" s="3"/>
      <c r="S1016" s="3"/>
      <c r="T1016" s="3"/>
      <c r="U1016" s="1">
        <v>1.0</v>
      </c>
      <c r="V1016" s="3"/>
      <c r="W1016" s="1" t="s">
        <v>304</v>
      </c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97"/>
      <c r="BO1016" s="3"/>
      <c r="BP1016" s="3"/>
      <c r="BQ1016" s="10"/>
    </row>
    <row r="1017">
      <c r="A1017" s="147">
        <v>5.0</v>
      </c>
      <c r="B1017" s="2" t="s">
        <v>1672</v>
      </c>
      <c r="C1017" s="2" t="s">
        <v>136</v>
      </c>
      <c r="D1017" s="149" t="s">
        <v>124</v>
      </c>
      <c r="E1017" s="93"/>
      <c r="F1017" s="93"/>
      <c r="G1017" s="93"/>
      <c r="H1017" s="93"/>
      <c r="I1017" s="140" t="str">
        <f t="shared" si="16"/>
        <v>557110703</v>
      </c>
      <c r="J1017" s="3"/>
      <c r="K1017" s="3"/>
      <c r="L1017" s="140" t="s">
        <v>1838</v>
      </c>
      <c r="M1017" s="141">
        <v>1.0</v>
      </c>
      <c r="N1017" s="3"/>
      <c r="O1017" s="93"/>
      <c r="P1017" s="3"/>
      <c r="Q1017" s="3" t="s">
        <v>1674</v>
      </c>
      <c r="R1017" s="3"/>
      <c r="S1017" s="3"/>
      <c r="T1017" s="3"/>
      <c r="U1017" s="1">
        <v>1.0</v>
      </c>
      <c r="V1017" s="3"/>
      <c r="W1017" s="1" t="s">
        <v>78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97"/>
      <c r="BO1017" s="3"/>
      <c r="BP1017" s="3"/>
      <c r="BQ1017" s="10"/>
    </row>
    <row r="1018">
      <c r="A1018" s="147">
        <v>5.0</v>
      </c>
      <c r="B1018" s="2" t="s">
        <v>1672</v>
      </c>
      <c r="C1018" s="2" t="s">
        <v>136</v>
      </c>
      <c r="D1018" s="149" t="s">
        <v>127</v>
      </c>
      <c r="E1018" s="93"/>
      <c r="F1018" s="93"/>
      <c r="G1018" s="93"/>
      <c r="H1018" s="93"/>
      <c r="I1018" s="140" t="str">
        <f t="shared" si="16"/>
        <v>557110704</v>
      </c>
      <c r="J1018" s="3"/>
      <c r="K1018" s="3"/>
      <c r="L1018" s="140" t="s">
        <v>1839</v>
      </c>
      <c r="M1018" s="141">
        <v>2.0</v>
      </c>
      <c r="N1018" s="3"/>
      <c r="O1018" s="93"/>
      <c r="P1018" s="3"/>
      <c r="Q1018" s="3" t="s">
        <v>1674</v>
      </c>
      <c r="R1018" s="3"/>
      <c r="S1018" s="3"/>
      <c r="T1018" s="3"/>
      <c r="U1018" s="1">
        <v>1.0</v>
      </c>
      <c r="V1018" s="3"/>
      <c r="W1018" s="1" t="s">
        <v>304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97"/>
      <c r="BO1018" s="3"/>
      <c r="BP1018" s="3"/>
      <c r="BQ1018" s="10"/>
    </row>
    <row r="1019">
      <c r="A1019" s="147">
        <v>6.0</v>
      </c>
      <c r="B1019" s="2" t="s">
        <v>1672</v>
      </c>
      <c r="C1019" s="2" t="s">
        <v>136</v>
      </c>
      <c r="D1019" s="149" t="s">
        <v>127</v>
      </c>
      <c r="E1019" s="149" t="s">
        <v>76</v>
      </c>
      <c r="F1019" s="93"/>
      <c r="G1019" s="93"/>
      <c r="H1019" s="93"/>
      <c r="I1019" s="140" t="str">
        <f t="shared" si="16"/>
        <v>55711070401</v>
      </c>
      <c r="J1019" s="3"/>
      <c r="K1019" s="3"/>
      <c r="L1019" s="140" t="s">
        <v>1840</v>
      </c>
      <c r="M1019" s="141">
        <v>2.0</v>
      </c>
      <c r="N1019" s="3"/>
      <c r="O1019" s="93"/>
      <c r="P1019" s="3"/>
      <c r="Q1019" s="3" t="s">
        <v>1674</v>
      </c>
      <c r="R1019" s="3"/>
      <c r="S1019" s="3"/>
      <c r="T1019" s="3"/>
      <c r="U1019" s="1">
        <v>1.0</v>
      </c>
      <c r="V1019" s="3"/>
      <c r="W1019" s="1" t="s">
        <v>160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97"/>
      <c r="BO1019" s="3"/>
      <c r="BP1019" s="3"/>
      <c r="BQ1019" s="10"/>
    </row>
    <row r="1020">
      <c r="A1020" s="147">
        <v>6.0</v>
      </c>
      <c r="B1020" s="2" t="s">
        <v>1672</v>
      </c>
      <c r="C1020" s="2" t="s">
        <v>136</v>
      </c>
      <c r="D1020" s="149" t="s">
        <v>127</v>
      </c>
      <c r="E1020" s="149" t="s">
        <v>119</v>
      </c>
      <c r="F1020" s="93"/>
      <c r="G1020" s="93"/>
      <c r="H1020" s="93"/>
      <c r="I1020" s="140" t="str">
        <f t="shared" si="16"/>
        <v>55711070402</v>
      </c>
      <c r="J1020" s="3"/>
      <c r="K1020" s="3"/>
      <c r="L1020" s="140" t="s">
        <v>1841</v>
      </c>
      <c r="M1020" s="141">
        <v>2.0</v>
      </c>
      <c r="N1020" s="3"/>
      <c r="O1020" s="93"/>
      <c r="P1020" s="3"/>
      <c r="Q1020" s="3" t="s">
        <v>1674</v>
      </c>
      <c r="R1020" s="3"/>
      <c r="S1020" s="3"/>
      <c r="T1020" s="3"/>
      <c r="U1020" s="1">
        <v>4.0</v>
      </c>
      <c r="V1020" s="3"/>
      <c r="W1020" s="1" t="s">
        <v>160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97"/>
      <c r="BO1020" s="3"/>
      <c r="BP1020" s="3"/>
      <c r="BQ1020" s="10"/>
    </row>
    <row r="1021">
      <c r="A1021" s="147">
        <v>4.0</v>
      </c>
      <c r="B1021" s="2" t="s">
        <v>1672</v>
      </c>
      <c r="C1021" s="2" t="s">
        <v>138</v>
      </c>
      <c r="D1021" s="93"/>
      <c r="E1021" s="93"/>
      <c r="F1021" s="93"/>
      <c r="G1021" s="93"/>
      <c r="H1021" s="93"/>
      <c r="I1021" s="140" t="str">
        <f t="shared" si="16"/>
        <v>5571108</v>
      </c>
      <c r="J1021" s="3"/>
      <c r="K1021" s="3"/>
      <c r="L1021" s="140" t="s">
        <v>1842</v>
      </c>
      <c r="M1021" s="141">
        <v>2.0</v>
      </c>
      <c r="N1021" s="3"/>
      <c r="O1021" s="93"/>
      <c r="P1021" s="3"/>
      <c r="Q1021" s="3" t="s">
        <v>1674</v>
      </c>
      <c r="R1021" s="3"/>
      <c r="S1021" s="3" t="s">
        <v>1835</v>
      </c>
      <c r="T1021" s="3"/>
      <c r="U1021" s="1">
        <v>1.0</v>
      </c>
      <c r="V1021" s="3"/>
      <c r="W1021" s="1" t="s">
        <v>304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97"/>
      <c r="BO1021" s="3"/>
      <c r="BP1021" s="3"/>
      <c r="BQ1021" s="10"/>
    </row>
    <row r="1022">
      <c r="A1022" s="147">
        <v>5.0</v>
      </c>
      <c r="B1022" s="2" t="s">
        <v>1672</v>
      </c>
      <c r="C1022" s="2" t="s">
        <v>138</v>
      </c>
      <c r="D1022" s="149" t="s">
        <v>76</v>
      </c>
      <c r="E1022" s="93"/>
      <c r="F1022" s="93"/>
      <c r="G1022" s="93"/>
      <c r="H1022" s="93"/>
      <c r="I1022" s="140" t="str">
        <f t="shared" si="16"/>
        <v>557110801</v>
      </c>
      <c r="J1022" s="3"/>
      <c r="K1022" s="3"/>
      <c r="L1022" s="140" t="s">
        <v>1843</v>
      </c>
      <c r="M1022" s="141">
        <v>1.0</v>
      </c>
      <c r="N1022" s="3"/>
      <c r="O1022" s="93"/>
      <c r="P1022" s="3"/>
      <c r="Q1022" s="3" t="s">
        <v>1674</v>
      </c>
      <c r="R1022" s="3"/>
      <c r="S1022" s="3"/>
      <c r="T1022" s="3"/>
      <c r="U1022" s="1">
        <v>1.0</v>
      </c>
      <c r="V1022" s="3"/>
      <c r="W1022" s="1" t="s">
        <v>78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97"/>
      <c r="BO1022" s="3"/>
      <c r="BP1022" s="3"/>
      <c r="BQ1022" s="10"/>
    </row>
    <row r="1023">
      <c r="A1023" s="147">
        <v>5.0</v>
      </c>
      <c r="B1023" s="2" t="s">
        <v>1672</v>
      </c>
      <c r="C1023" s="2" t="s">
        <v>138</v>
      </c>
      <c r="D1023" s="149" t="s">
        <v>119</v>
      </c>
      <c r="E1023" s="93"/>
      <c r="F1023" s="93"/>
      <c r="G1023" s="93"/>
      <c r="H1023" s="93"/>
      <c r="I1023" s="140" t="str">
        <f t="shared" si="16"/>
        <v>557110802</v>
      </c>
      <c r="J1023" s="3"/>
      <c r="K1023" s="3"/>
      <c r="L1023" s="140" t="s">
        <v>1844</v>
      </c>
      <c r="M1023" s="141">
        <v>1.0</v>
      </c>
      <c r="N1023" s="3"/>
      <c r="O1023" s="93"/>
      <c r="P1023" s="3"/>
      <c r="Q1023" s="3" t="s">
        <v>1674</v>
      </c>
      <c r="R1023" s="3"/>
      <c r="S1023" s="3"/>
      <c r="T1023" s="3"/>
      <c r="U1023" s="1">
        <v>1.0</v>
      </c>
      <c r="V1023" s="3"/>
      <c r="W1023" s="1" t="s">
        <v>78</v>
      </c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97"/>
      <c r="BO1023" s="3"/>
      <c r="BP1023" s="3"/>
      <c r="BQ1023" s="10"/>
    </row>
    <row r="1024">
      <c r="A1024" s="147">
        <v>5.0</v>
      </c>
      <c r="B1024" s="2" t="s">
        <v>1672</v>
      </c>
      <c r="C1024" s="2" t="s">
        <v>138</v>
      </c>
      <c r="D1024" s="149" t="s">
        <v>124</v>
      </c>
      <c r="E1024" s="93"/>
      <c r="F1024" s="93"/>
      <c r="G1024" s="93"/>
      <c r="H1024" s="93"/>
      <c r="I1024" s="140" t="str">
        <f t="shared" si="16"/>
        <v>557110803</v>
      </c>
      <c r="J1024" s="3"/>
      <c r="K1024" s="3"/>
      <c r="L1024" s="140" t="s">
        <v>1845</v>
      </c>
      <c r="M1024" s="141">
        <v>1.0</v>
      </c>
      <c r="N1024" s="3"/>
      <c r="O1024" s="93"/>
      <c r="P1024" s="3"/>
      <c r="Q1024" s="3" t="s">
        <v>1674</v>
      </c>
      <c r="R1024" s="3"/>
      <c r="S1024" s="3"/>
      <c r="T1024" s="3"/>
      <c r="U1024" s="1">
        <v>1.0</v>
      </c>
      <c r="V1024" s="3"/>
      <c r="W1024" s="1" t="s">
        <v>78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97"/>
      <c r="BO1024" s="3"/>
      <c r="BP1024" s="3"/>
      <c r="BQ1024" s="10"/>
    </row>
    <row r="1025">
      <c r="A1025" s="20">
        <v>1.0</v>
      </c>
      <c r="B1025" s="21" t="s">
        <v>1846</v>
      </c>
      <c r="C1025" s="22"/>
      <c r="D1025" s="22"/>
      <c r="E1025" s="22"/>
      <c r="F1025" s="22"/>
      <c r="G1025" s="22"/>
      <c r="H1025" s="22"/>
      <c r="I1025" s="23" t="str">
        <f t="shared" si="16"/>
        <v>56000</v>
      </c>
      <c r="J1025" s="24"/>
      <c r="K1025" s="24"/>
      <c r="L1025" s="23" t="s">
        <v>1847</v>
      </c>
      <c r="M1025" s="25">
        <v>1.0</v>
      </c>
      <c r="N1025" s="24"/>
      <c r="O1025" s="22"/>
      <c r="P1025" s="24"/>
      <c r="Q1025" s="24"/>
      <c r="R1025" s="24"/>
      <c r="S1025" s="24"/>
      <c r="T1025" s="24"/>
      <c r="U1025" s="26">
        <v>1.0</v>
      </c>
      <c r="V1025" s="24"/>
      <c r="W1025" s="26" t="s">
        <v>70</v>
      </c>
      <c r="X1025" s="24"/>
      <c r="Y1025" s="24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M1025" s="24"/>
      <c r="BN1025" s="27"/>
      <c r="BO1025" s="24"/>
      <c r="BP1025" s="24"/>
      <c r="BQ1025" s="10"/>
    </row>
    <row r="1026">
      <c r="A1026" s="28">
        <v>1.0</v>
      </c>
      <c r="B1026" s="29" t="s">
        <v>1848</v>
      </c>
      <c r="C1026" s="30"/>
      <c r="D1026" s="30"/>
      <c r="E1026" s="30"/>
      <c r="F1026" s="30"/>
      <c r="G1026" s="30"/>
      <c r="H1026" s="30"/>
      <c r="I1026" s="31" t="str">
        <f t="shared" si="16"/>
        <v>56100</v>
      </c>
      <c r="J1026" s="32"/>
      <c r="K1026" s="32"/>
      <c r="L1026" s="31" t="s">
        <v>1849</v>
      </c>
      <c r="M1026" s="33">
        <v>1.0</v>
      </c>
      <c r="N1026" s="32"/>
      <c r="O1026" s="30"/>
      <c r="P1026" s="32"/>
      <c r="Q1026" s="32"/>
      <c r="R1026" s="32"/>
      <c r="S1026" s="32"/>
      <c r="T1026" s="32"/>
      <c r="U1026" s="34">
        <v>1.0</v>
      </c>
      <c r="V1026" s="32"/>
      <c r="W1026" s="34" t="s">
        <v>70</v>
      </c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  <c r="AI1026" s="32"/>
      <c r="AJ1026" s="32"/>
      <c r="AK1026" s="32"/>
      <c r="AL1026" s="32"/>
      <c r="AM1026" s="32"/>
      <c r="AN1026" s="32"/>
      <c r="AO1026" s="32"/>
      <c r="AP1026" s="32"/>
      <c r="AQ1026" s="32"/>
      <c r="AR1026" s="32"/>
      <c r="AS1026" s="32"/>
      <c r="AT1026" s="32"/>
      <c r="AU1026" s="32"/>
      <c r="AV1026" s="32"/>
      <c r="AW1026" s="32"/>
      <c r="AX1026" s="32"/>
      <c r="AY1026" s="32"/>
      <c r="AZ1026" s="32"/>
      <c r="BA1026" s="32"/>
      <c r="BB1026" s="32"/>
      <c r="BC1026" s="32"/>
      <c r="BD1026" s="32"/>
      <c r="BE1026" s="32"/>
      <c r="BF1026" s="32"/>
      <c r="BG1026" s="32"/>
      <c r="BH1026" s="32"/>
      <c r="BI1026" s="32"/>
      <c r="BJ1026" s="32"/>
      <c r="BK1026" s="32"/>
      <c r="BL1026" s="32"/>
      <c r="BM1026" s="32"/>
      <c r="BN1026" s="35"/>
      <c r="BO1026" s="32"/>
      <c r="BP1026" s="32"/>
      <c r="BQ1026" s="10"/>
    </row>
    <row r="1027">
      <c r="A1027" s="36">
        <v>2.0</v>
      </c>
      <c r="B1027" s="37" t="s">
        <v>1850</v>
      </c>
      <c r="C1027" s="38"/>
      <c r="D1027" s="38"/>
      <c r="E1027" s="38"/>
      <c r="F1027" s="38"/>
      <c r="G1027" s="38"/>
      <c r="H1027" s="38"/>
      <c r="I1027" s="39" t="str">
        <f t="shared" si="16"/>
        <v>56110</v>
      </c>
      <c r="J1027" s="40"/>
      <c r="K1027" s="40"/>
      <c r="L1027" s="39" t="s">
        <v>1851</v>
      </c>
      <c r="M1027" s="41">
        <v>1.0</v>
      </c>
      <c r="N1027" s="42"/>
      <c r="O1027" s="38"/>
      <c r="P1027" s="42"/>
      <c r="Q1027" s="42"/>
      <c r="R1027" s="42"/>
      <c r="S1027" s="42"/>
      <c r="T1027" s="40"/>
      <c r="U1027" s="43">
        <v>1.0</v>
      </c>
      <c r="V1027" s="40"/>
      <c r="W1027" s="43" t="s">
        <v>70</v>
      </c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2"/>
      <c r="AQ1027" s="42"/>
      <c r="AR1027" s="42"/>
      <c r="AS1027" s="42"/>
      <c r="AT1027" s="42"/>
      <c r="AU1027" s="42"/>
      <c r="AV1027" s="40"/>
      <c r="AW1027" s="40"/>
      <c r="AX1027" s="40"/>
      <c r="AY1027" s="40"/>
      <c r="AZ1027" s="40"/>
      <c r="BA1027" s="40"/>
      <c r="BB1027" s="40"/>
      <c r="BC1027" s="40"/>
      <c r="BD1027" s="40"/>
      <c r="BE1027" s="40"/>
      <c r="BF1027" s="40"/>
      <c r="BG1027" s="40"/>
      <c r="BH1027" s="42"/>
      <c r="BI1027" s="42"/>
      <c r="BJ1027" s="42"/>
      <c r="BK1027" s="42"/>
      <c r="BL1027" s="42"/>
      <c r="BM1027" s="40"/>
      <c r="BN1027" s="44"/>
      <c r="BO1027" s="40"/>
      <c r="BP1027" s="42"/>
      <c r="BQ1027" s="10"/>
    </row>
    <row r="1028">
      <c r="A1028" s="45">
        <v>3.0</v>
      </c>
      <c r="B1028" s="46" t="s">
        <v>1852</v>
      </c>
      <c r="C1028" s="47"/>
      <c r="D1028" s="47"/>
      <c r="E1028" s="47"/>
      <c r="F1028" s="47"/>
      <c r="G1028" s="47"/>
      <c r="H1028" s="47"/>
      <c r="I1028" s="48" t="str">
        <f t="shared" si="16"/>
        <v>56111</v>
      </c>
      <c r="J1028" s="49"/>
      <c r="K1028" s="49"/>
      <c r="L1028" s="48" t="s">
        <v>1853</v>
      </c>
      <c r="M1028" s="50">
        <v>1.0</v>
      </c>
      <c r="N1028" s="51"/>
      <c r="O1028" s="47"/>
      <c r="P1028" s="51"/>
      <c r="Q1028" s="51"/>
      <c r="R1028" s="51"/>
      <c r="S1028" s="51"/>
      <c r="T1028" s="49"/>
      <c r="U1028" s="52">
        <v>1.0</v>
      </c>
      <c r="V1028" s="49"/>
      <c r="W1028" s="52" t="s">
        <v>70</v>
      </c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  <c r="AI1028" s="49"/>
      <c r="AJ1028" s="49"/>
      <c r="AK1028" s="49"/>
      <c r="AL1028" s="49"/>
      <c r="AM1028" s="49"/>
      <c r="AN1028" s="49"/>
      <c r="AO1028" s="49"/>
      <c r="AP1028" s="51"/>
      <c r="AQ1028" s="51"/>
      <c r="AR1028" s="51"/>
      <c r="AS1028" s="51"/>
      <c r="AT1028" s="51"/>
      <c r="AU1028" s="51"/>
      <c r="AV1028" s="49"/>
      <c r="AW1028" s="49"/>
      <c r="AX1028" s="49"/>
      <c r="AY1028" s="49"/>
      <c r="AZ1028" s="49"/>
      <c r="BA1028" s="49"/>
      <c r="BB1028" s="49"/>
      <c r="BC1028" s="49"/>
      <c r="BD1028" s="49"/>
      <c r="BE1028" s="49"/>
      <c r="BF1028" s="49"/>
      <c r="BG1028" s="49"/>
      <c r="BH1028" s="51"/>
      <c r="BI1028" s="51"/>
      <c r="BJ1028" s="51"/>
      <c r="BK1028" s="51"/>
      <c r="BL1028" s="51"/>
      <c r="BM1028" s="49"/>
      <c r="BN1028" s="53"/>
      <c r="BO1028" s="49"/>
      <c r="BP1028" s="51"/>
      <c r="BQ1028" s="10"/>
    </row>
    <row r="1029">
      <c r="A1029" s="54">
        <v>4.0</v>
      </c>
      <c r="B1029" s="71" t="s">
        <v>1852</v>
      </c>
      <c r="C1029" s="55" t="s">
        <v>76</v>
      </c>
      <c r="D1029" s="56"/>
      <c r="E1029" s="56"/>
      <c r="F1029" s="56"/>
      <c r="G1029" s="56"/>
      <c r="H1029" s="56"/>
      <c r="I1029" s="57" t="str">
        <f t="shared" si="16"/>
        <v>5611101</v>
      </c>
      <c r="J1029" s="58"/>
      <c r="K1029" s="58"/>
      <c r="L1029" s="57" t="s">
        <v>1854</v>
      </c>
      <c r="M1029" s="133">
        <v>1.0</v>
      </c>
      <c r="N1029" s="70" t="s">
        <v>1855</v>
      </c>
      <c r="O1029" s="56"/>
      <c r="P1029" s="70" t="s">
        <v>1856</v>
      </c>
      <c r="Q1029" s="58"/>
      <c r="R1029" s="58"/>
      <c r="S1029" s="58"/>
      <c r="T1029" s="58"/>
      <c r="U1029" s="70">
        <v>1.0</v>
      </c>
      <c r="V1029" s="58"/>
      <c r="W1029" s="70" t="s">
        <v>304</v>
      </c>
      <c r="X1029" s="58"/>
      <c r="Y1029" s="58"/>
      <c r="Z1029" s="58"/>
      <c r="AA1029" s="62" t="s">
        <v>79</v>
      </c>
      <c r="AB1029" s="62" t="s">
        <v>79</v>
      </c>
      <c r="AC1029" s="58"/>
      <c r="AD1029" s="58"/>
      <c r="AE1029" s="58"/>
      <c r="AF1029" s="58"/>
      <c r="AG1029" s="58"/>
      <c r="AH1029" s="58"/>
      <c r="AI1029" s="58"/>
      <c r="AJ1029" s="58"/>
      <c r="AK1029" s="58"/>
      <c r="AL1029" s="58"/>
      <c r="AM1029" s="58"/>
      <c r="AN1029" s="58"/>
      <c r="AO1029" s="58"/>
      <c r="AP1029" s="70" t="s">
        <v>80</v>
      </c>
      <c r="AQ1029" s="70">
        <v>1257.0</v>
      </c>
      <c r="AR1029" s="70">
        <v>1193.0</v>
      </c>
      <c r="AS1029" s="70">
        <v>1431.0</v>
      </c>
      <c r="AT1029" s="70">
        <v>765.0</v>
      </c>
      <c r="AU1029" s="70">
        <v>1.305994995</v>
      </c>
      <c r="AV1029" s="58"/>
      <c r="AW1029" s="58"/>
      <c r="AX1029" s="58"/>
      <c r="AY1029" s="58"/>
      <c r="AZ1029" s="58"/>
      <c r="BA1029" s="58"/>
      <c r="BB1029" s="58"/>
      <c r="BC1029" s="58"/>
      <c r="BD1029" s="58"/>
      <c r="BE1029" s="58"/>
      <c r="BF1029" s="58"/>
      <c r="BG1029" s="58"/>
      <c r="BH1029" s="58" t="s">
        <v>1857</v>
      </c>
      <c r="BI1029" s="70">
        <v>308.0</v>
      </c>
      <c r="BJ1029" s="58" t="s">
        <v>1858</v>
      </c>
      <c r="BK1029" s="70" t="s">
        <v>1858</v>
      </c>
      <c r="BL1029" s="58" t="s">
        <v>1859</v>
      </c>
      <c r="BM1029" s="58"/>
      <c r="BN1029" s="63"/>
      <c r="BO1029" s="58"/>
      <c r="BP1029" s="58"/>
      <c r="BQ1029" s="64"/>
    </row>
    <row r="1030">
      <c r="A1030" s="70">
        <v>5.0</v>
      </c>
      <c r="B1030" s="71" t="s">
        <v>1852</v>
      </c>
      <c r="C1030" s="71" t="s">
        <v>76</v>
      </c>
      <c r="D1030" s="71" t="s">
        <v>76</v>
      </c>
      <c r="E1030" s="56"/>
      <c r="F1030" s="56"/>
      <c r="G1030" s="56"/>
      <c r="H1030" s="56"/>
      <c r="I1030" s="57" t="str">
        <f t="shared" si="16"/>
        <v>561110101</v>
      </c>
      <c r="J1030" s="58"/>
      <c r="K1030" s="58"/>
      <c r="L1030" s="59" t="s">
        <v>1860</v>
      </c>
      <c r="M1030" s="133">
        <v>1.0</v>
      </c>
      <c r="N1030" s="117" t="s">
        <v>1861</v>
      </c>
      <c r="O1030" s="118" t="s">
        <v>1862</v>
      </c>
      <c r="P1030" s="123" t="s">
        <v>1863</v>
      </c>
      <c r="Q1030" s="58"/>
      <c r="R1030" s="81"/>
      <c r="S1030" s="58"/>
      <c r="T1030" s="58"/>
      <c r="U1030" s="117">
        <v>1.0</v>
      </c>
      <c r="V1030" s="58"/>
      <c r="W1030" s="117" t="s">
        <v>78</v>
      </c>
      <c r="X1030" s="58"/>
      <c r="Y1030" s="58"/>
      <c r="Z1030" s="58"/>
      <c r="AA1030" s="62" t="s">
        <v>79</v>
      </c>
      <c r="AB1030" s="62" t="s">
        <v>79</v>
      </c>
      <c r="AC1030" s="58"/>
      <c r="AD1030" s="58"/>
      <c r="AE1030" s="58"/>
      <c r="AF1030" s="58"/>
      <c r="AG1030" s="58"/>
      <c r="AH1030" s="58"/>
      <c r="AI1030" s="58"/>
      <c r="AJ1030" s="58"/>
      <c r="AK1030" s="58"/>
      <c r="AL1030" s="58"/>
      <c r="AM1030" s="58"/>
      <c r="AN1030" s="58"/>
      <c r="AO1030" s="58"/>
      <c r="AP1030" s="117" t="s">
        <v>1864</v>
      </c>
      <c r="AQ1030" s="58"/>
      <c r="AR1030" s="58"/>
      <c r="AS1030" s="58"/>
      <c r="AT1030" s="58"/>
      <c r="AU1030" s="58"/>
      <c r="AV1030" s="58"/>
      <c r="AW1030" s="58"/>
      <c r="AX1030" s="58"/>
      <c r="AY1030" s="58"/>
      <c r="AZ1030" s="58"/>
      <c r="BA1030" s="58"/>
      <c r="BB1030" s="58"/>
      <c r="BC1030" s="58"/>
      <c r="BD1030" s="58"/>
      <c r="BE1030" s="58"/>
      <c r="BF1030" s="58"/>
      <c r="BG1030" s="70">
        <v>125.0</v>
      </c>
      <c r="BH1030" s="116" t="s">
        <v>1857</v>
      </c>
      <c r="BI1030" s="70">
        <v>308.0</v>
      </c>
      <c r="BJ1030" s="116" t="s">
        <v>1858</v>
      </c>
      <c r="BK1030" s="118" t="s">
        <v>1865</v>
      </c>
      <c r="BL1030" s="58"/>
      <c r="BM1030" s="58"/>
      <c r="BN1030" s="63"/>
      <c r="BO1030" s="58"/>
      <c r="BP1030" s="58"/>
      <c r="BQ1030" s="64"/>
    </row>
    <row r="1031">
      <c r="A1031" s="70">
        <v>5.0</v>
      </c>
      <c r="B1031" s="71" t="s">
        <v>1852</v>
      </c>
      <c r="C1031" s="71" t="s">
        <v>76</v>
      </c>
      <c r="D1031" s="71" t="s">
        <v>119</v>
      </c>
      <c r="E1031" s="79"/>
      <c r="F1031" s="79"/>
      <c r="G1031" s="79"/>
      <c r="H1031" s="79"/>
      <c r="I1031" s="81" t="str">
        <f t="shared" si="16"/>
        <v>561110102</v>
      </c>
      <c r="J1031" s="79"/>
      <c r="K1031" s="79"/>
      <c r="L1031" s="59" t="s">
        <v>1866</v>
      </c>
      <c r="M1031" s="153">
        <v>1.0</v>
      </c>
      <c r="N1031" s="154" t="s">
        <v>1867</v>
      </c>
      <c r="O1031" s="118" t="s">
        <v>1868</v>
      </c>
      <c r="P1031" s="123" t="s">
        <v>1869</v>
      </c>
      <c r="Q1031" s="81"/>
      <c r="R1031" s="81"/>
      <c r="S1031" s="81"/>
      <c r="T1031" s="81"/>
      <c r="U1031" s="123">
        <v>1.0</v>
      </c>
      <c r="V1031" s="81"/>
      <c r="W1031" s="123" t="s">
        <v>78</v>
      </c>
      <c r="X1031" s="81"/>
      <c r="Y1031" s="81"/>
      <c r="Z1031" s="81"/>
      <c r="AA1031" s="134" t="s">
        <v>79</v>
      </c>
      <c r="AB1031" s="134" t="s">
        <v>79</v>
      </c>
      <c r="AC1031" s="81"/>
      <c r="AD1031" s="81"/>
      <c r="AE1031" s="81"/>
      <c r="AF1031" s="81"/>
      <c r="AG1031" s="81"/>
      <c r="AH1031" s="81"/>
      <c r="AI1031" s="81"/>
      <c r="AJ1031" s="81"/>
      <c r="AK1031" s="81"/>
      <c r="AL1031" s="81"/>
      <c r="AM1031" s="81"/>
      <c r="AN1031" s="81"/>
      <c r="AO1031" s="81"/>
      <c r="AP1031" s="123" t="s">
        <v>80</v>
      </c>
      <c r="AQ1031" s="81"/>
      <c r="AR1031" s="81"/>
      <c r="AS1031" s="81"/>
      <c r="AT1031" s="81"/>
      <c r="AU1031" s="81"/>
      <c r="AV1031" s="81"/>
      <c r="AW1031" s="81"/>
      <c r="AX1031" s="81"/>
      <c r="AY1031" s="81"/>
      <c r="AZ1031" s="81"/>
      <c r="BA1031" s="81"/>
      <c r="BB1031" s="81"/>
      <c r="BC1031" s="81"/>
      <c r="BD1031" s="81"/>
      <c r="BE1031" s="81"/>
      <c r="BF1031" s="81"/>
      <c r="BG1031" s="81"/>
      <c r="BH1031" s="116" t="s">
        <v>1857</v>
      </c>
      <c r="BI1031" s="123">
        <v>308.0</v>
      </c>
      <c r="BJ1031" s="116" t="s">
        <v>1858</v>
      </c>
      <c r="BK1031" s="118" t="s">
        <v>1870</v>
      </c>
      <c r="BL1031" s="79"/>
      <c r="BM1031" s="81"/>
      <c r="BN1031" s="81"/>
      <c r="BO1031" s="83"/>
      <c r="BP1031" s="58"/>
      <c r="BQ1031" s="64"/>
    </row>
    <row r="1032">
      <c r="A1032" s="124">
        <v>5.0</v>
      </c>
      <c r="B1032" s="71" t="s">
        <v>1852</v>
      </c>
      <c r="C1032" s="126" t="s">
        <v>76</v>
      </c>
      <c r="D1032" s="126" t="s">
        <v>124</v>
      </c>
      <c r="E1032" s="79"/>
      <c r="F1032" s="79"/>
      <c r="G1032" s="79"/>
      <c r="H1032" s="79"/>
      <c r="I1032" s="81" t="str">
        <f t="shared" si="16"/>
        <v>561110103</v>
      </c>
      <c r="J1032" s="79"/>
      <c r="K1032" s="79"/>
      <c r="L1032" s="59" t="s">
        <v>1871</v>
      </c>
      <c r="M1032" s="153">
        <v>2.0</v>
      </c>
      <c r="N1032" s="154" t="s">
        <v>1872</v>
      </c>
      <c r="O1032" s="56"/>
      <c r="P1032" s="123" t="s">
        <v>1873</v>
      </c>
      <c r="Q1032" s="81"/>
      <c r="R1032" s="81"/>
      <c r="S1032" s="81"/>
      <c r="T1032" s="81"/>
      <c r="U1032" s="123">
        <v>1.0</v>
      </c>
      <c r="V1032" s="81"/>
      <c r="W1032" s="81"/>
      <c r="X1032" s="81"/>
      <c r="Y1032" s="81"/>
      <c r="Z1032" s="81"/>
      <c r="AA1032" s="79"/>
      <c r="AB1032" s="79"/>
      <c r="AC1032" s="81"/>
      <c r="AD1032" s="81"/>
      <c r="AE1032" s="81"/>
      <c r="AF1032" s="81"/>
      <c r="AG1032" s="81"/>
      <c r="AH1032" s="81"/>
      <c r="AI1032" s="81"/>
      <c r="AJ1032" s="81"/>
      <c r="AK1032" s="81"/>
      <c r="AL1032" s="81"/>
      <c r="AM1032" s="81"/>
      <c r="AN1032" s="81"/>
      <c r="AO1032" s="81"/>
      <c r="AP1032" s="81"/>
      <c r="AQ1032" s="81"/>
      <c r="AR1032" s="81"/>
      <c r="AS1032" s="81"/>
      <c r="AT1032" s="81"/>
      <c r="AU1032" s="81"/>
      <c r="AV1032" s="81"/>
      <c r="AW1032" s="81"/>
      <c r="AX1032" s="81"/>
      <c r="AY1032" s="81"/>
      <c r="AZ1032" s="81"/>
      <c r="BA1032" s="81"/>
      <c r="BB1032" s="81"/>
      <c r="BC1032" s="81"/>
      <c r="BD1032" s="81"/>
      <c r="BE1032" s="81"/>
      <c r="BF1032" s="81"/>
      <c r="BG1032" s="81"/>
      <c r="BH1032" s="116" t="s">
        <v>1857</v>
      </c>
      <c r="BI1032" s="123">
        <v>308.0</v>
      </c>
      <c r="BJ1032" s="116" t="s">
        <v>1858</v>
      </c>
      <c r="BK1032" s="118" t="s">
        <v>1874</v>
      </c>
      <c r="BL1032" s="79"/>
      <c r="BM1032" s="81"/>
      <c r="BN1032" s="81"/>
      <c r="BO1032" s="83"/>
      <c r="BP1032" s="58"/>
      <c r="BQ1032" s="64"/>
    </row>
    <row r="1033">
      <c r="A1033" s="70">
        <v>5.0</v>
      </c>
      <c r="B1033" s="71" t="s">
        <v>1852</v>
      </c>
      <c r="C1033" s="71" t="s">
        <v>76</v>
      </c>
      <c r="D1033" s="71" t="s">
        <v>127</v>
      </c>
      <c r="E1033" s="79"/>
      <c r="F1033" s="79"/>
      <c r="G1033" s="79"/>
      <c r="H1033" s="79"/>
      <c r="I1033" s="81" t="str">
        <f t="shared" si="16"/>
        <v>561110104</v>
      </c>
      <c r="J1033" s="79"/>
      <c r="K1033" s="79"/>
      <c r="L1033" s="59" t="s">
        <v>1866</v>
      </c>
      <c r="M1033" s="153">
        <v>1.0</v>
      </c>
      <c r="N1033" s="154" t="s">
        <v>1867</v>
      </c>
      <c r="O1033" s="118" t="s">
        <v>1875</v>
      </c>
      <c r="P1033" s="123" t="s">
        <v>1869</v>
      </c>
      <c r="Q1033" s="81"/>
      <c r="R1033" s="81"/>
      <c r="S1033" s="81"/>
      <c r="T1033" s="81"/>
      <c r="U1033" s="123">
        <v>1.0</v>
      </c>
      <c r="V1033" s="81"/>
      <c r="W1033" s="123" t="s">
        <v>78</v>
      </c>
      <c r="X1033" s="81"/>
      <c r="Y1033" s="81"/>
      <c r="Z1033" s="81"/>
      <c r="AA1033" s="134" t="s">
        <v>79</v>
      </c>
      <c r="AB1033" s="79"/>
      <c r="AC1033" s="81"/>
      <c r="AD1033" s="81"/>
      <c r="AE1033" s="81"/>
      <c r="AF1033" s="81"/>
      <c r="AG1033" s="81"/>
      <c r="AH1033" s="81"/>
      <c r="AI1033" s="81"/>
      <c r="AJ1033" s="81"/>
      <c r="AK1033" s="81"/>
      <c r="AL1033" s="81"/>
      <c r="AM1033" s="81"/>
      <c r="AN1033" s="81"/>
      <c r="AO1033" s="81"/>
      <c r="AP1033" s="123" t="s">
        <v>80</v>
      </c>
      <c r="AQ1033" s="81"/>
      <c r="AR1033" s="81"/>
      <c r="AS1033" s="81"/>
      <c r="AT1033" s="81"/>
      <c r="AU1033" s="81"/>
      <c r="AV1033" s="81"/>
      <c r="AW1033" s="81"/>
      <c r="AX1033" s="81"/>
      <c r="AY1033" s="81"/>
      <c r="AZ1033" s="81"/>
      <c r="BA1033" s="81"/>
      <c r="BB1033" s="81"/>
      <c r="BC1033" s="81"/>
      <c r="BD1033" s="81"/>
      <c r="BE1033" s="81"/>
      <c r="BF1033" s="81"/>
      <c r="BG1033" s="81"/>
      <c r="BH1033" s="116" t="s">
        <v>1857</v>
      </c>
      <c r="BI1033" s="123">
        <v>308.0</v>
      </c>
      <c r="BJ1033" s="116" t="s">
        <v>1858</v>
      </c>
      <c r="BK1033" s="118" t="s">
        <v>1870</v>
      </c>
      <c r="BL1033" s="79"/>
      <c r="BM1033" s="81"/>
      <c r="BN1033" s="81"/>
      <c r="BO1033" s="83"/>
      <c r="BP1033" s="58"/>
      <c r="BQ1033" s="64"/>
    </row>
    <row r="1034">
      <c r="A1034" s="124">
        <v>5.0</v>
      </c>
      <c r="B1034" s="71" t="s">
        <v>1852</v>
      </c>
      <c r="C1034" s="126" t="s">
        <v>76</v>
      </c>
      <c r="D1034" s="126" t="s">
        <v>91</v>
      </c>
      <c r="E1034" s="79"/>
      <c r="F1034" s="79"/>
      <c r="G1034" s="79"/>
      <c r="H1034" s="79"/>
      <c r="I1034" s="81" t="str">
        <f t="shared" si="16"/>
        <v>561110105</v>
      </c>
      <c r="J1034" s="79"/>
      <c r="K1034" s="79"/>
      <c r="L1034" s="59" t="s">
        <v>1871</v>
      </c>
      <c r="M1034" s="153">
        <v>2.0</v>
      </c>
      <c r="N1034" s="154" t="s">
        <v>1872</v>
      </c>
      <c r="O1034" s="56"/>
      <c r="P1034" s="123" t="s">
        <v>1873</v>
      </c>
      <c r="Q1034" s="81"/>
      <c r="R1034" s="81"/>
      <c r="S1034" s="81"/>
      <c r="T1034" s="81"/>
      <c r="U1034" s="123">
        <v>2.0</v>
      </c>
      <c r="V1034" s="81"/>
      <c r="W1034" s="81"/>
      <c r="X1034" s="81"/>
      <c r="Y1034" s="81"/>
      <c r="Z1034" s="81"/>
      <c r="AA1034" s="79"/>
      <c r="AB1034" s="79"/>
      <c r="AC1034" s="81"/>
      <c r="AD1034" s="81"/>
      <c r="AE1034" s="81"/>
      <c r="AF1034" s="81"/>
      <c r="AG1034" s="81"/>
      <c r="AH1034" s="81"/>
      <c r="AI1034" s="81"/>
      <c r="AJ1034" s="81"/>
      <c r="AK1034" s="81"/>
      <c r="AL1034" s="81"/>
      <c r="AM1034" s="81"/>
      <c r="AN1034" s="81"/>
      <c r="AO1034" s="81"/>
      <c r="AP1034" s="81"/>
      <c r="AQ1034" s="81"/>
      <c r="AR1034" s="81"/>
      <c r="AS1034" s="81"/>
      <c r="AT1034" s="81"/>
      <c r="AU1034" s="81"/>
      <c r="AV1034" s="81"/>
      <c r="AW1034" s="81"/>
      <c r="AX1034" s="81"/>
      <c r="AY1034" s="81"/>
      <c r="AZ1034" s="81"/>
      <c r="BA1034" s="81"/>
      <c r="BB1034" s="81"/>
      <c r="BC1034" s="81"/>
      <c r="BD1034" s="81"/>
      <c r="BE1034" s="81"/>
      <c r="BF1034" s="81"/>
      <c r="BG1034" s="81"/>
      <c r="BH1034" s="116" t="s">
        <v>1857</v>
      </c>
      <c r="BI1034" s="123">
        <v>308.0</v>
      </c>
      <c r="BJ1034" s="116" t="s">
        <v>1858</v>
      </c>
      <c r="BK1034" s="118" t="s">
        <v>1874</v>
      </c>
      <c r="BL1034" s="79"/>
      <c r="BM1034" s="81"/>
      <c r="BN1034" s="81"/>
      <c r="BO1034" s="83"/>
      <c r="BP1034" s="58"/>
      <c r="BQ1034" s="64"/>
    </row>
    <row r="1035">
      <c r="A1035" s="70">
        <v>5.0</v>
      </c>
      <c r="B1035" s="71" t="s">
        <v>1852</v>
      </c>
      <c r="C1035" s="126" t="s">
        <v>76</v>
      </c>
      <c r="D1035" s="126" t="s">
        <v>133</v>
      </c>
      <c r="E1035" s="79"/>
      <c r="F1035" s="79"/>
      <c r="G1035" s="79"/>
      <c r="H1035" s="79"/>
      <c r="I1035" s="81" t="str">
        <f t="shared" si="16"/>
        <v>561110106</v>
      </c>
      <c r="J1035" s="79"/>
      <c r="K1035" s="79"/>
      <c r="L1035" s="59" t="s">
        <v>1876</v>
      </c>
      <c r="M1035" s="153">
        <v>2.0</v>
      </c>
      <c r="N1035" s="155"/>
      <c r="O1035" s="118" t="s">
        <v>1877</v>
      </c>
      <c r="P1035" s="123" t="s">
        <v>1878</v>
      </c>
      <c r="Q1035" s="81"/>
      <c r="R1035" s="81"/>
      <c r="S1035" s="81"/>
      <c r="T1035" s="81"/>
      <c r="U1035" s="123">
        <v>1.0</v>
      </c>
      <c r="V1035" s="81"/>
      <c r="W1035" s="123" t="s">
        <v>160</v>
      </c>
      <c r="X1035" s="81"/>
      <c r="Y1035" s="81"/>
      <c r="Z1035" s="81"/>
      <c r="AA1035" s="79"/>
      <c r="AB1035" s="79"/>
      <c r="AC1035" s="81"/>
      <c r="AD1035" s="81"/>
      <c r="AE1035" s="81"/>
      <c r="AF1035" s="81"/>
      <c r="AG1035" s="81"/>
      <c r="AH1035" s="81"/>
      <c r="AI1035" s="81"/>
      <c r="AJ1035" s="81"/>
      <c r="AK1035" s="81"/>
      <c r="AL1035" s="81"/>
      <c r="AM1035" s="81"/>
      <c r="AN1035" s="81"/>
      <c r="AO1035" s="81"/>
      <c r="AP1035" s="81"/>
      <c r="AQ1035" s="81"/>
      <c r="AR1035" s="81"/>
      <c r="AS1035" s="81"/>
      <c r="AT1035" s="81"/>
      <c r="AU1035" s="81"/>
      <c r="AV1035" s="81"/>
      <c r="AW1035" s="81"/>
      <c r="AX1035" s="81"/>
      <c r="AY1035" s="81"/>
      <c r="AZ1035" s="81"/>
      <c r="BA1035" s="81"/>
      <c r="BB1035" s="81"/>
      <c r="BC1035" s="81"/>
      <c r="BD1035" s="81"/>
      <c r="BE1035" s="81"/>
      <c r="BF1035" s="81"/>
      <c r="BG1035" s="81"/>
      <c r="BH1035" s="116" t="s">
        <v>1857</v>
      </c>
      <c r="BI1035" s="123">
        <v>308.0</v>
      </c>
      <c r="BJ1035" s="116" t="s">
        <v>1858</v>
      </c>
      <c r="BK1035" s="118" t="s">
        <v>1879</v>
      </c>
      <c r="BL1035" s="79"/>
      <c r="BM1035" s="81"/>
      <c r="BN1035" s="81"/>
      <c r="BO1035" s="83"/>
      <c r="BP1035" s="58"/>
      <c r="BQ1035" s="64"/>
    </row>
    <row r="1036">
      <c r="A1036" s="124">
        <v>5.0</v>
      </c>
      <c r="B1036" s="71" t="s">
        <v>1852</v>
      </c>
      <c r="C1036" s="126" t="s">
        <v>76</v>
      </c>
      <c r="D1036" s="126" t="s">
        <v>136</v>
      </c>
      <c r="E1036" s="79"/>
      <c r="F1036" s="79"/>
      <c r="G1036" s="79"/>
      <c r="H1036" s="79"/>
      <c r="I1036" s="81" t="str">
        <f t="shared" si="16"/>
        <v>561110107</v>
      </c>
      <c r="J1036" s="79"/>
      <c r="K1036" s="79"/>
      <c r="L1036" s="59" t="s">
        <v>1880</v>
      </c>
      <c r="M1036" s="153">
        <v>2.0</v>
      </c>
      <c r="N1036" s="155"/>
      <c r="O1036" s="56"/>
      <c r="P1036" s="81"/>
      <c r="Q1036" s="81"/>
      <c r="R1036" s="81"/>
      <c r="S1036" s="81"/>
      <c r="T1036" s="81"/>
      <c r="U1036" s="123">
        <v>1.0</v>
      </c>
      <c r="V1036" s="81"/>
      <c r="W1036" s="81"/>
      <c r="X1036" s="81"/>
      <c r="Y1036" s="81"/>
      <c r="Z1036" s="81"/>
      <c r="AA1036" s="79"/>
      <c r="AB1036" s="79"/>
      <c r="AC1036" s="81"/>
      <c r="AD1036" s="81"/>
      <c r="AE1036" s="81"/>
      <c r="AF1036" s="81"/>
      <c r="AG1036" s="81"/>
      <c r="AH1036" s="81"/>
      <c r="AI1036" s="81"/>
      <c r="AJ1036" s="81"/>
      <c r="AK1036" s="81"/>
      <c r="AL1036" s="81"/>
      <c r="AM1036" s="81"/>
      <c r="AN1036" s="81"/>
      <c r="AO1036" s="81"/>
      <c r="AP1036" s="81"/>
      <c r="AQ1036" s="81"/>
      <c r="AR1036" s="81"/>
      <c r="AS1036" s="81"/>
      <c r="AT1036" s="81"/>
      <c r="AU1036" s="81"/>
      <c r="AV1036" s="81"/>
      <c r="AW1036" s="81"/>
      <c r="AX1036" s="81"/>
      <c r="AY1036" s="81"/>
      <c r="AZ1036" s="81"/>
      <c r="BA1036" s="81"/>
      <c r="BB1036" s="81"/>
      <c r="BC1036" s="81"/>
      <c r="BD1036" s="81"/>
      <c r="BE1036" s="81"/>
      <c r="BF1036" s="81"/>
      <c r="BG1036" s="81"/>
      <c r="BH1036" s="116" t="s">
        <v>1857</v>
      </c>
      <c r="BI1036" s="81"/>
      <c r="BJ1036" s="81"/>
      <c r="BK1036" s="81"/>
      <c r="BL1036" s="79"/>
      <c r="BM1036" s="81"/>
      <c r="BN1036" s="81"/>
      <c r="BO1036" s="83"/>
      <c r="BP1036" s="58"/>
      <c r="BQ1036" s="64"/>
    </row>
    <row r="1037">
      <c r="A1037" s="70">
        <v>5.0</v>
      </c>
      <c r="B1037" s="71" t="s">
        <v>1852</v>
      </c>
      <c r="C1037" s="126" t="s">
        <v>76</v>
      </c>
      <c r="D1037" s="126" t="s">
        <v>138</v>
      </c>
      <c r="E1037" s="79"/>
      <c r="F1037" s="79"/>
      <c r="G1037" s="79"/>
      <c r="H1037" s="79"/>
      <c r="I1037" s="81" t="str">
        <f t="shared" si="16"/>
        <v>561110108</v>
      </c>
      <c r="J1037" s="79"/>
      <c r="K1037" s="79"/>
      <c r="L1037" s="59" t="s">
        <v>1881</v>
      </c>
      <c r="M1037" s="153">
        <v>2.0</v>
      </c>
      <c r="N1037" s="155"/>
      <c r="O1037" s="56"/>
      <c r="P1037" s="123" t="s">
        <v>1882</v>
      </c>
      <c r="Q1037" s="81"/>
      <c r="R1037" s="81"/>
      <c r="S1037" s="81"/>
      <c r="T1037" s="81"/>
      <c r="U1037" s="123">
        <v>1.0</v>
      </c>
      <c r="V1037" s="81"/>
      <c r="W1037" s="81"/>
      <c r="X1037" s="81"/>
      <c r="Y1037" s="81"/>
      <c r="Z1037" s="81"/>
      <c r="AA1037" s="79"/>
      <c r="AB1037" s="79"/>
      <c r="AC1037" s="81"/>
      <c r="AD1037" s="81"/>
      <c r="AE1037" s="81"/>
      <c r="AF1037" s="81"/>
      <c r="AG1037" s="81"/>
      <c r="AH1037" s="81"/>
      <c r="AI1037" s="81"/>
      <c r="AJ1037" s="81"/>
      <c r="AK1037" s="81"/>
      <c r="AL1037" s="81"/>
      <c r="AM1037" s="81"/>
      <c r="AN1037" s="81"/>
      <c r="AO1037" s="81"/>
      <c r="AP1037" s="81"/>
      <c r="AQ1037" s="81"/>
      <c r="AR1037" s="81"/>
      <c r="AS1037" s="81"/>
      <c r="AT1037" s="81"/>
      <c r="AU1037" s="81"/>
      <c r="AV1037" s="81"/>
      <c r="AW1037" s="81"/>
      <c r="AX1037" s="81"/>
      <c r="AY1037" s="81"/>
      <c r="AZ1037" s="81"/>
      <c r="BA1037" s="81"/>
      <c r="BB1037" s="81"/>
      <c r="BC1037" s="81"/>
      <c r="BD1037" s="81"/>
      <c r="BE1037" s="81"/>
      <c r="BF1037" s="81"/>
      <c r="BG1037" s="81"/>
      <c r="BH1037" s="116" t="s">
        <v>1857</v>
      </c>
      <c r="BI1037" s="123">
        <v>308.0</v>
      </c>
      <c r="BJ1037" s="116" t="s">
        <v>1858</v>
      </c>
      <c r="BK1037" s="118" t="s">
        <v>1883</v>
      </c>
      <c r="BL1037" s="79"/>
      <c r="BM1037" s="81"/>
      <c r="BN1037" s="81"/>
      <c r="BO1037" s="83"/>
      <c r="BP1037" s="58"/>
      <c r="BQ1037" s="64"/>
    </row>
    <row r="1038">
      <c r="A1038" s="124">
        <v>5.0</v>
      </c>
      <c r="B1038" s="71" t="s">
        <v>1852</v>
      </c>
      <c r="C1038" s="126" t="s">
        <v>76</v>
      </c>
      <c r="D1038" s="126" t="s">
        <v>142</v>
      </c>
      <c r="E1038" s="79"/>
      <c r="F1038" s="79"/>
      <c r="G1038" s="79"/>
      <c r="H1038" s="79"/>
      <c r="I1038" s="81" t="str">
        <f t="shared" si="16"/>
        <v>561110109</v>
      </c>
      <c r="J1038" s="79"/>
      <c r="K1038" s="79"/>
      <c r="L1038" s="59" t="s">
        <v>1884</v>
      </c>
      <c r="M1038" s="153">
        <v>2.0</v>
      </c>
      <c r="N1038" s="155"/>
      <c r="O1038" s="56"/>
      <c r="P1038" s="123" t="s">
        <v>1885</v>
      </c>
      <c r="Q1038" s="81"/>
      <c r="R1038" s="81"/>
      <c r="S1038" s="81"/>
      <c r="T1038" s="81"/>
      <c r="U1038" s="123">
        <v>1.0</v>
      </c>
      <c r="V1038" s="81"/>
      <c r="W1038" s="81"/>
      <c r="X1038" s="81"/>
      <c r="Y1038" s="81"/>
      <c r="Z1038" s="81"/>
      <c r="AA1038" s="79"/>
      <c r="AB1038" s="79"/>
      <c r="AC1038" s="81"/>
      <c r="AD1038" s="81"/>
      <c r="AE1038" s="81"/>
      <c r="AF1038" s="81"/>
      <c r="AG1038" s="81"/>
      <c r="AH1038" s="81"/>
      <c r="AI1038" s="81"/>
      <c r="AJ1038" s="81"/>
      <c r="AK1038" s="81"/>
      <c r="AL1038" s="81"/>
      <c r="AM1038" s="81"/>
      <c r="AN1038" s="81"/>
      <c r="AO1038" s="81"/>
      <c r="AP1038" s="81"/>
      <c r="AQ1038" s="81"/>
      <c r="AR1038" s="81"/>
      <c r="AS1038" s="81"/>
      <c r="AT1038" s="81"/>
      <c r="AU1038" s="81"/>
      <c r="AV1038" s="81"/>
      <c r="AW1038" s="81"/>
      <c r="AX1038" s="81"/>
      <c r="AY1038" s="81"/>
      <c r="AZ1038" s="81"/>
      <c r="BA1038" s="81"/>
      <c r="BB1038" s="81"/>
      <c r="BC1038" s="81"/>
      <c r="BD1038" s="81"/>
      <c r="BE1038" s="81"/>
      <c r="BF1038" s="81"/>
      <c r="BG1038" s="81"/>
      <c r="BH1038" s="116" t="s">
        <v>1857</v>
      </c>
      <c r="BI1038" s="123">
        <v>308.0</v>
      </c>
      <c r="BJ1038" s="116" t="s">
        <v>1858</v>
      </c>
      <c r="BK1038" s="118" t="s">
        <v>1886</v>
      </c>
      <c r="BL1038" s="79"/>
      <c r="BM1038" s="81"/>
      <c r="BN1038" s="81"/>
      <c r="BO1038" s="83"/>
      <c r="BP1038" s="58"/>
      <c r="BQ1038" s="64"/>
    </row>
    <row r="1039">
      <c r="A1039" s="70">
        <v>5.0</v>
      </c>
      <c r="B1039" s="71" t="s">
        <v>1852</v>
      </c>
      <c r="C1039" s="126" t="s">
        <v>76</v>
      </c>
      <c r="D1039" s="126" t="s">
        <v>149</v>
      </c>
      <c r="E1039" s="79"/>
      <c r="F1039" s="79"/>
      <c r="G1039" s="79"/>
      <c r="H1039" s="79"/>
      <c r="I1039" s="81" t="str">
        <f t="shared" si="16"/>
        <v>56111010A</v>
      </c>
      <c r="J1039" s="79"/>
      <c r="K1039" s="79"/>
      <c r="L1039" s="59" t="s">
        <v>1887</v>
      </c>
      <c r="M1039" s="153">
        <v>2.0</v>
      </c>
      <c r="N1039" s="155"/>
      <c r="O1039" s="56"/>
      <c r="P1039" s="123" t="s">
        <v>1888</v>
      </c>
      <c r="Q1039" s="81"/>
      <c r="R1039" s="81"/>
      <c r="S1039" s="81"/>
      <c r="T1039" s="81"/>
      <c r="U1039" s="123">
        <v>2.0</v>
      </c>
      <c r="V1039" s="81"/>
      <c r="W1039" s="81"/>
      <c r="X1039" s="81"/>
      <c r="Y1039" s="81"/>
      <c r="Z1039" s="81"/>
      <c r="AA1039" s="79"/>
      <c r="AB1039" s="79"/>
      <c r="AC1039" s="81"/>
      <c r="AD1039" s="81"/>
      <c r="AE1039" s="81"/>
      <c r="AF1039" s="81"/>
      <c r="AG1039" s="81"/>
      <c r="AH1039" s="81"/>
      <c r="AI1039" s="81"/>
      <c r="AJ1039" s="81"/>
      <c r="AK1039" s="81"/>
      <c r="AL1039" s="81"/>
      <c r="AM1039" s="81"/>
      <c r="AN1039" s="81"/>
      <c r="AO1039" s="81"/>
      <c r="AP1039" s="81"/>
      <c r="AQ1039" s="81"/>
      <c r="AR1039" s="81"/>
      <c r="AS1039" s="81"/>
      <c r="AT1039" s="81"/>
      <c r="AU1039" s="81"/>
      <c r="AV1039" s="81"/>
      <c r="AW1039" s="81"/>
      <c r="AX1039" s="81"/>
      <c r="AY1039" s="81"/>
      <c r="AZ1039" s="81"/>
      <c r="BA1039" s="81"/>
      <c r="BB1039" s="81"/>
      <c r="BC1039" s="81"/>
      <c r="BD1039" s="81"/>
      <c r="BE1039" s="81"/>
      <c r="BF1039" s="81"/>
      <c r="BG1039" s="81"/>
      <c r="BH1039" s="116" t="s">
        <v>1857</v>
      </c>
      <c r="BI1039" s="123">
        <v>308.0</v>
      </c>
      <c r="BJ1039" s="116" t="s">
        <v>1858</v>
      </c>
      <c r="BK1039" s="118" t="s">
        <v>1889</v>
      </c>
      <c r="BL1039" s="79"/>
      <c r="BM1039" s="81"/>
      <c r="BN1039" s="81"/>
      <c r="BO1039" s="83"/>
      <c r="BP1039" s="58"/>
      <c r="BQ1039" s="64"/>
    </row>
    <row r="1040">
      <c r="A1040" s="124">
        <v>5.0</v>
      </c>
      <c r="B1040" s="71" t="s">
        <v>1852</v>
      </c>
      <c r="C1040" s="126" t="s">
        <v>76</v>
      </c>
      <c r="D1040" s="126" t="s">
        <v>151</v>
      </c>
      <c r="E1040" s="79"/>
      <c r="F1040" s="79"/>
      <c r="G1040" s="79"/>
      <c r="H1040" s="79"/>
      <c r="I1040" s="81" t="str">
        <f t="shared" si="16"/>
        <v>56111010B</v>
      </c>
      <c r="J1040" s="79"/>
      <c r="K1040" s="79"/>
      <c r="L1040" s="59" t="s">
        <v>1890</v>
      </c>
      <c r="M1040" s="153">
        <v>2.0</v>
      </c>
      <c r="N1040" s="155"/>
      <c r="O1040" s="56"/>
      <c r="P1040" s="123" t="s">
        <v>1891</v>
      </c>
      <c r="Q1040" s="81"/>
      <c r="R1040" s="81"/>
      <c r="S1040" s="81"/>
      <c r="T1040" s="81"/>
      <c r="U1040" s="123">
        <v>1.0</v>
      </c>
      <c r="V1040" s="81"/>
      <c r="W1040" s="81"/>
      <c r="X1040" s="81"/>
      <c r="Y1040" s="81"/>
      <c r="Z1040" s="81"/>
      <c r="AA1040" s="79"/>
      <c r="AB1040" s="79"/>
      <c r="AC1040" s="81"/>
      <c r="AD1040" s="81"/>
      <c r="AE1040" s="81"/>
      <c r="AF1040" s="81"/>
      <c r="AG1040" s="81"/>
      <c r="AH1040" s="81"/>
      <c r="AI1040" s="81"/>
      <c r="AJ1040" s="81"/>
      <c r="AK1040" s="81"/>
      <c r="AL1040" s="81"/>
      <c r="AM1040" s="81"/>
      <c r="AN1040" s="81"/>
      <c r="AO1040" s="81"/>
      <c r="AP1040" s="81"/>
      <c r="AQ1040" s="81"/>
      <c r="AR1040" s="81"/>
      <c r="AS1040" s="81"/>
      <c r="AT1040" s="81"/>
      <c r="AU1040" s="81"/>
      <c r="AV1040" s="81"/>
      <c r="AW1040" s="81"/>
      <c r="AX1040" s="81"/>
      <c r="AY1040" s="81"/>
      <c r="AZ1040" s="81"/>
      <c r="BA1040" s="81"/>
      <c r="BB1040" s="81"/>
      <c r="BC1040" s="81"/>
      <c r="BD1040" s="81"/>
      <c r="BE1040" s="81"/>
      <c r="BF1040" s="81"/>
      <c r="BG1040" s="81"/>
      <c r="BH1040" s="116" t="s">
        <v>1857</v>
      </c>
      <c r="BI1040" s="123">
        <v>308.0</v>
      </c>
      <c r="BJ1040" s="116" t="s">
        <v>1858</v>
      </c>
      <c r="BK1040" s="118" t="s">
        <v>1892</v>
      </c>
      <c r="BL1040" s="79"/>
      <c r="BM1040" s="81"/>
      <c r="BN1040" s="81"/>
      <c r="BO1040" s="83"/>
      <c r="BP1040" s="58"/>
      <c r="BQ1040" s="64"/>
    </row>
    <row r="1041">
      <c r="A1041" s="124">
        <v>5.0</v>
      </c>
      <c r="B1041" s="71" t="s">
        <v>1852</v>
      </c>
      <c r="C1041" s="126" t="s">
        <v>76</v>
      </c>
      <c r="D1041" s="126" t="s">
        <v>155</v>
      </c>
      <c r="E1041" s="79"/>
      <c r="F1041" s="79"/>
      <c r="G1041" s="79"/>
      <c r="H1041" s="79"/>
      <c r="I1041" s="81" t="str">
        <f t="shared" si="16"/>
        <v>56111010C</v>
      </c>
      <c r="J1041" s="79"/>
      <c r="K1041" s="79"/>
      <c r="L1041" s="59" t="s">
        <v>1893</v>
      </c>
      <c r="M1041" s="153">
        <v>2.0</v>
      </c>
      <c r="N1041" s="155"/>
      <c r="O1041" s="56"/>
      <c r="P1041" s="81"/>
      <c r="Q1041" s="81"/>
      <c r="R1041" s="81"/>
      <c r="S1041" s="81"/>
      <c r="T1041" s="81"/>
      <c r="U1041" s="123">
        <v>1.0</v>
      </c>
      <c r="V1041" s="81"/>
      <c r="W1041" s="81"/>
      <c r="X1041" s="81"/>
      <c r="Y1041" s="81"/>
      <c r="Z1041" s="81"/>
      <c r="AA1041" s="79"/>
      <c r="AB1041" s="79"/>
      <c r="AC1041" s="81"/>
      <c r="AD1041" s="81"/>
      <c r="AE1041" s="81"/>
      <c r="AF1041" s="81"/>
      <c r="AG1041" s="81"/>
      <c r="AH1041" s="81"/>
      <c r="AI1041" s="81"/>
      <c r="AJ1041" s="81"/>
      <c r="AK1041" s="81"/>
      <c r="AL1041" s="81"/>
      <c r="AM1041" s="81"/>
      <c r="AN1041" s="81"/>
      <c r="AO1041" s="81"/>
      <c r="AP1041" s="81"/>
      <c r="AQ1041" s="81"/>
      <c r="AR1041" s="81"/>
      <c r="AS1041" s="81"/>
      <c r="AT1041" s="81"/>
      <c r="AU1041" s="81"/>
      <c r="AV1041" s="81"/>
      <c r="AW1041" s="81"/>
      <c r="AX1041" s="81"/>
      <c r="AY1041" s="81"/>
      <c r="AZ1041" s="81"/>
      <c r="BA1041" s="81"/>
      <c r="BB1041" s="81"/>
      <c r="BC1041" s="81"/>
      <c r="BD1041" s="81"/>
      <c r="BE1041" s="81"/>
      <c r="BF1041" s="81"/>
      <c r="BG1041" s="81"/>
      <c r="BH1041" s="116" t="s">
        <v>1857</v>
      </c>
      <c r="BI1041" s="81"/>
      <c r="BJ1041" s="81"/>
      <c r="BK1041" s="81"/>
      <c r="BL1041" s="79"/>
      <c r="BM1041" s="81"/>
      <c r="BN1041" s="81"/>
      <c r="BO1041" s="83"/>
      <c r="BP1041" s="58"/>
      <c r="BQ1041" s="64"/>
    </row>
    <row r="1042">
      <c r="A1042" s="70">
        <v>5.0</v>
      </c>
      <c r="B1042" s="71" t="s">
        <v>1852</v>
      </c>
      <c r="C1042" s="126" t="s">
        <v>76</v>
      </c>
      <c r="D1042" s="126" t="s">
        <v>158</v>
      </c>
      <c r="E1042" s="79"/>
      <c r="F1042" s="79"/>
      <c r="G1042" s="79"/>
      <c r="H1042" s="79"/>
      <c r="I1042" s="81" t="str">
        <f t="shared" si="16"/>
        <v>56111010D</v>
      </c>
      <c r="J1042" s="79"/>
      <c r="K1042" s="79"/>
      <c r="L1042" s="59" t="s">
        <v>1894</v>
      </c>
      <c r="M1042" s="153">
        <v>2.0</v>
      </c>
      <c r="N1042" s="155"/>
      <c r="O1042" s="56"/>
      <c r="P1042" s="123" t="s">
        <v>1895</v>
      </c>
      <c r="Q1042" s="81"/>
      <c r="R1042" s="81"/>
      <c r="S1042" s="81"/>
      <c r="T1042" s="81"/>
      <c r="U1042" s="123">
        <v>2.0</v>
      </c>
      <c r="V1042" s="81"/>
      <c r="W1042" s="81"/>
      <c r="X1042" s="81"/>
      <c r="Y1042" s="81"/>
      <c r="Z1042" s="81"/>
      <c r="AA1042" s="79"/>
      <c r="AB1042" s="79"/>
      <c r="AC1042" s="81"/>
      <c r="AD1042" s="81"/>
      <c r="AE1042" s="81"/>
      <c r="AF1042" s="81"/>
      <c r="AG1042" s="81"/>
      <c r="AH1042" s="81"/>
      <c r="AI1042" s="81"/>
      <c r="AJ1042" s="81"/>
      <c r="AK1042" s="81"/>
      <c r="AL1042" s="81"/>
      <c r="AM1042" s="81"/>
      <c r="AN1042" s="81"/>
      <c r="AO1042" s="81"/>
      <c r="AP1042" s="81"/>
      <c r="AQ1042" s="81"/>
      <c r="AR1042" s="81"/>
      <c r="AS1042" s="81"/>
      <c r="AT1042" s="81"/>
      <c r="AU1042" s="81"/>
      <c r="AV1042" s="81"/>
      <c r="AW1042" s="81"/>
      <c r="AX1042" s="81"/>
      <c r="AY1042" s="81"/>
      <c r="AZ1042" s="81"/>
      <c r="BA1042" s="81"/>
      <c r="BB1042" s="81"/>
      <c r="BC1042" s="81"/>
      <c r="BD1042" s="81"/>
      <c r="BE1042" s="81"/>
      <c r="BF1042" s="81"/>
      <c r="BG1042" s="81"/>
      <c r="BH1042" s="116" t="s">
        <v>1857</v>
      </c>
      <c r="BI1042" s="123">
        <v>308.0</v>
      </c>
      <c r="BJ1042" s="116" t="s">
        <v>1858</v>
      </c>
      <c r="BK1042" s="118" t="s">
        <v>1896</v>
      </c>
      <c r="BL1042" s="79"/>
      <c r="BM1042" s="81"/>
      <c r="BN1042" s="81"/>
      <c r="BO1042" s="83"/>
      <c r="BP1042" s="116" t="s">
        <v>1897</v>
      </c>
      <c r="BQ1042" s="64"/>
    </row>
    <row r="1043">
      <c r="A1043" s="124">
        <v>5.0</v>
      </c>
      <c r="B1043" s="71" t="s">
        <v>1852</v>
      </c>
      <c r="C1043" s="126" t="s">
        <v>76</v>
      </c>
      <c r="D1043" s="126" t="s">
        <v>162</v>
      </c>
      <c r="E1043" s="79"/>
      <c r="F1043" s="79"/>
      <c r="G1043" s="79"/>
      <c r="H1043" s="79"/>
      <c r="I1043" s="81" t="str">
        <f t="shared" si="16"/>
        <v>56111010E</v>
      </c>
      <c r="J1043" s="79"/>
      <c r="K1043" s="79"/>
      <c r="L1043" s="59" t="s">
        <v>371</v>
      </c>
      <c r="M1043" s="153">
        <v>1.0</v>
      </c>
      <c r="N1043" s="155"/>
      <c r="O1043" s="118">
        <v>218.0</v>
      </c>
      <c r="P1043" s="123" t="s">
        <v>1898</v>
      </c>
      <c r="Q1043" s="81"/>
      <c r="R1043" s="81"/>
      <c r="S1043" s="81"/>
      <c r="T1043" s="81"/>
      <c r="U1043" s="123">
        <v>1.0</v>
      </c>
      <c r="V1043" s="81"/>
      <c r="W1043" s="123" t="s">
        <v>78</v>
      </c>
      <c r="X1043" s="81"/>
      <c r="Y1043" s="81"/>
      <c r="Z1043" s="81"/>
      <c r="AA1043" s="79"/>
      <c r="AB1043" s="79"/>
      <c r="AC1043" s="81"/>
      <c r="AD1043" s="81"/>
      <c r="AE1043" s="81"/>
      <c r="AF1043" s="81"/>
      <c r="AG1043" s="81"/>
      <c r="AH1043" s="81"/>
      <c r="AI1043" s="81"/>
      <c r="AJ1043" s="81"/>
      <c r="AK1043" s="81"/>
      <c r="AL1043" s="81"/>
      <c r="AM1043" s="81"/>
      <c r="AN1043" s="81"/>
      <c r="AO1043" s="81"/>
      <c r="AP1043" s="81"/>
      <c r="AQ1043" s="81"/>
      <c r="AR1043" s="81"/>
      <c r="AS1043" s="81"/>
      <c r="AT1043" s="81"/>
      <c r="AU1043" s="81"/>
      <c r="AV1043" s="81"/>
      <c r="AW1043" s="81"/>
      <c r="AX1043" s="81"/>
      <c r="AY1043" s="81"/>
      <c r="AZ1043" s="81"/>
      <c r="BA1043" s="81"/>
      <c r="BB1043" s="81"/>
      <c r="BC1043" s="81"/>
      <c r="BD1043" s="81"/>
      <c r="BE1043" s="81"/>
      <c r="BF1043" s="81"/>
      <c r="BG1043" s="81"/>
      <c r="BH1043" s="116" t="s">
        <v>1857</v>
      </c>
      <c r="BI1043" s="123">
        <v>324.0</v>
      </c>
      <c r="BJ1043" s="121" t="s">
        <v>1899</v>
      </c>
      <c r="BK1043" s="123">
        <v>1.0</v>
      </c>
      <c r="BL1043" s="79"/>
      <c r="BM1043" s="81"/>
      <c r="BN1043" s="81"/>
      <c r="BO1043" s="83"/>
      <c r="BP1043" s="58"/>
      <c r="BQ1043" s="64"/>
    </row>
    <row r="1044">
      <c r="A1044" s="124">
        <v>5.0</v>
      </c>
      <c r="B1044" s="71" t="s">
        <v>1852</v>
      </c>
      <c r="C1044" s="126" t="s">
        <v>76</v>
      </c>
      <c r="D1044" s="126" t="s">
        <v>166</v>
      </c>
      <c r="E1044" s="81"/>
      <c r="F1044" s="81"/>
      <c r="G1044" s="81"/>
      <c r="H1044" s="81"/>
      <c r="I1044" s="81" t="str">
        <f t="shared" si="16"/>
        <v>56111010F</v>
      </c>
      <c r="J1044" s="81"/>
      <c r="K1044" s="81"/>
      <c r="L1044" s="59" t="s">
        <v>1900</v>
      </c>
      <c r="M1044" s="156">
        <v>2.0</v>
      </c>
      <c r="N1044" s="155"/>
      <c r="O1044" s="56"/>
      <c r="P1044" s="123" t="s">
        <v>1901</v>
      </c>
      <c r="Q1044" s="81"/>
      <c r="R1044" s="81"/>
      <c r="S1044" s="81"/>
      <c r="T1044" s="81"/>
      <c r="U1044" s="123" t="s">
        <v>145</v>
      </c>
      <c r="V1044" s="81"/>
      <c r="W1044" s="81"/>
      <c r="X1044" s="81"/>
      <c r="Y1044" s="81"/>
      <c r="Z1044" s="81"/>
      <c r="AA1044" s="81"/>
      <c r="AB1044" s="81"/>
      <c r="AC1044" s="81"/>
      <c r="AD1044" s="81"/>
      <c r="AE1044" s="81"/>
      <c r="AF1044" s="81"/>
      <c r="AG1044" s="81"/>
      <c r="AH1044" s="81"/>
      <c r="AI1044" s="81"/>
      <c r="AJ1044" s="81"/>
      <c r="AK1044" s="81"/>
      <c r="AL1044" s="81"/>
      <c r="AM1044" s="81"/>
      <c r="AN1044" s="81"/>
      <c r="AO1044" s="81"/>
      <c r="AP1044" s="81"/>
      <c r="AQ1044" s="81"/>
      <c r="AR1044" s="81"/>
      <c r="AS1044" s="81"/>
      <c r="AT1044" s="81"/>
      <c r="AU1044" s="81"/>
      <c r="AV1044" s="81"/>
      <c r="AW1044" s="81"/>
      <c r="AX1044" s="81"/>
      <c r="AY1044" s="81"/>
      <c r="AZ1044" s="81"/>
      <c r="BA1044" s="81"/>
      <c r="BB1044" s="81"/>
      <c r="BC1044" s="81"/>
      <c r="BD1044" s="81"/>
      <c r="BE1044" s="81"/>
      <c r="BF1044" s="81"/>
      <c r="BG1044" s="81"/>
      <c r="BH1044" s="116" t="s">
        <v>1857</v>
      </c>
      <c r="BI1044" s="124">
        <v>229.0</v>
      </c>
      <c r="BJ1044" s="121" t="s">
        <v>1901</v>
      </c>
      <c r="BK1044" s="81"/>
      <c r="BL1044" s="81"/>
      <c r="BM1044" s="81"/>
      <c r="BN1044" s="81"/>
      <c r="BO1044" s="81"/>
      <c r="BP1044" s="81"/>
      <c r="BQ1044" s="64"/>
    </row>
    <row r="1045">
      <c r="A1045" s="124">
        <v>5.0</v>
      </c>
      <c r="B1045" s="71" t="s">
        <v>1852</v>
      </c>
      <c r="C1045" s="126" t="s">
        <v>76</v>
      </c>
      <c r="D1045" s="126" t="s">
        <v>170</v>
      </c>
      <c r="E1045" s="79"/>
      <c r="F1045" s="79"/>
      <c r="G1045" s="79"/>
      <c r="H1045" s="79"/>
      <c r="I1045" s="81" t="str">
        <f t="shared" si="16"/>
        <v>56111010G</v>
      </c>
      <c r="J1045" s="79"/>
      <c r="K1045" s="79"/>
      <c r="L1045" s="80" t="s">
        <v>1902</v>
      </c>
      <c r="M1045" s="84">
        <v>2.0</v>
      </c>
      <c r="N1045" s="81"/>
      <c r="O1045" s="56"/>
      <c r="P1045" s="123" t="s">
        <v>1903</v>
      </c>
      <c r="Q1045" s="81"/>
      <c r="R1045" s="81"/>
      <c r="S1045" s="81"/>
      <c r="T1045" s="81"/>
      <c r="U1045" s="123">
        <v>1.0</v>
      </c>
      <c r="V1045" s="81"/>
      <c r="W1045" s="123" t="s">
        <v>160</v>
      </c>
      <c r="X1045" s="81"/>
      <c r="Y1045" s="81"/>
      <c r="Z1045" s="81"/>
      <c r="AA1045" s="79"/>
      <c r="AB1045" s="79"/>
      <c r="AC1045" s="81"/>
      <c r="AD1045" s="81"/>
      <c r="AE1045" s="81"/>
      <c r="AF1045" s="81"/>
      <c r="AG1045" s="81"/>
      <c r="AH1045" s="81"/>
      <c r="AI1045" s="81"/>
      <c r="AJ1045" s="81"/>
      <c r="AK1045" s="81"/>
      <c r="AL1045" s="81"/>
      <c r="AM1045" s="81"/>
      <c r="AN1045" s="81"/>
      <c r="AO1045" s="81"/>
      <c r="AP1045" s="81"/>
      <c r="AQ1045" s="81"/>
      <c r="AR1045" s="81"/>
      <c r="AS1045" s="81"/>
      <c r="AT1045" s="81"/>
      <c r="AU1045" s="81"/>
      <c r="AV1045" s="81"/>
      <c r="AW1045" s="81"/>
      <c r="AX1045" s="81"/>
      <c r="AY1045" s="81"/>
      <c r="AZ1045" s="81"/>
      <c r="BA1045" s="81"/>
      <c r="BB1045" s="81"/>
      <c r="BC1045" s="81"/>
      <c r="BD1045" s="81"/>
      <c r="BE1045" s="81"/>
      <c r="BF1045" s="81"/>
      <c r="BG1045" s="81"/>
      <c r="BH1045" s="121" t="s">
        <v>1857</v>
      </c>
      <c r="BI1045" s="124">
        <v>301.0</v>
      </c>
      <c r="BJ1045" s="121" t="s">
        <v>1904</v>
      </c>
      <c r="BK1045" s="81"/>
      <c r="BL1045" s="79"/>
      <c r="BM1045" s="81"/>
      <c r="BN1045" s="81"/>
      <c r="BO1045" s="83"/>
      <c r="BP1045" s="58"/>
      <c r="BQ1045" s="64"/>
    </row>
    <row r="1046">
      <c r="A1046" s="124">
        <v>5.0</v>
      </c>
      <c r="B1046" s="71" t="s">
        <v>1852</v>
      </c>
      <c r="C1046" s="126" t="s">
        <v>76</v>
      </c>
      <c r="D1046" s="126" t="s">
        <v>173</v>
      </c>
      <c r="E1046" s="79"/>
      <c r="F1046" s="79"/>
      <c r="G1046" s="79"/>
      <c r="H1046" s="79"/>
      <c r="I1046" s="81" t="str">
        <f t="shared" si="16"/>
        <v>56111010H</v>
      </c>
      <c r="J1046" s="79"/>
      <c r="K1046" s="79"/>
      <c r="L1046" s="80" t="s">
        <v>1905</v>
      </c>
      <c r="M1046" s="84">
        <v>2.0</v>
      </c>
      <c r="N1046" s="81"/>
      <c r="O1046" s="81"/>
      <c r="P1046" s="81"/>
      <c r="Q1046" s="81"/>
      <c r="R1046" s="81"/>
      <c r="S1046" s="81"/>
      <c r="T1046" s="81"/>
      <c r="U1046" s="123">
        <v>2.0</v>
      </c>
      <c r="V1046" s="81"/>
      <c r="W1046" s="81"/>
      <c r="X1046" s="81"/>
      <c r="Y1046" s="81"/>
      <c r="Z1046" s="81"/>
      <c r="AA1046" s="79"/>
      <c r="AB1046" s="79"/>
      <c r="AC1046" s="81"/>
      <c r="AD1046" s="81"/>
      <c r="AE1046" s="81"/>
      <c r="AF1046" s="81"/>
      <c r="AG1046" s="81"/>
      <c r="AH1046" s="81"/>
      <c r="AI1046" s="81"/>
      <c r="AJ1046" s="81"/>
      <c r="AK1046" s="81"/>
      <c r="AL1046" s="81"/>
      <c r="AM1046" s="81"/>
      <c r="AN1046" s="81"/>
      <c r="AO1046" s="81"/>
      <c r="AP1046" s="81"/>
      <c r="AQ1046" s="81"/>
      <c r="AR1046" s="81"/>
      <c r="AS1046" s="81"/>
      <c r="AT1046" s="81"/>
      <c r="AU1046" s="81"/>
      <c r="AV1046" s="81"/>
      <c r="AW1046" s="81"/>
      <c r="AX1046" s="81"/>
      <c r="AY1046" s="81"/>
      <c r="AZ1046" s="81"/>
      <c r="BA1046" s="81"/>
      <c r="BB1046" s="81"/>
      <c r="BC1046" s="81"/>
      <c r="BD1046" s="81"/>
      <c r="BE1046" s="81"/>
      <c r="BF1046" s="81"/>
      <c r="BG1046" s="81"/>
      <c r="BH1046" s="121" t="s">
        <v>1857</v>
      </c>
      <c r="BI1046" s="123" t="s">
        <v>1906</v>
      </c>
      <c r="BJ1046" s="121" t="s">
        <v>1907</v>
      </c>
      <c r="BK1046" s="81"/>
      <c r="BL1046" s="79"/>
      <c r="BM1046" s="81"/>
      <c r="BN1046" s="81"/>
      <c r="BO1046" s="83"/>
      <c r="BP1046" s="58"/>
      <c r="BQ1046" s="64"/>
    </row>
    <row r="1047">
      <c r="A1047" s="70">
        <v>5.0</v>
      </c>
      <c r="B1047" s="71" t="s">
        <v>1852</v>
      </c>
      <c r="C1047" s="126" t="s">
        <v>76</v>
      </c>
      <c r="D1047" s="126" t="s">
        <v>179</v>
      </c>
      <c r="E1047" s="79"/>
      <c r="F1047" s="79"/>
      <c r="G1047" s="79"/>
      <c r="H1047" s="79"/>
      <c r="I1047" s="81" t="str">
        <f t="shared" si="16"/>
        <v>56111010J</v>
      </c>
      <c r="J1047" s="79"/>
      <c r="K1047" s="79"/>
      <c r="L1047" s="80" t="s">
        <v>1908</v>
      </c>
      <c r="M1047" s="84">
        <v>2.0</v>
      </c>
      <c r="N1047" s="81"/>
      <c r="O1047" s="81"/>
      <c r="P1047" s="81"/>
      <c r="Q1047" s="81"/>
      <c r="R1047" s="81"/>
      <c r="S1047" s="81"/>
      <c r="T1047" s="81"/>
      <c r="U1047" s="123">
        <v>2.0</v>
      </c>
      <c r="V1047" s="81"/>
      <c r="W1047" s="81"/>
      <c r="X1047" s="81"/>
      <c r="Y1047" s="81"/>
      <c r="Z1047" s="81"/>
      <c r="AA1047" s="79"/>
      <c r="AB1047" s="79"/>
      <c r="AC1047" s="81"/>
      <c r="AD1047" s="81"/>
      <c r="AE1047" s="81"/>
      <c r="AF1047" s="81"/>
      <c r="AG1047" s="81"/>
      <c r="AH1047" s="81"/>
      <c r="AI1047" s="81"/>
      <c r="AJ1047" s="81"/>
      <c r="AK1047" s="81"/>
      <c r="AL1047" s="81"/>
      <c r="AM1047" s="81"/>
      <c r="AN1047" s="81"/>
      <c r="AO1047" s="81"/>
      <c r="AP1047" s="81"/>
      <c r="AQ1047" s="81"/>
      <c r="AR1047" s="81"/>
      <c r="AS1047" s="81"/>
      <c r="AT1047" s="81"/>
      <c r="AU1047" s="81"/>
      <c r="AV1047" s="81"/>
      <c r="AW1047" s="81"/>
      <c r="AX1047" s="81"/>
      <c r="AY1047" s="81"/>
      <c r="AZ1047" s="81"/>
      <c r="BA1047" s="81"/>
      <c r="BB1047" s="81"/>
      <c r="BC1047" s="81"/>
      <c r="BD1047" s="81"/>
      <c r="BE1047" s="81"/>
      <c r="BF1047" s="81"/>
      <c r="BG1047" s="81"/>
      <c r="BH1047" s="121" t="s">
        <v>1857</v>
      </c>
      <c r="BI1047" s="123" t="s">
        <v>1909</v>
      </c>
      <c r="BJ1047" s="121" t="s">
        <v>1910</v>
      </c>
      <c r="BK1047" s="81"/>
      <c r="BL1047" s="79"/>
      <c r="BM1047" s="81"/>
      <c r="BN1047" s="81"/>
      <c r="BO1047" s="83"/>
      <c r="BP1047" s="58"/>
      <c r="BQ1047" s="64"/>
    </row>
    <row r="1048">
      <c r="A1048" s="124">
        <v>5.0</v>
      </c>
      <c r="B1048" s="71" t="s">
        <v>1852</v>
      </c>
      <c r="C1048" s="126" t="s">
        <v>76</v>
      </c>
      <c r="D1048" s="126" t="s">
        <v>183</v>
      </c>
      <c r="E1048" s="79"/>
      <c r="F1048" s="79"/>
      <c r="G1048" s="79"/>
      <c r="H1048" s="79"/>
      <c r="I1048" s="81" t="str">
        <f t="shared" si="16"/>
        <v>56111010K</v>
      </c>
      <c r="J1048" s="79"/>
      <c r="K1048" s="79"/>
      <c r="L1048" s="80" t="s">
        <v>1911</v>
      </c>
      <c r="M1048" s="84">
        <v>2.0</v>
      </c>
      <c r="N1048" s="81"/>
      <c r="O1048" s="81"/>
      <c r="P1048" s="81"/>
      <c r="Q1048" s="81"/>
      <c r="R1048" s="81"/>
      <c r="S1048" s="81"/>
      <c r="T1048" s="81"/>
      <c r="U1048" s="123">
        <v>1.0</v>
      </c>
      <c r="V1048" s="81"/>
      <c r="W1048" s="81"/>
      <c r="X1048" s="81"/>
      <c r="Y1048" s="81"/>
      <c r="Z1048" s="81"/>
      <c r="AA1048" s="79"/>
      <c r="AB1048" s="79"/>
      <c r="AC1048" s="81"/>
      <c r="AD1048" s="81"/>
      <c r="AE1048" s="81"/>
      <c r="AF1048" s="81"/>
      <c r="AG1048" s="81"/>
      <c r="AH1048" s="81"/>
      <c r="AI1048" s="81"/>
      <c r="AJ1048" s="81"/>
      <c r="AK1048" s="81"/>
      <c r="AL1048" s="81"/>
      <c r="AM1048" s="81"/>
      <c r="AN1048" s="81"/>
      <c r="AO1048" s="81"/>
      <c r="AP1048" s="81"/>
      <c r="AQ1048" s="81"/>
      <c r="AR1048" s="81"/>
      <c r="AS1048" s="81"/>
      <c r="AT1048" s="81"/>
      <c r="AU1048" s="81"/>
      <c r="AV1048" s="81"/>
      <c r="AW1048" s="81"/>
      <c r="AX1048" s="81"/>
      <c r="AY1048" s="81"/>
      <c r="AZ1048" s="81"/>
      <c r="BA1048" s="81"/>
      <c r="BB1048" s="81"/>
      <c r="BC1048" s="81"/>
      <c r="BD1048" s="81"/>
      <c r="BE1048" s="81"/>
      <c r="BF1048" s="81"/>
      <c r="BG1048" s="81"/>
      <c r="BH1048" s="81"/>
      <c r="BI1048" s="123">
        <v>221.0</v>
      </c>
      <c r="BJ1048" s="121" t="s">
        <v>1912</v>
      </c>
      <c r="BK1048" s="81"/>
      <c r="BL1048" s="79"/>
      <c r="BM1048" s="81"/>
      <c r="BN1048" s="81"/>
      <c r="BO1048" s="83"/>
      <c r="BP1048" s="116" t="s">
        <v>1913</v>
      </c>
      <c r="BQ1048" s="64"/>
    </row>
    <row r="1049">
      <c r="A1049" s="70">
        <v>5.0</v>
      </c>
      <c r="B1049" s="71" t="s">
        <v>1852</v>
      </c>
      <c r="C1049" s="126" t="s">
        <v>76</v>
      </c>
      <c r="D1049" s="126" t="s">
        <v>187</v>
      </c>
      <c r="E1049" s="79"/>
      <c r="F1049" s="79"/>
      <c r="G1049" s="79"/>
      <c r="H1049" s="79"/>
      <c r="I1049" s="81" t="str">
        <f t="shared" si="16"/>
        <v>56111010L</v>
      </c>
      <c r="J1049" s="79"/>
      <c r="K1049" s="79"/>
      <c r="L1049" s="80" t="s">
        <v>1914</v>
      </c>
      <c r="M1049" s="84">
        <v>2.0</v>
      </c>
      <c r="N1049" s="81"/>
      <c r="O1049" s="81"/>
      <c r="P1049" s="81"/>
      <c r="Q1049" s="81"/>
      <c r="R1049" s="81"/>
      <c r="S1049" s="81"/>
      <c r="T1049" s="81"/>
      <c r="U1049" s="123">
        <v>1.0</v>
      </c>
      <c r="V1049" s="81"/>
      <c r="W1049" s="81"/>
      <c r="X1049" s="81"/>
      <c r="Y1049" s="81"/>
      <c r="Z1049" s="81"/>
      <c r="AA1049" s="79"/>
      <c r="AB1049" s="79"/>
      <c r="AC1049" s="81"/>
      <c r="AD1049" s="81"/>
      <c r="AE1049" s="81"/>
      <c r="AF1049" s="81"/>
      <c r="AG1049" s="81"/>
      <c r="AH1049" s="81"/>
      <c r="AI1049" s="81"/>
      <c r="AJ1049" s="81"/>
      <c r="AK1049" s="81"/>
      <c r="AL1049" s="81"/>
      <c r="AM1049" s="81"/>
      <c r="AN1049" s="81"/>
      <c r="AO1049" s="81"/>
      <c r="AP1049" s="81"/>
      <c r="AQ1049" s="81"/>
      <c r="AR1049" s="81"/>
      <c r="AS1049" s="81"/>
      <c r="AT1049" s="81"/>
      <c r="AU1049" s="81"/>
      <c r="AV1049" s="81"/>
      <c r="AW1049" s="81"/>
      <c r="AX1049" s="81"/>
      <c r="AY1049" s="81"/>
      <c r="AZ1049" s="81"/>
      <c r="BA1049" s="81"/>
      <c r="BB1049" s="81"/>
      <c r="BC1049" s="81"/>
      <c r="BD1049" s="81"/>
      <c r="BE1049" s="81"/>
      <c r="BF1049" s="81"/>
      <c r="BG1049" s="81"/>
      <c r="BH1049" s="81"/>
      <c r="BI1049" s="123">
        <v>221.0</v>
      </c>
      <c r="BJ1049" s="121" t="s">
        <v>1912</v>
      </c>
      <c r="BK1049" s="81"/>
      <c r="BL1049" s="79"/>
      <c r="BM1049" s="81"/>
      <c r="BN1049" s="81"/>
      <c r="BO1049" s="83"/>
      <c r="BP1049" s="116" t="s">
        <v>1913</v>
      </c>
      <c r="BQ1049" s="64"/>
    </row>
    <row r="1050">
      <c r="A1050" s="124">
        <v>5.0</v>
      </c>
      <c r="B1050" s="71" t="s">
        <v>1852</v>
      </c>
      <c r="C1050" s="126" t="s">
        <v>76</v>
      </c>
      <c r="D1050" s="126" t="s">
        <v>191</v>
      </c>
      <c r="E1050" s="79"/>
      <c r="F1050" s="79"/>
      <c r="G1050" s="79"/>
      <c r="H1050" s="79"/>
      <c r="I1050" s="81" t="str">
        <f t="shared" si="16"/>
        <v>56111010M</v>
      </c>
      <c r="J1050" s="79"/>
      <c r="K1050" s="79"/>
      <c r="L1050" s="80" t="s">
        <v>1915</v>
      </c>
      <c r="M1050" s="84">
        <v>2.0</v>
      </c>
      <c r="N1050" s="81"/>
      <c r="O1050" s="81"/>
      <c r="P1050" s="81"/>
      <c r="Q1050" s="81"/>
      <c r="R1050" s="81"/>
      <c r="S1050" s="81"/>
      <c r="T1050" s="81"/>
      <c r="U1050" s="123">
        <v>1.0</v>
      </c>
      <c r="V1050" s="81"/>
      <c r="W1050" s="81"/>
      <c r="X1050" s="81"/>
      <c r="Y1050" s="81"/>
      <c r="Z1050" s="81"/>
      <c r="AA1050" s="79"/>
      <c r="AB1050" s="79"/>
      <c r="AC1050" s="81"/>
      <c r="AD1050" s="81"/>
      <c r="AE1050" s="81"/>
      <c r="AF1050" s="81"/>
      <c r="AG1050" s="81"/>
      <c r="AH1050" s="81"/>
      <c r="AI1050" s="81"/>
      <c r="AJ1050" s="81"/>
      <c r="AK1050" s="81"/>
      <c r="AL1050" s="81"/>
      <c r="AM1050" s="81"/>
      <c r="AN1050" s="81"/>
      <c r="AO1050" s="81"/>
      <c r="AP1050" s="81"/>
      <c r="AQ1050" s="81"/>
      <c r="AR1050" s="81"/>
      <c r="AS1050" s="81"/>
      <c r="AT1050" s="81"/>
      <c r="AU1050" s="81"/>
      <c r="AV1050" s="81"/>
      <c r="AW1050" s="81"/>
      <c r="AX1050" s="81"/>
      <c r="AY1050" s="81"/>
      <c r="AZ1050" s="81"/>
      <c r="BA1050" s="81"/>
      <c r="BB1050" s="81"/>
      <c r="BC1050" s="81"/>
      <c r="BD1050" s="81"/>
      <c r="BE1050" s="81"/>
      <c r="BF1050" s="81"/>
      <c r="BG1050" s="81"/>
      <c r="BH1050" s="121" t="s">
        <v>1857</v>
      </c>
      <c r="BI1050" s="123">
        <v>221.0</v>
      </c>
      <c r="BJ1050" s="121" t="s">
        <v>1916</v>
      </c>
      <c r="BK1050" s="81"/>
      <c r="BL1050" s="79"/>
      <c r="BM1050" s="81"/>
      <c r="BN1050" s="81"/>
      <c r="BO1050" s="83"/>
      <c r="BP1050" s="116" t="s">
        <v>1917</v>
      </c>
      <c r="BQ1050" s="64"/>
    </row>
    <row r="1051">
      <c r="A1051" s="70">
        <v>5.0</v>
      </c>
      <c r="B1051" s="71" t="s">
        <v>1852</v>
      </c>
      <c r="C1051" s="126" t="s">
        <v>76</v>
      </c>
      <c r="D1051" s="126" t="s">
        <v>193</v>
      </c>
      <c r="E1051" s="79"/>
      <c r="F1051" s="79"/>
      <c r="G1051" s="79"/>
      <c r="H1051" s="79"/>
      <c r="I1051" s="81" t="str">
        <f t="shared" si="16"/>
        <v>56111010N</v>
      </c>
      <c r="J1051" s="79"/>
      <c r="K1051" s="79"/>
      <c r="L1051" s="80" t="s">
        <v>1918</v>
      </c>
      <c r="M1051" s="84">
        <v>2.0</v>
      </c>
      <c r="N1051" s="81"/>
      <c r="O1051" s="81"/>
      <c r="P1051" s="81"/>
      <c r="Q1051" s="81"/>
      <c r="R1051" s="81"/>
      <c r="S1051" s="81"/>
      <c r="T1051" s="81"/>
      <c r="U1051" s="123">
        <v>2.0</v>
      </c>
      <c r="V1051" s="81"/>
      <c r="W1051" s="81"/>
      <c r="X1051" s="81"/>
      <c r="Y1051" s="81"/>
      <c r="Z1051" s="81"/>
      <c r="AA1051" s="79"/>
      <c r="AB1051" s="79"/>
      <c r="AC1051" s="81"/>
      <c r="AD1051" s="81"/>
      <c r="AE1051" s="81"/>
      <c r="AF1051" s="81"/>
      <c r="AG1051" s="81"/>
      <c r="AH1051" s="81"/>
      <c r="AI1051" s="81"/>
      <c r="AJ1051" s="81"/>
      <c r="AK1051" s="81"/>
      <c r="AL1051" s="81"/>
      <c r="AM1051" s="81"/>
      <c r="AN1051" s="81"/>
      <c r="AO1051" s="81"/>
      <c r="AP1051" s="81"/>
      <c r="AQ1051" s="81"/>
      <c r="AR1051" s="81"/>
      <c r="AS1051" s="81"/>
      <c r="AT1051" s="81"/>
      <c r="AU1051" s="81"/>
      <c r="AV1051" s="81"/>
      <c r="AW1051" s="81"/>
      <c r="AX1051" s="81"/>
      <c r="AY1051" s="81"/>
      <c r="AZ1051" s="81"/>
      <c r="BA1051" s="81"/>
      <c r="BB1051" s="81"/>
      <c r="BC1051" s="81"/>
      <c r="BD1051" s="81"/>
      <c r="BE1051" s="81"/>
      <c r="BF1051" s="81"/>
      <c r="BG1051" s="81"/>
      <c r="BH1051" s="81"/>
      <c r="BI1051" s="123">
        <v>222.0</v>
      </c>
      <c r="BJ1051" s="121" t="s">
        <v>1916</v>
      </c>
      <c r="BK1051" s="81"/>
      <c r="BL1051" s="79"/>
      <c r="BM1051" s="81"/>
      <c r="BN1051" s="81"/>
      <c r="BO1051" s="83"/>
      <c r="BP1051" s="116" t="s">
        <v>1913</v>
      </c>
      <c r="BQ1051" s="64"/>
    </row>
    <row r="1052">
      <c r="A1052" s="124">
        <v>5.0</v>
      </c>
      <c r="B1052" s="71" t="s">
        <v>1852</v>
      </c>
      <c r="C1052" s="126" t="s">
        <v>76</v>
      </c>
      <c r="D1052" s="126" t="s">
        <v>198</v>
      </c>
      <c r="E1052" s="79"/>
      <c r="F1052" s="79"/>
      <c r="G1052" s="79"/>
      <c r="H1052" s="79"/>
      <c r="I1052" s="81" t="str">
        <f t="shared" si="16"/>
        <v>56111010P</v>
      </c>
      <c r="J1052" s="79"/>
      <c r="K1052" s="79"/>
      <c r="L1052" s="80" t="s">
        <v>1919</v>
      </c>
      <c r="M1052" s="84">
        <v>2.0</v>
      </c>
      <c r="N1052" s="81"/>
      <c r="O1052" s="81"/>
      <c r="P1052" s="81"/>
      <c r="Q1052" s="81"/>
      <c r="R1052" s="81"/>
      <c r="S1052" s="81"/>
      <c r="T1052" s="81"/>
      <c r="U1052" s="123">
        <v>1.0</v>
      </c>
      <c r="V1052" s="81"/>
      <c r="W1052" s="81"/>
      <c r="X1052" s="81"/>
      <c r="Y1052" s="81"/>
      <c r="Z1052" s="81"/>
      <c r="AA1052" s="79"/>
      <c r="AB1052" s="79"/>
      <c r="AC1052" s="81"/>
      <c r="AD1052" s="81"/>
      <c r="AE1052" s="81"/>
      <c r="AF1052" s="81"/>
      <c r="AG1052" s="81"/>
      <c r="AH1052" s="81"/>
      <c r="AI1052" s="81"/>
      <c r="AJ1052" s="81"/>
      <c r="AK1052" s="81"/>
      <c r="AL1052" s="81"/>
      <c r="AM1052" s="81"/>
      <c r="AN1052" s="81"/>
      <c r="AO1052" s="81"/>
      <c r="AP1052" s="81"/>
      <c r="AQ1052" s="81"/>
      <c r="AR1052" s="81"/>
      <c r="AS1052" s="81"/>
      <c r="AT1052" s="81"/>
      <c r="AU1052" s="81"/>
      <c r="AV1052" s="81"/>
      <c r="AW1052" s="81"/>
      <c r="AX1052" s="81"/>
      <c r="AY1052" s="81"/>
      <c r="AZ1052" s="81"/>
      <c r="BA1052" s="81"/>
      <c r="BB1052" s="81"/>
      <c r="BC1052" s="81"/>
      <c r="BD1052" s="81"/>
      <c r="BE1052" s="81"/>
      <c r="BF1052" s="81"/>
      <c r="BG1052" s="81"/>
      <c r="BH1052" s="121" t="s">
        <v>1857</v>
      </c>
      <c r="BI1052" s="123">
        <v>222.0</v>
      </c>
      <c r="BJ1052" s="121" t="s">
        <v>1920</v>
      </c>
      <c r="BK1052" s="81"/>
      <c r="BL1052" s="79"/>
      <c r="BM1052" s="81"/>
      <c r="BN1052" s="81"/>
      <c r="BO1052" s="83"/>
      <c r="BP1052" s="116" t="s">
        <v>1921</v>
      </c>
      <c r="BQ1052" s="64"/>
    </row>
    <row r="1053">
      <c r="A1053" s="70">
        <v>5.0</v>
      </c>
      <c r="B1053" s="71" t="s">
        <v>1852</v>
      </c>
      <c r="C1053" s="126" t="s">
        <v>76</v>
      </c>
      <c r="D1053" s="126" t="s">
        <v>200</v>
      </c>
      <c r="E1053" s="79"/>
      <c r="F1053" s="79"/>
      <c r="G1053" s="79"/>
      <c r="H1053" s="79"/>
      <c r="I1053" s="81" t="str">
        <f t="shared" si="16"/>
        <v>56111010Q</v>
      </c>
      <c r="J1053" s="79"/>
      <c r="K1053" s="79"/>
      <c r="L1053" s="80" t="s">
        <v>1922</v>
      </c>
      <c r="M1053" s="84">
        <v>2.0</v>
      </c>
      <c r="N1053" s="81"/>
      <c r="O1053" s="81"/>
      <c r="P1053" s="81"/>
      <c r="Q1053" s="81"/>
      <c r="R1053" s="81"/>
      <c r="S1053" s="81"/>
      <c r="T1053" s="81"/>
      <c r="U1053" s="123">
        <v>1.0</v>
      </c>
      <c r="V1053" s="81"/>
      <c r="W1053" s="81"/>
      <c r="X1053" s="81"/>
      <c r="Y1053" s="81"/>
      <c r="Z1053" s="81"/>
      <c r="AA1053" s="79"/>
      <c r="AB1053" s="79"/>
      <c r="AC1053" s="81"/>
      <c r="AD1053" s="81"/>
      <c r="AE1053" s="81"/>
      <c r="AF1053" s="81"/>
      <c r="AG1053" s="81"/>
      <c r="AH1053" s="81"/>
      <c r="AI1053" s="81"/>
      <c r="AJ1053" s="81"/>
      <c r="AK1053" s="81"/>
      <c r="AL1053" s="81"/>
      <c r="AM1053" s="81"/>
      <c r="AN1053" s="81"/>
      <c r="AO1053" s="81"/>
      <c r="AP1053" s="81"/>
      <c r="AQ1053" s="81"/>
      <c r="AR1053" s="81"/>
      <c r="AS1053" s="81"/>
      <c r="AT1053" s="81"/>
      <c r="AU1053" s="81"/>
      <c r="AV1053" s="81"/>
      <c r="AW1053" s="81"/>
      <c r="AX1053" s="81"/>
      <c r="AY1053" s="81"/>
      <c r="AZ1053" s="81"/>
      <c r="BA1053" s="81"/>
      <c r="BB1053" s="81"/>
      <c r="BC1053" s="81"/>
      <c r="BD1053" s="81"/>
      <c r="BE1053" s="81"/>
      <c r="BF1053" s="81"/>
      <c r="BG1053" s="81"/>
      <c r="BH1053" s="121" t="s">
        <v>1857</v>
      </c>
      <c r="BI1053" s="123">
        <v>222.0</v>
      </c>
      <c r="BJ1053" s="121" t="s">
        <v>1923</v>
      </c>
      <c r="BK1053" s="81"/>
      <c r="BL1053" s="79"/>
      <c r="BM1053" s="81"/>
      <c r="BN1053" s="81"/>
      <c r="BO1053" s="83"/>
      <c r="BP1053" s="116" t="s">
        <v>1924</v>
      </c>
      <c r="BQ1053" s="64"/>
    </row>
    <row r="1054">
      <c r="A1054" s="124">
        <v>5.0</v>
      </c>
      <c r="B1054" s="71" t="s">
        <v>1852</v>
      </c>
      <c r="C1054" s="126" t="s">
        <v>76</v>
      </c>
      <c r="D1054" s="126" t="s">
        <v>202</v>
      </c>
      <c r="E1054" s="79"/>
      <c r="F1054" s="79"/>
      <c r="G1054" s="79"/>
      <c r="H1054" s="79"/>
      <c r="I1054" s="81" t="str">
        <f t="shared" si="16"/>
        <v>56111010R</v>
      </c>
      <c r="J1054" s="79"/>
      <c r="K1054" s="79"/>
      <c r="L1054" s="80" t="s">
        <v>1925</v>
      </c>
      <c r="M1054" s="84">
        <v>2.0</v>
      </c>
      <c r="N1054" s="81"/>
      <c r="O1054" s="81"/>
      <c r="P1054" s="81"/>
      <c r="Q1054" s="81"/>
      <c r="R1054" s="81"/>
      <c r="S1054" s="81"/>
      <c r="T1054" s="81"/>
      <c r="U1054" s="123">
        <v>3.0</v>
      </c>
      <c r="V1054" s="81"/>
      <c r="W1054" s="81"/>
      <c r="X1054" s="81"/>
      <c r="Y1054" s="81"/>
      <c r="Z1054" s="81"/>
      <c r="AA1054" s="79"/>
      <c r="AB1054" s="79"/>
      <c r="AC1054" s="81"/>
      <c r="AD1054" s="81"/>
      <c r="AE1054" s="81"/>
      <c r="AF1054" s="81"/>
      <c r="AG1054" s="81"/>
      <c r="AH1054" s="81"/>
      <c r="AI1054" s="81"/>
      <c r="AJ1054" s="81"/>
      <c r="AK1054" s="81"/>
      <c r="AL1054" s="81"/>
      <c r="AM1054" s="81"/>
      <c r="AN1054" s="81"/>
      <c r="AO1054" s="81"/>
      <c r="AP1054" s="81"/>
      <c r="AQ1054" s="81"/>
      <c r="AR1054" s="81"/>
      <c r="AS1054" s="81"/>
      <c r="AT1054" s="81"/>
      <c r="AU1054" s="81"/>
      <c r="AV1054" s="81"/>
      <c r="AW1054" s="81"/>
      <c r="AX1054" s="81"/>
      <c r="AY1054" s="81"/>
      <c r="AZ1054" s="81"/>
      <c r="BA1054" s="81"/>
      <c r="BB1054" s="81"/>
      <c r="BC1054" s="81"/>
      <c r="BD1054" s="81"/>
      <c r="BE1054" s="81"/>
      <c r="BF1054" s="81"/>
      <c r="BG1054" s="81"/>
      <c r="BH1054" s="121" t="s">
        <v>1857</v>
      </c>
      <c r="BI1054" s="123">
        <v>222.0</v>
      </c>
      <c r="BJ1054" s="121" t="s">
        <v>1926</v>
      </c>
      <c r="BK1054" s="81"/>
      <c r="BL1054" s="79"/>
      <c r="BM1054" s="81"/>
      <c r="BN1054" s="81"/>
      <c r="BO1054" s="83"/>
      <c r="BP1054" s="116" t="s">
        <v>1927</v>
      </c>
      <c r="BQ1054" s="64"/>
    </row>
    <row r="1055">
      <c r="A1055" s="70">
        <v>5.0</v>
      </c>
      <c r="B1055" s="71" t="s">
        <v>1852</v>
      </c>
      <c r="C1055" s="126" t="s">
        <v>76</v>
      </c>
      <c r="D1055" s="126" t="s">
        <v>206</v>
      </c>
      <c r="E1055" s="79"/>
      <c r="F1055" s="79"/>
      <c r="G1055" s="79"/>
      <c r="H1055" s="79"/>
      <c r="I1055" s="81" t="str">
        <f t="shared" si="16"/>
        <v>56111010S</v>
      </c>
      <c r="J1055" s="79"/>
      <c r="K1055" s="79"/>
      <c r="L1055" s="80" t="s">
        <v>1928</v>
      </c>
      <c r="M1055" s="84">
        <v>2.0</v>
      </c>
      <c r="N1055" s="81"/>
      <c r="O1055" s="81"/>
      <c r="P1055" s="81"/>
      <c r="Q1055" s="81"/>
      <c r="R1055" s="81"/>
      <c r="S1055" s="81"/>
      <c r="T1055" s="81"/>
      <c r="U1055" s="123">
        <v>1.0</v>
      </c>
      <c r="V1055" s="81"/>
      <c r="W1055" s="81"/>
      <c r="X1055" s="81"/>
      <c r="Y1055" s="81"/>
      <c r="Z1055" s="81"/>
      <c r="AA1055" s="79"/>
      <c r="AB1055" s="79"/>
      <c r="AC1055" s="81"/>
      <c r="AD1055" s="81"/>
      <c r="AE1055" s="81"/>
      <c r="AF1055" s="81"/>
      <c r="AG1055" s="81"/>
      <c r="AH1055" s="81"/>
      <c r="AI1055" s="81"/>
      <c r="AJ1055" s="81"/>
      <c r="AK1055" s="81"/>
      <c r="AL1055" s="81"/>
      <c r="AM1055" s="81"/>
      <c r="AN1055" s="81"/>
      <c r="AO1055" s="81"/>
      <c r="AP1055" s="81"/>
      <c r="AQ1055" s="81"/>
      <c r="AR1055" s="81"/>
      <c r="AS1055" s="81"/>
      <c r="AT1055" s="81"/>
      <c r="AU1055" s="81"/>
      <c r="AV1055" s="81"/>
      <c r="AW1055" s="81"/>
      <c r="AX1055" s="81"/>
      <c r="AY1055" s="81"/>
      <c r="AZ1055" s="81"/>
      <c r="BA1055" s="81"/>
      <c r="BB1055" s="81"/>
      <c r="BC1055" s="81"/>
      <c r="BD1055" s="81"/>
      <c r="BE1055" s="81"/>
      <c r="BF1055" s="81"/>
      <c r="BG1055" s="81"/>
      <c r="BH1055" s="121" t="s">
        <v>1857</v>
      </c>
      <c r="BI1055" s="123">
        <v>222.0</v>
      </c>
      <c r="BJ1055" s="121" t="s">
        <v>1929</v>
      </c>
      <c r="BK1055" s="81"/>
      <c r="BL1055" s="79"/>
      <c r="BM1055" s="81"/>
      <c r="BN1055" s="81"/>
      <c r="BO1055" s="83"/>
      <c r="BP1055" s="116" t="s">
        <v>1930</v>
      </c>
      <c r="BQ1055" s="64"/>
    </row>
    <row r="1056">
      <c r="A1056" s="124">
        <v>5.0</v>
      </c>
      <c r="B1056" s="71" t="s">
        <v>1852</v>
      </c>
      <c r="C1056" s="126" t="s">
        <v>76</v>
      </c>
      <c r="D1056" s="126" t="s">
        <v>211</v>
      </c>
      <c r="E1056" s="79"/>
      <c r="F1056" s="79"/>
      <c r="G1056" s="79"/>
      <c r="H1056" s="79"/>
      <c r="I1056" s="81" t="str">
        <f t="shared" si="16"/>
        <v>56111010T</v>
      </c>
      <c r="J1056" s="79"/>
      <c r="K1056" s="79"/>
      <c r="L1056" s="80" t="s">
        <v>1931</v>
      </c>
      <c r="M1056" s="84">
        <v>2.0</v>
      </c>
      <c r="N1056" s="81"/>
      <c r="O1056" s="81"/>
      <c r="P1056" s="123">
        <v>329785.0</v>
      </c>
      <c r="Q1056" s="81"/>
      <c r="R1056" s="81"/>
      <c r="S1056" s="81"/>
      <c r="T1056" s="81"/>
      <c r="U1056" s="123">
        <v>1.0</v>
      </c>
      <c r="V1056" s="81"/>
      <c r="W1056" s="81"/>
      <c r="X1056" s="81"/>
      <c r="Y1056" s="81"/>
      <c r="Z1056" s="81"/>
      <c r="AA1056" s="79"/>
      <c r="AB1056" s="79"/>
      <c r="AC1056" s="81"/>
      <c r="AD1056" s="81"/>
      <c r="AE1056" s="81"/>
      <c r="AF1056" s="81"/>
      <c r="AG1056" s="81"/>
      <c r="AH1056" s="81"/>
      <c r="AI1056" s="81"/>
      <c r="AJ1056" s="81"/>
      <c r="AK1056" s="81"/>
      <c r="AL1056" s="81"/>
      <c r="AM1056" s="81"/>
      <c r="AN1056" s="81"/>
      <c r="AO1056" s="81"/>
      <c r="AP1056" s="81"/>
      <c r="AQ1056" s="81"/>
      <c r="AR1056" s="81"/>
      <c r="AS1056" s="81"/>
      <c r="AT1056" s="81"/>
      <c r="AU1056" s="81"/>
      <c r="AV1056" s="81"/>
      <c r="AW1056" s="81"/>
      <c r="AX1056" s="81"/>
      <c r="AY1056" s="81"/>
      <c r="AZ1056" s="81"/>
      <c r="BA1056" s="81"/>
      <c r="BB1056" s="81"/>
      <c r="BC1056" s="81"/>
      <c r="BD1056" s="81"/>
      <c r="BE1056" s="81"/>
      <c r="BF1056" s="81"/>
      <c r="BG1056" s="81"/>
      <c r="BH1056" s="121" t="s">
        <v>1857</v>
      </c>
      <c r="BI1056" s="123">
        <v>250.0</v>
      </c>
      <c r="BJ1056" s="121" t="s">
        <v>1932</v>
      </c>
      <c r="BK1056" s="123" t="s">
        <v>1933</v>
      </c>
      <c r="BL1056" s="79"/>
      <c r="BM1056" s="81"/>
      <c r="BN1056" s="81"/>
      <c r="BO1056" s="83"/>
      <c r="BP1056" s="58"/>
      <c r="BQ1056" s="64"/>
    </row>
    <row r="1057">
      <c r="A1057" s="70">
        <v>5.0</v>
      </c>
      <c r="B1057" s="71" t="s">
        <v>1852</v>
      </c>
      <c r="C1057" s="126" t="s">
        <v>76</v>
      </c>
      <c r="D1057" s="126" t="s">
        <v>215</v>
      </c>
      <c r="E1057" s="79"/>
      <c r="F1057" s="79"/>
      <c r="G1057" s="79"/>
      <c r="H1057" s="79"/>
      <c r="I1057" s="81" t="str">
        <f t="shared" si="16"/>
        <v>56111010U</v>
      </c>
      <c r="J1057" s="79"/>
      <c r="K1057" s="79"/>
      <c r="L1057" s="80" t="s">
        <v>1934</v>
      </c>
      <c r="M1057" s="84">
        <v>2.0</v>
      </c>
      <c r="N1057" s="81"/>
      <c r="O1057" s="81"/>
      <c r="P1057" s="123">
        <v>8100272.0</v>
      </c>
      <c r="Q1057" s="81"/>
      <c r="R1057" s="81"/>
      <c r="S1057" s="81"/>
      <c r="T1057" s="81"/>
      <c r="U1057" s="123">
        <v>1.0</v>
      </c>
      <c r="V1057" s="81"/>
      <c r="W1057" s="81"/>
      <c r="X1057" s="81"/>
      <c r="Y1057" s="81"/>
      <c r="Z1057" s="81"/>
      <c r="AA1057" s="79"/>
      <c r="AB1057" s="79"/>
      <c r="AC1057" s="81"/>
      <c r="AD1057" s="81"/>
      <c r="AE1057" s="81"/>
      <c r="AF1057" s="81"/>
      <c r="AG1057" s="81"/>
      <c r="AH1057" s="81"/>
      <c r="AI1057" s="81"/>
      <c r="AJ1057" s="81"/>
      <c r="AK1057" s="81"/>
      <c r="AL1057" s="81"/>
      <c r="AM1057" s="81"/>
      <c r="AN1057" s="81"/>
      <c r="AO1057" s="81"/>
      <c r="AP1057" s="81"/>
      <c r="AQ1057" s="81"/>
      <c r="AR1057" s="81"/>
      <c r="AS1057" s="81"/>
      <c r="AT1057" s="81"/>
      <c r="AU1057" s="81"/>
      <c r="AV1057" s="81"/>
      <c r="AW1057" s="81"/>
      <c r="AX1057" s="81"/>
      <c r="AY1057" s="81"/>
      <c r="AZ1057" s="81"/>
      <c r="BA1057" s="81"/>
      <c r="BB1057" s="81"/>
      <c r="BC1057" s="81"/>
      <c r="BD1057" s="81"/>
      <c r="BE1057" s="81"/>
      <c r="BF1057" s="81"/>
      <c r="BG1057" s="81"/>
      <c r="BH1057" s="121" t="s">
        <v>1857</v>
      </c>
      <c r="BI1057" s="123">
        <v>252.0</v>
      </c>
      <c r="BJ1057" s="121" t="s">
        <v>1935</v>
      </c>
      <c r="BK1057" s="123" t="s">
        <v>1936</v>
      </c>
      <c r="BL1057" s="79"/>
      <c r="BM1057" s="81"/>
      <c r="BN1057" s="81"/>
      <c r="BO1057" s="83"/>
      <c r="BP1057" s="58"/>
      <c r="BQ1057" s="64"/>
    </row>
    <row r="1058">
      <c r="A1058" s="124">
        <v>5.0</v>
      </c>
      <c r="B1058" s="71" t="s">
        <v>1852</v>
      </c>
      <c r="C1058" s="126" t="s">
        <v>76</v>
      </c>
      <c r="D1058" s="126" t="s">
        <v>581</v>
      </c>
      <c r="E1058" s="79"/>
      <c r="F1058" s="79"/>
      <c r="G1058" s="79"/>
      <c r="H1058" s="79"/>
      <c r="I1058" s="81" t="str">
        <f t="shared" si="16"/>
        <v>56111010V</v>
      </c>
      <c r="J1058" s="79"/>
      <c r="K1058" s="79"/>
      <c r="L1058" s="80" t="s">
        <v>1937</v>
      </c>
      <c r="M1058" s="84">
        <v>2.0</v>
      </c>
      <c r="N1058" s="81"/>
      <c r="O1058" s="81"/>
      <c r="P1058" s="81"/>
      <c r="Q1058" s="81"/>
      <c r="R1058" s="81"/>
      <c r="S1058" s="81"/>
      <c r="T1058" s="81"/>
      <c r="U1058" s="123">
        <v>1.0</v>
      </c>
      <c r="V1058" s="81"/>
      <c r="W1058" s="81"/>
      <c r="X1058" s="81"/>
      <c r="Y1058" s="81"/>
      <c r="Z1058" s="81"/>
      <c r="AA1058" s="79"/>
      <c r="AB1058" s="79"/>
      <c r="AC1058" s="81"/>
      <c r="AD1058" s="81"/>
      <c r="AE1058" s="81"/>
      <c r="AF1058" s="81"/>
      <c r="AG1058" s="81"/>
      <c r="AH1058" s="81"/>
      <c r="AI1058" s="81"/>
      <c r="AJ1058" s="81"/>
      <c r="AK1058" s="81"/>
      <c r="AL1058" s="81"/>
      <c r="AM1058" s="81"/>
      <c r="AN1058" s="81"/>
      <c r="AO1058" s="81"/>
      <c r="AP1058" s="81"/>
      <c r="AQ1058" s="81"/>
      <c r="AR1058" s="81"/>
      <c r="AS1058" s="81"/>
      <c r="AT1058" s="81"/>
      <c r="AU1058" s="81"/>
      <c r="AV1058" s="81"/>
      <c r="AW1058" s="81"/>
      <c r="AX1058" s="81"/>
      <c r="AY1058" s="81"/>
      <c r="AZ1058" s="81"/>
      <c r="BA1058" s="81"/>
      <c r="BB1058" s="81"/>
      <c r="BC1058" s="81"/>
      <c r="BD1058" s="81"/>
      <c r="BE1058" s="81"/>
      <c r="BF1058" s="81"/>
      <c r="BG1058" s="81"/>
      <c r="BH1058" s="121" t="s">
        <v>1857</v>
      </c>
      <c r="BI1058" s="123">
        <v>254.0</v>
      </c>
      <c r="BJ1058" s="121" t="s">
        <v>1938</v>
      </c>
      <c r="BK1058" s="123" t="s">
        <v>1939</v>
      </c>
      <c r="BL1058" s="79"/>
      <c r="BM1058" s="81"/>
      <c r="BN1058" s="81"/>
      <c r="BO1058" s="83"/>
      <c r="BP1058" s="58"/>
      <c r="BQ1058" s="64"/>
    </row>
    <row r="1059">
      <c r="A1059" s="70">
        <v>5.0</v>
      </c>
      <c r="B1059" s="71" t="s">
        <v>1852</v>
      </c>
      <c r="C1059" s="126" t="s">
        <v>76</v>
      </c>
      <c r="D1059" s="126" t="s">
        <v>583</v>
      </c>
      <c r="E1059" s="79"/>
      <c r="F1059" s="79"/>
      <c r="G1059" s="79"/>
      <c r="H1059" s="79"/>
      <c r="I1059" s="81" t="str">
        <f t="shared" si="16"/>
        <v>56111010W</v>
      </c>
      <c r="J1059" s="79"/>
      <c r="K1059" s="79"/>
      <c r="L1059" s="80" t="s">
        <v>1940</v>
      </c>
      <c r="M1059" s="84">
        <v>2.0</v>
      </c>
      <c r="N1059" s="81"/>
      <c r="O1059" s="81"/>
      <c r="P1059" s="123">
        <v>333346.0</v>
      </c>
      <c r="Q1059" s="81"/>
      <c r="R1059" s="81"/>
      <c r="S1059" s="81"/>
      <c r="T1059" s="81"/>
      <c r="U1059" s="123">
        <v>1.0</v>
      </c>
      <c r="V1059" s="81"/>
      <c r="W1059" s="81"/>
      <c r="X1059" s="81"/>
      <c r="Y1059" s="81"/>
      <c r="Z1059" s="81"/>
      <c r="AA1059" s="79"/>
      <c r="AB1059" s="79"/>
      <c r="AC1059" s="81"/>
      <c r="AD1059" s="81"/>
      <c r="AE1059" s="81"/>
      <c r="AF1059" s="81"/>
      <c r="AG1059" s="81"/>
      <c r="AH1059" s="81"/>
      <c r="AI1059" s="81"/>
      <c r="AJ1059" s="81"/>
      <c r="AK1059" s="81"/>
      <c r="AL1059" s="81"/>
      <c r="AM1059" s="81"/>
      <c r="AN1059" s="81"/>
      <c r="AO1059" s="81"/>
      <c r="AP1059" s="81"/>
      <c r="AQ1059" s="81"/>
      <c r="AR1059" s="81"/>
      <c r="AS1059" s="81"/>
      <c r="AT1059" s="81"/>
      <c r="AU1059" s="81"/>
      <c r="AV1059" s="81"/>
      <c r="AW1059" s="81"/>
      <c r="AX1059" s="81"/>
      <c r="AY1059" s="81"/>
      <c r="AZ1059" s="81"/>
      <c r="BA1059" s="81"/>
      <c r="BB1059" s="81"/>
      <c r="BC1059" s="81"/>
      <c r="BD1059" s="81"/>
      <c r="BE1059" s="81"/>
      <c r="BF1059" s="81"/>
      <c r="BG1059" s="81"/>
      <c r="BH1059" s="121" t="s">
        <v>1857</v>
      </c>
      <c r="BI1059" s="123">
        <v>256.0</v>
      </c>
      <c r="BJ1059" s="121" t="s">
        <v>1941</v>
      </c>
      <c r="BK1059" s="123" t="s">
        <v>1942</v>
      </c>
      <c r="BL1059" s="79"/>
      <c r="BM1059" s="81"/>
      <c r="BN1059" s="81"/>
      <c r="BO1059" s="83"/>
      <c r="BP1059" s="58"/>
      <c r="BQ1059" s="64"/>
    </row>
    <row r="1060">
      <c r="A1060" s="124">
        <v>5.0</v>
      </c>
      <c r="B1060" s="71" t="s">
        <v>1852</v>
      </c>
      <c r="C1060" s="126" t="s">
        <v>76</v>
      </c>
      <c r="D1060" s="126" t="s">
        <v>585</v>
      </c>
      <c r="E1060" s="79"/>
      <c r="F1060" s="79"/>
      <c r="G1060" s="79"/>
      <c r="H1060" s="79"/>
      <c r="I1060" s="81" t="str">
        <f t="shared" si="16"/>
        <v>56111010X</v>
      </c>
      <c r="J1060" s="79"/>
      <c r="K1060" s="79"/>
      <c r="L1060" s="80" t="s">
        <v>1943</v>
      </c>
      <c r="M1060" s="84">
        <v>2.0</v>
      </c>
      <c r="N1060" s="81"/>
      <c r="O1060" s="81"/>
      <c r="P1060" s="123" t="s">
        <v>1944</v>
      </c>
      <c r="Q1060" s="81"/>
      <c r="R1060" s="81"/>
      <c r="S1060" s="81"/>
      <c r="T1060" s="81"/>
      <c r="U1060" s="123">
        <v>1.0</v>
      </c>
      <c r="V1060" s="81"/>
      <c r="W1060" s="123" t="s">
        <v>160</v>
      </c>
      <c r="X1060" s="81"/>
      <c r="Y1060" s="81"/>
      <c r="Z1060" s="81"/>
      <c r="AA1060" s="79"/>
      <c r="AB1060" s="79"/>
      <c r="AC1060" s="81"/>
      <c r="AD1060" s="81"/>
      <c r="AE1060" s="81"/>
      <c r="AF1060" s="81"/>
      <c r="AG1060" s="81"/>
      <c r="AH1060" s="81"/>
      <c r="AI1060" s="81"/>
      <c r="AJ1060" s="81"/>
      <c r="AK1060" s="81"/>
      <c r="AL1060" s="81"/>
      <c r="AM1060" s="81"/>
      <c r="AN1060" s="81"/>
      <c r="AO1060" s="81"/>
      <c r="AP1060" s="81"/>
      <c r="AQ1060" s="81"/>
      <c r="AR1060" s="81"/>
      <c r="AS1060" s="81"/>
      <c r="AT1060" s="81"/>
      <c r="AU1060" s="81"/>
      <c r="AV1060" s="81"/>
      <c r="AW1060" s="81"/>
      <c r="AX1060" s="81"/>
      <c r="AY1060" s="81"/>
      <c r="AZ1060" s="81"/>
      <c r="BA1060" s="81"/>
      <c r="BB1060" s="81"/>
      <c r="BC1060" s="81"/>
      <c r="BD1060" s="81"/>
      <c r="BE1060" s="81"/>
      <c r="BF1060" s="81"/>
      <c r="BG1060" s="81"/>
      <c r="BH1060" s="121" t="s">
        <v>1857</v>
      </c>
      <c r="BI1060" s="123">
        <v>257.0</v>
      </c>
      <c r="BJ1060" s="121" t="s">
        <v>1945</v>
      </c>
      <c r="BK1060" s="81"/>
      <c r="BL1060" s="79"/>
      <c r="BM1060" s="81"/>
      <c r="BN1060" s="81"/>
      <c r="BO1060" s="83"/>
      <c r="BP1060" s="58"/>
      <c r="BQ1060" s="64"/>
    </row>
    <row r="1061">
      <c r="A1061" s="70">
        <v>5.0</v>
      </c>
      <c r="B1061" s="71" t="s">
        <v>1852</v>
      </c>
      <c r="C1061" s="126" t="s">
        <v>76</v>
      </c>
      <c r="D1061" s="126" t="s">
        <v>587</v>
      </c>
      <c r="E1061" s="79"/>
      <c r="F1061" s="79"/>
      <c r="G1061" s="79"/>
      <c r="H1061" s="79"/>
      <c r="I1061" s="81" t="str">
        <f t="shared" si="16"/>
        <v>56111010Y</v>
      </c>
      <c r="J1061" s="79"/>
      <c r="K1061" s="79"/>
      <c r="L1061" s="80" t="s">
        <v>1946</v>
      </c>
      <c r="M1061" s="84">
        <v>2.0</v>
      </c>
      <c r="N1061" s="81"/>
      <c r="O1061" s="81"/>
      <c r="P1061" s="81"/>
      <c r="Q1061" s="81"/>
      <c r="R1061" s="81"/>
      <c r="S1061" s="81"/>
      <c r="T1061" s="81"/>
      <c r="U1061" s="123">
        <v>1.0</v>
      </c>
      <c r="V1061" s="81"/>
      <c r="W1061" s="81"/>
      <c r="X1061" s="81"/>
      <c r="Y1061" s="81"/>
      <c r="Z1061" s="81"/>
      <c r="AA1061" s="79"/>
      <c r="AB1061" s="79"/>
      <c r="AC1061" s="81"/>
      <c r="AD1061" s="81"/>
      <c r="AE1061" s="81"/>
      <c r="AF1061" s="81"/>
      <c r="AG1061" s="81"/>
      <c r="AH1061" s="81"/>
      <c r="AI1061" s="81"/>
      <c r="AJ1061" s="81"/>
      <c r="AK1061" s="81"/>
      <c r="AL1061" s="81"/>
      <c r="AM1061" s="81"/>
      <c r="AN1061" s="81"/>
      <c r="AO1061" s="81"/>
      <c r="AP1061" s="81"/>
      <c r="AQ1061" s="81"/>
      <c r="AR1061" s="81"/>
      <c r="AS1061" s="81"/>
      <c r="AT1061" s="81"/>
      <c r="AU1061" s="81"/>
      <c r="AV1061" s="81"/>
      <c r="AW1061" s="81"/>
      <c r="AX1061" s="81"/>
      <c r="AY1061" s="81"/>
      <c r="AZ1061" s="81"/>
      <c r="BA1061" s="81"/>
      <c r="BB1061" s="81"/>
      <c r="BC1061" s="81"/>
      <c r="BD1061" s="81"/>
      <c r="BE1061" s="81"/>
      <c r="BF1061" s="81"/>
      <c r="BG1061" s="81"/>
      <c r="BH1061" s="121" t="s">
        <v>1857</v>
      </c>
      <c r="BI1061" s="123">
        <v>265.0</v>
      </c>
      <c r="BJ1061" s="121" t="s">
        <v>1947</v>
      </c>
      <c r="BK1061" s="81"/>
      <c r="BL1061" s="79"/>
      <c r="BM1061" s="81"/>
      <c r="BN1061" s="81"/>
      <c r="BO1061" s="83"/>
      <c r="BP1061" s="58"/>
      <c r="BQ1061" s="64"/>
    </row>
    <row r="1062">
      <c r="A1062" s="124">
        <v>5.0</v>
      </c>
      <c r="B1062" s="71" t="s">
        <v>1852</v>
      </c>
      <c r="C1062" s="126" t="s">
        <v>76</v>
      </c>
      <c r="D1062" s="126" t="s">
        <v>589</v>
      </c>
      <c r="E1062" s="79"/>
      <c r="F1062" s="79"/>
      <c r="G1062" s="79"/>
      <c r="H1062" s="79"/>
      <c r="I1062" s="81" t="str">
        <f t="shared" si="16"/>
        <v>56111010Z</v>
      </c>
      <c r="J1062" s="79"/>
      <c r="K1062" s="79"/>
      <c r="L1062" s="80" t="s">
        <v>1948</v>
      </c>
      <c r="M1062" s="84">
        <v>2.0</v>
      </c>
      <c r="N1062" s="81"/>
      <c r="O1062" s="81"/>
      <c r="P1062" s="81"/>
      <c r="Q1062" s="81"/>
      <c r="R1062" s="81"/>
      <c r="S1062" s="81"/>
      <c r="T1062" s="81"/>
      <c r="U1062" s="123">
        <v>1.0</v>
      </c>
      <c r="V1062" s="81"/>
      <c r="W1062" s="81"/>
      <c r="X1062" s="81"/>
      <c r="Y1062" s="81"/>
      <c r="Z1062" s="81"/>
      <c r="AA1062" s="79"/>
      <c r="AB1062" s="79"/>
      <c r="AC1062" s="81"/>
      <c r="AD1062" s="81"/>
      <c r="AE1062" s="81"/>
      <c r="AF1062" s="81"/>
      <c r="AG1062" s="81"/>
      <c r="AH1062" s="81"/>
      <c r="AI1062" s="81"/>
      <c r="AJ1062" s="81"/>
      <c r="AK1062" s="81"/>
      <c r="AL1062" s="81"/>
      <c r="AM1062" s="81"/>
      <c r="AN1062" s="81"/>
      <c r="AO1062" s="81"/>
      <c r="AP1062" s="81"/>
      <c r="AQ1062" s="81"/>
      <c r="AR1062" s="81"/>
      <c r="AS1062" s="81"/>
      <c r="AT1062" s="81"/>
      <c r="AU1062" s="81"/>
      <c r="AV1062" s="81"/>
      <c r="AW1062" s="81"/>
      <c r="AX1062" s="81"/>
      <c r="AY1062" s="81"/>
      <c r="AZ1062" s="81"/>
      <c r="BA1062" s="81"/>
      <c r="BB1062" s="81"/>
      <c r="BC1062" s="81"/>
      <c r="BD1062" s="81"/>
      <c r="BE1062" s="81"/>
      <c r="BF1062" s="81"/>
      <c r="BG1062" s="81"/>
      <c r="BH1062" s="121" t="s">
        <v>1857</v>
      </c>
      <c r="BI1062" s="123">
        <v>224.0</v>
      </c>
      <c r="BJ1062" s="121" t="s">
        <v>1949</v>
      </c>
      <c r="BK1062" s="81"/>
      <c r="BL1062" s="79"/>
      <c r="BM1062" s="81"/>
      <c r="BN1062" s="81"/>
      <c r="BO1062" s="83"/>
      <c r="BP1062" s="116" t="s">
        <v>1950</v>
      </c>
      <c r="BQ1062" s="64"/>
    </row>
    <row r="1063">
      <c r="A1063" s="70">
        <v>5.0</v>
      </c>
      <c r="B1063" s="71" t="s">
        <v>1852</v>
      </c>
      <c r="C1063" s="126" t="s">
        <v>76</v>
      </c>
      <c r="D1063" s="126" t="s">
        <v>593</v>
      </c>
      <c r="E1063" s="79"/>
      <c r="F1063" s="79"/>
      <c r="G1063" s="79"/>
      <c r="H1063" s="79"/>
      <c r="I1063" s="81" t="str">
        <f t="shared" si="16"/>
        <v>561110111</v>
      </c>
      <c r="J1063" s="79"/>
      <c r="K1063" s="79"/>
      <c r="L1063" s="80" t="s">
        <v>1951</v>
      </c>
      <c r="M1063" s="84">
        <v>2.0</v>
      </c>
      <c r="N1063" s="81"/>
      <c r="O1063" s="81"/>
      <c r="P1063" s="81"/>
      <c r="Q1063" s="81"/>
      <c r="R1063" s="81"/>
      <c r="S1063" s="81"/>
      <c r="T1063" s="81"/>
      <c r="U1063" s="123">
        <v>2.0</v>
      </c>
      <c r="V1063" s="81"/>
      <c r="W1063" s="81"/>
      <c r="X1063" s="81"/>
      <c r="Y1063" s="81"/>
      <c r="Z1063" s="81"/>
      <c r="AA1063" s="79"/>
      <c r="AB1063" s="79"/>
      <c r="AC1063" s="81"/>
      <c r="AD1063" s="81"/>
      <c r="AE1063" s="81"/>
      <c r="AF1063" s="81"/>
      <c r="AG1063" s="81"/>
      <c r="AH1063" s="81"/>
      <c r="AI1063" s="81"/>
      <c r="AJ1063" s="81"/>
      <c r="AK1063" s="81"/>
      <c r="AL1063" s="81"/>
      <c r="AM1063" s="81"/>
      <c r="AN1063" s="81"/>
      <c r="AO1063" s="81"/>
      <c r="AP1063" s="81"/>
      <c r="AQ1063" s="81"/>
      <c r="AR1063" s="81"/>
      <c r="AS1063" s="81"/>
      <c r="AT1063" s="81"/>
      <c r="AU1063" s="81"/>
      <c r="AV1063" s="81"/>
      <c r="AW1063" s="81"/>
      <c r="AX1063" s="81"/>
      <c r="AY1063" s="81"/>
      <c r="AZ1063" s="81"/>
      <c r="BA1063" s="81"/>
      <c r="BB1063" s="81"/>
      <c r="BC1063" s="81"/>
      <c r="BD1063" s="81"/>
      <c r="BE1063" s="81"/>
      <c r="BF1063" s="81"/>
      <c r="BG1063" s="81"/>
      <c r="BH1063" s="121" t="s">
        <v>1857</v>
      </c>
      <c r="BI1063" s="123">
        <v>224.0</v>
      </c>
      <c r="BJ1063" s="121" t="s">
        <v>1949</v>
      </c>
      <c r="BK1063" s="81"/>
      <c r="BL1063" s="79"/>
      <c r="BM1063" s="81"/>
      <c r="BN1063" s="81"/>
      <c r="BO1063" s="83"/>
      <c r="BP1063" s="116" t="s">
        <v>1950</v>
      </c>
      <c r="BQ1063" s="64"/>
    </row>
    <row r="1064">
      <c r="A1064" s="124">
        <v>5.0</v>
      </c>
      <c r="B1064" s="71" t="s">
        <v>1852</v>
      </c>
      <c r="C1064" s="126" t="s">
        <v>76</v>
      </c>
      <c r="D1064" s="126" t="s">
        <v>595</v>
      </c>
      <c r="E1064" s="79"/>
      <c r="F1064" s="79"/>
      <c r="G1064" s="79"/>
      <c r="H1064" s="79"/>
      <c r="I1064" s="81" t="str">
        <f t="shared" si="16"/>
        <v>561110112</v>
      </c>
      <c r="J1064" s="79"/>
      <c r="K1064" s="79"/>
      <c r="L1064" s="80" t="s">
        <v>1952</v>
      </c>
      <c r="M1064" s="84">
        <v>2.0</v>
      </c>
      <c r="N1064" s="81"/>
      <c r="O1064" s="81"/>
      <c r="P1064" s="81"/>
      <c r="Q1064" s="81"/>
      <c r="R1064" s="81"/>
      <c r="S1064" s="81"/>
      <c r="T1064" s="81"/>
      <c r="U1064" s="123">
        <v>1.0</v>
      </c>
      <c r="V1064" s="81"/>
      <c r="W1064" s="81"/>
      <c r="X1064" s="81"/>
      <c r="Y1064" s="81"/>
      <c r="Z1064" s="81"/>
      <c r="AA1064" s="79"/>
      <c r="AB1064" s="79"/>
      <c r="AC1064" s="81"/>
      <c r="AD1064" s="81"/>
      <c r="AE1064" s="81"/>
      <c r="AF1064" s="81"/>
      <c r="AG1064" s="81"/>
      <c r="AH1064" s="81"/>
      <c r="AI1064" s="81"/>
      <c r="AJ1064" s="81"/>
      <c r="AK1064" s="81"/>
      <c r="AL1064" s="81"/>
      <c r="AM1064" s="81"/>
      <c r="AN1064" s="81"/>
      <c r="AO1064" s="81"/>
      <c r="AP1064" s="81"/>
      <c r="AQ1064" s="81"/>
      <c r="AR1064" s="81"/>
      <c r="AS1064" s="81"/>
      <c r="AT1064" s="81"/>
      <c r="AU1064" s="81"/>
      <c r="AV1064" s="81"/>
      <c r="AW1064" s="81"/>
      <c r="AX1064" s="81"/>
      <c r="AY1064" s="81"/>
      <c r="AZ1064" s="81"/>
      <c r="BA1064" s="81"/>
      <c r="BB1064" s="81"/>
      <c r="BC1064" s="81"/>
      <c r="BD1064" s="81"/>
      <c r="BE1064" s="81"/>
      <c r="BF1064" s="81"/>
      <c r="BG1064" s="81"/>
      <c r="BH1064" s="121" t="s">
        <v>1857</v>
      </c>
      <c r="BI1064" s="123">
        <v>267.0</v>
      </c>
      <c r="BJ1064" s="121" t="s">
        <v>1953</v>
      </c>
      <c r="BK1064" s="81"/>
      <c r="BL1064" s="79"/>
      <c r="BM1064" s="81"/>
      <c r="BN1064" s="81"/>
      <c r="BO1064" s="83"/>
      <c r="BP1064" s="58"/>
      <c r="BQ1064" s="64"/>
    </row>
    <row r="1065">
      <c r="A1065" s="70">
        <v>5.0</v>
      </c>
      <c r="B1065" s="71" t="s">
        <v>1852</v>
      </c>
      <c r="C1065" s="126" t="s">
        <v>76</v>
      </c>
      <c r="D1065" s="126" t="s">
        <v>597</v>
      </c>
      <c r="E1065" s="79"/>
      <c r="F1065" s="79"/>
      <c r="G1065" s="79"/>
      <c r="H1065" s="79"/>
      <c r="I1065" s="81" t="str">
        <f t="shared" si="16"/>
        <v>561110113</v>
      </c>
      <c r="J1065" s="79"/>
      <c r="K1065" s="79"/>
      <c r="L1065" s="80" t="s">
        <v>1948</v>
      </c>
      <c r="M1065" s="153">
        <v>2.0</v>
      </c>
      <c r="N1065" s="155"/>
      <c r="O1065" s="81"/>
      <c r="P1065" s="81"/>
      <c r="Q1065" s="81"/>
      <c r="R1065" s="81"/>
      <c r="S1065" s="81"/>
      <c r="T1065" s="81"/>
      <c r="U1065" s="123">
        <v>1.0</v>
      </c>
      <c r="V1065" s="81"/>
      <c r="W1065" s="81"/>
      <c r="X1065" s="81"/>
      <c r="Y1065" s="81"/>
      <c r="Z1065" s="81"/>
      <c r="AA1065" s="79"/>
      <c r="AB1065" s="79"/>
      <c r="AC1065" s="81"/>
      <c r="AD1065" s="81"/>
      <c r="AE1065" s="81"/>
      <c r="AF1065" s="81"/>
      <c r="AG1065" s="81"/>
      <c r="AH1065" s="81"/>
      <c r="AI1065" s="81"/>
      <c r="AJ1065" s="81"/>
      <c r="AK1065" s="81"/>
      <c r="AL1065" s="81"/>
      <c r="AM1065" s="81"/>
      <c r="AN1065" s="81"/>
      <c r="AO1065" s="81"/>
      <c r="AP1065" s="81"/>
      <c r="AQ1065" s="81"/>
      <c r="AR1065" s="81"/>
      <c r="AS1065" s="81"/>
      <c r="AT1065" s="81"/>
      <c r="AU1065" s="81"/>
      <c r="AV1065" s="81"/>
      <c r="AW1065" s="81"/>
      <c r="AX1065" s="81"/>
      <c r="AY1065" s="81"/>
      <c r="AZ1065" s="81"/>
      <c r="BA1065" s="81"/>
      <c r="BB1065" s="81"/>
      <c r="BC1065" s="81"/>
      <c r="BD1065" s="81"/>
      <c r="BE1065" s="81"/>
      <c r="BF1065" s="81"/>
      <c r="BG1065" s="81"/>
      <c r="BH1065" s="121" t="s">
        <v>1857</v>
      </c>
      <c r="BI1065" s="123">
        <v>224.0</v>
      </c>
      <c r="BJ1065" s="121" t="s">
        <v>1949</v>
      </c>
      <c r="BK1065" s="81"/>
      <c r="BL1065" s="79"/>
      <c r="BM1065" s="81"/>
      <c r="BN1065" s="81"/>
      <c r="BO1065" s="83"/>
      <c r="BP1065" s="116" t="s">
        <v>1950</v>
      </c>
      <c r="BQ1065" s="64"/>
    </row>
    <row r="1066">
      <c r="A1066" s="124">
        <v>5.0</v>
      </c>
      <c r="B1066" s="71" t="s">
        <v>1852</v>
      </c>
      <c r="C1066" s="126" t="s">
        <v>76</v>
      </c>
      <c r="D1066" s="126" t="s">
        <v>599</v>
      </c>
      <c r="E1066" s="79"/>
      <c r="F1066" s="79"/>
      <c r="G1066" s="79"/>
      <c r="H1066" s="79"/>
      <c r="I1066" s="81" t="str">
        <f t="shared" si="16"/>
        <v>561110114</v>
      </c>
      <c r="J1066" s="79"/>
      <c r="K1066" s="79"/>
      <c r="L1066" s="59" t="s">
        <v>1954</v>
      </c>
      <c r="M1066" s="153">
        <v>2.0</v>
      </c>
      <c r="N1066" s="155"/>
      <c r="O1066" s="81"/>
      <c r="P1066" s="81"/>
      <c r="Q1066" s="81"/>
      <c r="R1066" s="81"/>
      <c r="S1066" s="81"/>
      <c r="T1066" s="81"/>
      <c r="U1066" s="123">
        <v>1.0</v>
      </c>
      <c r="V1066" s="81"/>
      <c r="W1066" s="81"/>
      <c r="X1066" s="81"/>
      <c r="Y1066" s="81"/>
      <c r="Z1066" s="81"/>
      <c r="AA1066" s="79"/>
      <c r="AB1066" s="79"/>
      <c r="AC1066" s="81"/>
      <c r="AD1066" s="81"/>
      <c r="AE1066" s="81"/>
      <c r="AF1066" s="81"/>
      <c r="AG1066" s="81"/>
      <c r="AH1066" s="81"/>
      <c r="AI1066" s="81"/>
      <c r="AJ1066" s="81"/>
      <c r="AK1066" s="81"/>
      <c r="AL1066" s="81"/>
      <c r="AM1066" s="81"/>
      <c r="AN1066" s="81"/>
      <c r="AO1066" s="81"/>
      <c r="AP1066" s="81"/>
      <c r="AQ1066" s="81"/>
      <c r="AR1066" s="81"/>
      <c r="AS1066" s="81"/>
      <c r="AT1066" s="81"/>
      <c r="AU1066" s="81"/>
      <c r="AV1066" s="81"/>
      <c r="AW1066" s="81"/>
      <c r="AX1066" s="81"/>
      <c r="AY1066" s="81"/>
      <c r="AZ1066" s="81"/>
      <c r="BA1066" s="81"/>
      <c r="BB1066" s="81"/>
      <c r="BC1066" s="81"/>
      <c r="BD1066" s="81"/>
      <c r="BE1066" s="81"/>
      <c r="BF1066" s="81"/>
      <c r="BG1066" s="81"/>
      <c r="BH1066" s="81"/>
      <c r="BI1066" s="81"/>
      <c r="BJ1066" s="81"/>
      <c r="BK1066" s="81"/>
      <c r="BL1066" s="79"/>
      <c r="BM1066" s="81"/>
      <c r="BN1066" s="81"/>
      <c r="BO1066" s="83"/>
      <c r="BP1066" s="116" t="s">
        <v>1955</v>
      </c>
      <c r="BQ1066" s="64"/>
    </row>
    <row r="1067">
      <c r="A1067" s="70">
        <v>5.0</v>
      </c>
      <c r="B1067" s="71" t="s">
        <v>1852</v>
      </c>
      <c r="C1067" s="126" t="s">
        <v>76</v>
      </c>
      <c r="D1067" s="126" t="s">
        <v>601</v>
      </c>
      <c r="E1067" s="79"/>
      <c r="F1067" s="79"/>
      <c r="G1067" s="79"/>
      <c r="H1067" s="79"/>
      <c r="I1067" s="81" t="str">
        <f t="shared" si="16"/>
        <v>561110115</v>
      </c>
      <c r="J1067" s="79"/>
      <c r="K1067" s="79"/>
      <c r="L1067" s="59" t="s">
        <v>1956</v>
      </c>
      <c r="M1067" s="153">
        <v>2.0</v>
      </c>
      <c r="N1067" s="155"/>
      <c r="O1067" s="81"/>
      <c r="P1067" s="81"/>
      <c r="Q1067" s="81"/>
      <c r="R1067" s="81"/>
      <c r="S1067" s="81"/>
      <c r="T1067" s="81"/>
      <c r="U1067" s="123">
        <v>1.0</v>
      </c>
      <c r="V1067" s="81"/>
      <c r="W1067" s="81"/>
      <c r="X1067" s="81"/>
      <c r="Y1067" s="81"/>
      <c r="Z1067" s="81"/>
      <c r="AA1067" s="79"/>
      <c r="AB1067" s="79"/>
      <c r="AC1067" s="81"/>
      <c r="AD1067" s="81"/>
      <c r="AE1067" s="81"/>
      <c r="AF1067" s="81"/>
      <c r="AG1067" s="81"/>
      <c r="AH1067" s="81"/>
      <c r="AI1067" s="81"/>
      <c r="AJ1067" s="81"/>
      <c r="AK1067" s="81"/>
      <c r="AL1067" s="81"/>
      <c r="AM1067" s="81"/>
      <c r="AN1067" s="81"/>
      <c r="AO1067" s="81"/>
      <c r="AP1067" s="81"/>
      <c r="AQ1067" s="81"/>
      <c r="AR1067" s="81"/>
      <c r="AS1067" s="81"/>
      <c r="AT1067" s="81"/>
      <c r="AU1067" s="81"/>
      <c r="AV1067" s="81"/>
      <c r="AW1067" s="81"/>
      <c r="AX1067" s="81"/>
      <c r="AY1067" s="81"/>
      <c r="AZ1067" s="81"/>
      <c r="BA1067" s="81"/>
      <c r="BB1067" s="81"/>
      <c r="BC1067" s="81"/>
      <c r="BD1067" s="81"/>
      <c r="BE1067" s="81"/>
      <c r="BF1067" s="81"/>
      <c r="BG1067" s="81"/>
      <c r="BH1067" s="81"/>
      <c r="BI1067" s="81"/>
      <c r="BJ1067" s="81"/>
      <c r="BK1067" s="81"/>
      <c r="BL1067" s="79"/>
      <c r="BM1067" s="81"/>
      <c r="BN1067" s="81"/>
      <c r="BO1067" s="83"/>
      <c r="BP1067" s="116" t="s">
        <v>1955</v>
      </c>
      <c r="BQ1067" s="64"/>
    </row>
    <row r="1068">
      <c r="A1068" s="70">
        <v>5.0</v>
      </c>
      <c r="B1068" s="71" t="s">
        <v>1852</v>
      </c>
      <c r="C1068" s="126" t="s">
        <v>76</v>
      </c>
      <c r="D1068" s="126">
        <v>16.0</v>
      </c>
      <c r="E1068" s="79"/>
      <c r="F1068" s="79"/>
      <c r="G1068" s="79"/>
      <c r="H1068" s="79"/>
      <c r="I1068" s="81" t="str">
        <f t="shared" si="16"/>
        <v>561110116</v>
      </c>
      <c r="J1068" s="79"/>
      <c r="K1068" s="79"/>
      <c r="L1068" s="80" t="s">
        <v>1957</v>
      </c>
      <c r="M1068" s="84">
        <v>1.0</v>
      </c>
      <c r="N1068" s="81"/>
      <c r="O1068" s="81"/>
      <c r="P1068" s="81"/>
      <c r="Q1068" s="81"/>
      <c r="R1068" s="81"/>
      <c r="S1068" s="81"/>
      <c r="T1068" s="81"/>
      <c r="U1068" s="123">
        <v>1.0</v>
      </c>
      <c r="V1068" s="81"/>
      <c r="W1068" s="61" t="s">
        <v>304</v>
      </c>
      <c r="X1068" s="81"/>
      <c r="Y1068" s="81"/>
      <c r="Z1068" s="81"/>
      <c r="AA1068" s="79"/>
      <c r="AB1068" s="79"/>
      <c r="AC1068" s="81"/>
      <c r="AD1068" s="81"/>
      <c r="AE1068" s="81"/>
      <c r="AF1068" s="81"/>
      <c r="AG1068" s="81"/>
      <c r="AH1068" s="81"/>
      <c r="AI1068" s="81"/>
      <c r="AJ1068" s="81"/>
      <c r="AK1068" s="81"/>
      <c r="AL1068" s="81"/>
      <c r="AM1068" s="81"/>
      <c r="AN1068" s="81"/>
      <c r="AO1068" s="81"/>
      <c r="AP1068" s="81"/>
      <c r="AQ1068" s="81"/>
      <c r="AR1068" s="81"/>
      <c r="AS1068" s="81"/>
      <c r="AT1068" s="81"/>
      <c r="AU1068" s="81"/>
      <c r="AV1068" s="81"/>
      <c r="AW1068" s="81"/>
      <c r="AX1068" s="81"/>
      <c r="AY1068" s="81"/>
      <c r="AZ1068" s="81"/>
      <c r="BA1068" s="81"/>
      <c r="BB1068" s="81"/>
      <c r="BC1068" s="81"/>
      <c r="BD1068" s="81"/>
      <c r="BE1068" s="81"/>
      <c r="BF1068" s="81"/>
      <c r="BG1068" s="81"/>
      <c r="BH1068" s="121" t="s">
        <v>1857</v>
      </c>
      <c r="BI1068" s="123" t="s">
        <v>1958</v>
      </c>
      <c r="BJ1068" s="121" t="s">
        <v>1959</v>
      </c>
      <c r="BK1068" s="81"/>
      <c r="BL1068" s="79"/>
      <c r="BM1068" s="81"/>
      <c r="BN1068" s="81"/>
      <c r="BO1068" s="83"/>
      <c r="BP1068" s="116" t="s">
        <v>1960</v>
      </c>
      <c r="BQ1068" s="64"/>
    </row>
    <row r="1069">
      <c r="A1069" s="70">
        <v>5.0</v>
      </c>
      <c r="B1069" s="71" t="s">
        <v>1852</v>
      </c>
      <c r="C1069" s="126" t="s">
        <v>76</v>
      </c>
      <c r="D1069" s="126">
        <v>17.0</v>
      </c>
      <c r="E1069" s="79"/>
      <c r="F1069" s="79"/>
      <c r="G1069" s="79"/>
      <c r="H1069" s="79"/>
      <c r="I1069" s="81" t="str">
        <f t="shared" si="16"/>
        <v>561110117</v>
      </c>
      <c r="J1069" s="79"/>
      <c r="K1069" s="79"/>
      <c r="L1069" s="80" t="s">
        <v>1961</v>
      </c>
      <c r="M1069" s="84">
        <v>2.0</v>
      </c>
      <c r="N1069" s="81"/>
      <c r="O1069" s="81"/>
      <c r="P1069" s="81"/>
      <c r="Q1069" s="81"/>
      <c r="R1069" s="81"/>
      <c r="S1069" s="81"/>
      <c r="T1069" s="81"/>
      <c r="U1069" s="123">
        <v>1.0</v>
      </c>
      <c r="V1069" s="81"/>
      <c r="W1069" s="81"/>
      <c r="X1069" s="81"/>
      <c r="Y1069" s="81"/>
      <c r="Z1069" s="81"/>
      <c r="AA1069" s="79"/>
      <c r="AB1069" s="79"/>
      <c r="AC1069" s="81"/>
      <c r="AD1069" s="81"/>
      <c r="AE1069" s="81"/>
      <c r="AF1069" s="81"/>
      <c r="AG1069" s="81"/>
      <c r="AH1069" s="81"/>
      <c r="AI1069" s="81"/>
      <c r="AJ1069" s="81"/>
      <c r="AK1069" s="81"/>
      <c r="AL1069" s="81"/>
      <c r="AM1069" s="81"/>
      <c r="AN1069" s="81"/>
      <c r="AO1069" s="81"/>
      <c r="AP1069" s="81"/>
      <c r="AQ1069" s="81"/>
      <c r="AR1069" s="81"/>
      <c r="AS1069" s="81"/>
      <c r="AT1069" s="81"/>
      <c r="AU1069" s="81"/>
      <c r="AV1069" s="81"/>
      <c r="AW1069" s="81"/>
      <c r="AX1069" s="81"/>
      <c r="AY1069" s="81"/>
      <c r="AZ1069" s="81"/>
      <c r="BA1069" s="81"/>
      <c r="BB1069" s="81"/>
      <c r="BC1069" s="81"/>
      <c r="BD1069" s="81"/>
      <c r="BE1069" s="81"/>
      <c r="BF1069" s="81"/>
      <c r="BG1069" s="81"/>
      <c r="BH1069" s="121" t="s">
        <v>1857</v>
      </c>
      <c r="BI1069" s="123">
        <v>243.0</v>
      </c>
      <c r="BJ1069" s="121" t="s">
        <v>1962</v>
      </c>
      <c r="BK1069" s="81"/>
      <c r="BL1069" s="79"/>
      <c r="BM1069" s="81"/>
      <c r="BN1069" s="81"/>
      <c r="BO1069" s="83"/>
      <c r="BP1069" s="116" t="s">
        <v>1960</v>
      </c>
      <c r="BQ1069" s="64"/>
    </row>
    <row r="1070">
      <c r="A1070" s="28">
        <v>1.0</v>
      </c>
      <c r="B1070" s="29" t="s">
        <v>1963</v>
      </c>
      <c r="C1070" s="30"/>
      <c r="D1070" s="30"/>
      <c r="E1070" s="30"/>
      <c r="F1070" s="30"/>
      <c r="G1070" s="30"/>
      <c r="H1070" s="30"/>
      <c r="I1070" s="31" t="str">
        <f t="shared" si="16"/>
        <v>56200</v>
      </c>
      <c r="J1070" s="74"/>
      <c r="K1070" s="74"/>
      <c r="L1070" s="31" t="s">
        <v>1964</v>
      </c>
      <c r="M1070" s="75">
        <v>1.0</v>
      </c>
      <c r="N1070" s="32"/>
      <c r="O1070" s="30"/>
      <c r="P1070" s="32"/>
      <c r="Q1070" s="32"/>
      <c r="R1070" s="32"/>
      <c r="S1070" s="32"/>
      <c r="T1070" s="74"/>
      <c r="U1070" s="34">
        <v>1.0</v>
      </c>
      <c r="V1070" s="74"/>
      <c r="W1070" s="34" t="s">
        <v>70</v>
      </c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  <c r="AI1070" s="74"/>
      <c r="AJ1070" s="74"/>
      <c r="AK1070" s="74"/>
      <c r="AL1070" s="74"/>
      <c r="AM1070" s="74"/>
      <c r="AN1070" s="74"/>
      <c r="AO1070" s="74"/>
      <c r="AP1070" s="32"/>
      <c r="AQ1070" s="32"/>
      <c r="AR1070" s="32"/>
      <c r="AS1070" s="32"/>
      <c r="AT1070" s="32"/>
      <c r="AU1070" s="32"/>
      <c r="AV1070" s="74"/>
      <c r="AW1070" s="74"/>
      <c r="AX1070" s="74"/>
      <c r="AY1070" s="74"/>
      <c r="AZ1070" s="74"/>
      <c r="BA1070" s="74"/>
      <c r="BB1070" s="74"/>
      <c r="BC1070" s="74"/>
      <c r="BD1070" s="74"/>
      <c r="BE1070" s="74"/>
      <c r="BF1070" s="74"/>
      <c r="BG1070" s="74"/>
      <c r="BH1070" s="32"/>
      <c r="BI1070" s="32"/>
      <c r="BJ1070" s="32"/>
      <c r="BK1070" s="32"/>
      <c r="BL1070" s="32"/>
      <c r="BM1070" s="74"/>
      <c r="BN1070" s="76"/>
      <c r="BO1070" s="74"/>
      <c r="BP1070" s="32"/>
      <c r="BQ1070" s="10"/>
    </row>
    <row r="1071">
      <c r="A1071" s="36">
        <v>2.0</v>
      </c>
      <c r="B1071" s="37" t="s">
        <v>1965</v>
      </c>
      <c r="C1071" s="38"/>
      <c r="D1071" s="38"/>
      <c r="E1071" s="38"/>
      <c r="F1071" s="38"/>
      <c r="G1071" s="38"/>
      <c r="H1071" s="38"/>
      <c r="I1071" s="39" t="str">
        <f t="shared" si="16"/>
        <v>56210</v>
      </c>
      <c r="J1071" s="40"/>
      <c r="K1071" s="40"/>
      <c r="L1071" s="39" t="s">
        <v>1964</v>
      </c>
      <c r="M1071" s="41">
        <v>1.0</v>
      </c>
      <c r="N1071" s="42"/>
      <c r="O1071" s="38"/>
      <c r="P1071" s="42"/>
      <c r="Q1071" s="42"/>
      <c r="R1071" s="42"/>
      <c r="S1071" s="42"/>
      <c r="T1071" s="40"/>
      <c r="U1071" s="43">
        <v>1.0</v>
      </c>
      <c r="V1071" s="40"/>
      <c r="W1071" s="43" t="s">
        <v>70</v>
      </c>
      <c r="X1071" s="40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  <c r="AI1071" s="40"/>
      <c r="AJ1071" s="40"/>
      <c r="AK1071" s="40"/>
      <c r="AL1071" s="40"/>
      <c r="AM1071" s="40"/>
      <c r="AN1071" s="40"/>
      <c r="AO1071" s="40"/>
      <c r="AP1071" s="42"/>
      <c r="AQ1071" s="42"/>
      <c r="AR1071" s="42"/>
      <c r="AS1071" s="42"/>
      <c r="AT1071" s="42"/>
      <c r="AU1071" s="42"/>
      <c r="AV1071" s="40"/>
      <c r="AW1071" s="40"/>
      <c r="AX1071" s="40"/>
      <c r="AY1071" s="40"/>
      <c r="AZ1071" s="40"/>
      <c r="BA1071" s="40"/>
      <c r="BB1071" s="40"/>
      <c r="BC1071" s="40"/>
      <c r="BD1071" s="40"/>
      <c r="BE1071" s="40"/>
      <c r="BF1071" s="40"/>
      <c r="BG1071" s="40"/>
      <c r="BH1071" s="42"/>
      <c r="BI1071" s="42"/>
      <c r="BJ1071" s="42"/>
      <c r="BK1071" s="42"/>
      <c r="BL1071" s="42"/>
      <c r="BM1071" s="40"/>
      <c r="BN1071" s="44"/>
      <c r="BO1071" s="40"/>
      <c r="BP1071" s="42"/>
      <c r="BQ1071" s="10"/>
    </row>
    <row r="1072">
      <c r="A1072" s="45">
        <v>3.0</v>
      </c>
      <c r="B1072" s="46" t="s">
        <v>1966</v>
      </c>
      <c r="C1072" s="47"/>
      <c r="D1072" s="47"/>
      <c r="E1072" s="47"/>
      <c r="F1072" s="47"/>
      <c r="G1072" s="47"/>
      <c r="H1072" s="47"/>
      <c r="I1072" s="48" t="str">
        <f t="shared" si="16"/>
        <v>56211</v>
      </c>
      <c r="J1072" s="49"/>
      <c r="K1072" s="49"/>
      <c r="L1072" s="48" t="s">
        <v>1967</v>
      </c>
      <c r="M1072" s="50">
        <v>1.0</v>
      </c>
      <c r="N1072" s="51"/>
      <c r="O1072" s="47"/>
      <c r="P1072" s="51"/>
      <c r="Q1072" s="51"/>
      <c r="R1072" s="51"/>
      <c r="S1072" s="51"/>
      <c r="T1072" s="49"/>
      <c r="U1072" s="52">
        <v>1.0</v>
      </c>
      <c r="V1072" s="49"/>
      <c r="W1072" s="52" t="s">
        <v>70</v>
      </c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52" t="s">
        <v>80</v>
      </c>
      <c r="AQ1072" s="51"/>
      <c r="AR1072" s="51"/>
      <c r="AS1072" s="51"/>
      <c r="AT1072" s="51"/>
      <c r="AU1072" s="51"/>
      <c r="AV1072" s="49"/>
      <c r="AW1072" s="49"/>
      <c r="AX1072" s="49"/>
      <c r="AY1072" s="49"/>
      <c r="AZ1072" s="49"/>
      <c r="BA1072" s="49"/>
      <c r="BB1072" s="49"/>
      <c r="BC1072" s="49"/>
      <c r="BD1072" s="49"/>
      <c r="BE1072" s="49"/>
      <c r="BF1072" s="49"/>
      <c r="BG1072" s="49"/>
      <c r="BH1072" s="51"/>
      <c r="BI1072" s="51"/>
      <c r="BJ1072" s="51"/>
      <c r="BK1072" s="51"/>
      <c r="BL1072" s="51"/>
      <c r="BM1072" s="49"/>
      <c r="BN1072" s="53"/>
      <c r="BO1072" s="49"/>
      <c r="BP1072" s="51"/>
      <c r="BQ1072" s="10"/>
    </row>
    <row r="1073">
      <c r="A1073" s="1">
        <v>4.0</v>
      </c>
      <c r="B1073" s="2" t="s">
        <v>1966</v>
      </c>
      <c r="C1073" s="2" t="s">
        <v>76</v>
      </c>
      <c r="D1073" s="93"/>
      <c r="E1073" s="93"/>
      <c r="F1073" s="93"/>
      <c r="G1073" s="93"/>
      <c r="H1073" s="93"/>
      <c r="I1073" s="3" t="str">
        <f t="shared" si="16"/>
        <v>5621101</v>
      </c>
      <c r="J1073" s="3"/>
      <c r="K1073" s="3"/>
      <c r="L1073" s="94" t="s">
        <v>1968</v>
      </c>
      <c r="M1073" s="4">
        <v>1.0</v>
      </c>
      <c r="N1073" s="3"/>
      <c r="O1073" s="93"/>
      <c r="P1073" s="3"/>
      <c r="Q1073" s="3"/>
      <c r="R1073" s="3"/>
      <c r="S1073" s="3"/>
      <c r="T1073" s="3"/>
      <c r="U1073" s="6">
        <v>1.0</v>
      </c>
      <c r="V1073" s="3"/>
      <c r="W1073" s="6" t="s">
        <v>78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97"/>
      <c r="BO1073" s="3"/>
      <c r="BP1073" s="3"/>
      <c r="BQ1073" s="10"/>
    </row>
    <row r="1074">
      <c r="A1074" s="1">
        <v>4.0</v>
      </c>
      <c r="B1074" s="2" t="s">
        <v>1966</v>
      </c>
      <c r="C1074" s="2" t="s">
        <v>119</v>
      </c>
      <c r="D1074" s="93"/>
      <c r="E1074" s="93"/>
      <c r="F1074" s="93"/>
      <c r="G1074" s="93"/>
      <c r="H1074" s="93"/>
      <c r="I1074" s="3" t="str">
        <f t="shared" si="16"/>
        <v>5621102</v>
      </c>
      <c r="J1074" s="3"/>
      <c r="K1074" s="3"/>
      <c r="L1074" s="94" t="s">
        <v>1969</v>
      </c>
      <c r="M1074" s="4">
        <v>2.0</v>
      </c>
      <c r="N1074" s="3"/>
      <c r="O1074" s="93"/>
      <c r="P1074" s="3"/>
      <c r="Q1074" s="3"/>
      <c r="R1074" s="3"/>
      <c r="S1074" s="3"/>
      <c r="T1074" s="3"/>
      <c r="U1074" s="6" t="s">
        <v>79</v>
      </c>
      <c r="V1074" s="3"/>
      <c r="W1074" s="6" t="s">
        <v>435</v>
      </c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97"/>
      <c r="BO1074" s="3"/>
      <c r="BP1074" s="3"/>
      <c r="BQ1074" s="10"/>
    </row>
    <row r="1075">
      <c r="A1075" s="1">
        <v>4.0</v>
      </c>
      <c r="B1075" s="2" t="s">
        <v>1966</v>
      </c>
      <c r="C1075" s="2" t="s">
        <v>124</v>
      </c>
      <c r="D1075" s="93"/>
      <c r="E1075" s="93"/>
      <c r="F1075" s="93"/>
      <c r="G1075" s="93"/>
      <c r="H1075" s="93"/>
      <c r="I1075" s="3" t="str">
        <f t="shared" si="16"/>
        <v>5621103</v>
      </c>
      <c r="J1075" s="3"/>
      <c r="K1075" s="3"/>
      <c r="L1075" s="94" t="s">
        <v>1970</v>
      </c>
      <c r="M1075" s="4">
        <v>2.0</v>
      </c>
      <c r="N1075" s="3"/>
      <c r="O1075" s="93"/>
      <c r="P1075" s="3"/>
      <c r="Q1075" s="3"/>
      <c r="R1075" s="3"/>
      <c r="S1075" s="3"/>
      <c r="T1075" s="3"/>
      <c r="U1075" s="6" t="s">
        <v>79</v>
      </c>
      <c r="V1075" s="3"/>
      <c r="W1075" s="6" t="s">
        <v>435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97"/>
      <c r="BO1075" s="3"/>
      <c r="BP1075" s="3"/>
      <c r="BQ1075" s="10"/>
    </row>
    <row r="1076">
      <c r="A1076" s="1">
        <v>4.0</v>
      </c>
      <c r="B1076" s="2" t="s">
        <v>1966</v>
      </c>
      <c r="C1076" s="2" t="s">
        <v>127</v>
      </c>
      <c r="D1076" s="93"/>
      <c r="E1076" s="93"/>
      <c r="F1076" s="93"/>
      <c r="G1076" s="93"/>
      <c r="H1076" s="93"/>
      <c r="I1076" s="3" t="str">
        <f t="shared" si="16"/>
        <v>5621104</v>
      </c>
      <c r="J1076" s="3"/>
      <c r="K1076" s="3"/>
      <c r="L1076" s="94" t="s">
        <v>1971</v>
      </c>
      <c r="M1076" s="4">
        <v>2.0</v>
      </c>
      <c r="N1076" s="3"/>
      <c r="O1076" s="93"/>
      <c r="P1076" s="3"/>
      <c r="Q1076" s="3"/>
      <c r="R1076" s="3"/>
      <c r="S1076" s="3"/>
      <c r="T1076" s="3"/>
      <c r="U1076" s="6">
        <v>1.0</v>
      </c>
      <c r="V1076" s="3"/>
      <c r="W1076" s="6" t="s">
        <v>304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97"/>
      <c r="BO1076" s="3"/>
      <c r="BP1076" s="3"/>
      <c r="BQ1076" s="10"/>
    </row>
    <row r="1077">
      <c r="A1077" s="1">
        <v>4.0</v>
      </c>
      <c r="B1077" s="2" t="s">
        <v>1966</v>
      </c>
      <c r="C1077" s="2" t="s">
        <v>91</v>
      </c>
      <c r="D1077" s="93"/>
      <c r="E1077" s="93"/>
      <c r="F1077" s="93"/>
      <c r="G1077" s="93"/>
      <c r="H1077" s="93"/>
      <c r="I1077" s="3" t="str">
        <f t="shared" si="16"/>
        <v>5621105</v>
      </c>
      <c r="J1077" s="3"/>
      <c r="K1077" s="3"/>
      <c r="L1077" s="94" t="s">
        <v>1972</v>
      </c>
      <c r="M1077" s="4">
        <v>2.0</v>
      </c>
      <c r="N1077" s="3"/>
      <c r="O1077" s="93"/>
      <c r="P1077" s="3"/>
      <c r="Q1077" s="3"/>
      <c r="R1077" s="3"/>
      <c r="S1077" s="3"/>
      <c r="T1077" s="3"/>
      <c r="U1077" s="6">
        <v>1.0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97"/>
      <c r="BO1077" s="3"/>
      <c r="BP1077" s="3"/>
      <c r="BQ1077" s="10"/>
    </row>
    <row r="1078">
      <c r="A1078" s="1">
        <v>4.0</v>
      </c>
      <c r="B1078" s="2" t="s">
        <v>1966</v>
      </c>
      <c r="C1078" s="2" t="s">
        <v>133</v>
      </c>
      <c r="D1078" s="93"/>
      <c r="E1078" s="93"/>
      <c r="F1078" s="93"/>
      <c r="G1078" s="93"/>
      <c r="H1078" s="93"/>
      <c r="I1078" s="3" t="str">
        <f t="shared" si="16"/>
        <v>5621106</v>
      </c>
      <c r="J1078" s="3"/>
      <c r="K1078" s="3"/>
      <c r="L1078" s="94" t="s">
        <v>1973</v>
      </c>
      <c r="M1078" s="4">
        <v>2.0</v>
      </c>
      <c r="N1078" s="3"/>
      <c r="O1078" s="93"/>
      <c r="P1078" s="3"/>
      <c r="Q1078" s="3"/>
      <c r="R1078" s="3"/>
      <c r="S1078" s="3"/>
      <c r="T1078" s="3"/>
      <c r="U1078" s="6">
        <v>1.0</v>
      </c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97"/>
      <c r="BO1078" s="3"/>
      <c r="BP1078" s="3"/>
      <c r="BQ1078" s="10"/>
    </row>
    <row r="1079">
      <c r="A1079" s="1">
        <v>4.0</v>
      </c>
      <c r="B1079" s="2" t="s">
        <v>1966</v>
      </c>
      <c r="C1079" s="2" t="s">
        <v>136</v>
      </c>
      <c r="D1079" s="93"/>
      <c r="E1079" s="93"/>
      <c r="F1079" s="93"/>
      <c r="G1079" s="93"/>
      <c r="H1079" s="93"/>
      <c r="I1079" s="3" t="str">
        <f t="shared" si="16"/>
        <v>5621107</v>
      </c>
      <c r="J1079" s="3"/>
      <c r="K1079" s="3"/>
      <c r="L1079" s="94" t="s">
        <v>1974</v>
      </c>
      <c r="M1079" s="4">
        <v>2.0</v>
      </c>
      <c r="N1079" s="3"/>
      <c r="O1079" s="93"/>
      <c r="P1079" s="3"/>
      <c r="Q1079" s="3"/>
      <c r="R1079" s="3"/>
      <c r="S1079" s="3"/>
      <c r="T1079" s="3"/>
      <c r="U1079" s="6">
        <v>1.0</v>
      </c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97"/>
      <c r="BO1079" s="3"/>
      <c r="BP1079" s="3"/>
      <c r="BQ1079" s="10"/>
    </row>
    <row r="1080">
      <c r="A1080" s="28">
        <v>1.0</v>
      </c>
      <c r="B1080" s="29" t="s">
        <v>1975</v>
      </c>
      <c r="C1080" s="30"/>
      <c r="D1080" s="30"/>
      <c r="E1080" s="30"/>
      <c r="F1080" s="30"/>
      <c r="G1080" s="30"/>
      <c r="H1080" s="30"/>
      <c r="I1080" s="31" t="str">
        <f t="shared" si="16"/>
        <v>56800</v>
      </c>
      <c r="J1080" s="74"/>
      <c r="K1080" s="74"/>
      <c r="L1080" s="31" t="s">
        <v>1976</v>
      </c>
      <c r="M1080" s="75">
        <v>1.0</v>
      </c>
      <c r="N1080" s="32"/>
      <c r="O1080" s="30"/>
      <c r="P1080" s="32"/>
      <c r="Q1080" s="32"/>
      <c r="R1080" s="32"/>
      <c r="S1080" s="32"/>
      <c r="T1080" s="74"/>
      <c r="U1080" s="34">
        <v>1.0</v>
      </c>
      <c r="V1080" s="74"/>
      <c r="W1080" s="34" t="s">
        <v>70</v>
      </c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  <c r="AI1080" s="74"/>
      <c r="AJ1080" s="74"/>
      <c r="AK1080" s="74"/>
      <c r="AL1080" s="74"/>
      <c r="AM1080" s="74"/>
      <c r="AN1080" s="74"/>
      <c r="AO1080" s="74"/>
      <c r="AP1080" s="32"/>
      <c r="AQ1080" s="32"/>
      <c r="AR1080" s="32"/>
      <c r="AS1080" s="32"/>
      <c r="AT1080" s="32"/>
      <c r="AU1080" s="32"/>
      <c r="AV1080" s="74"/>
      <c r="AW1080" s="74"/>
      <c r="AX1080" s="74"/>
      <c r="AY1080" s="74"/>
      <c r="AZ1080" s="74"/>
      <c r="BA1080" s="74"/>
      <c r="BB1080" s="74"/>
      <c r="BC1080" s="74"/>
      <c r="BD1080" s="74"/>
      <c r="BE1080" s="74"/>
      <c r="BF1080" s="74"/>
      <c r="BG1080" s="74"/>
      <c r="BH1080" s="32"/>
      <c r="BI1080" s="32"/>
      <c r="BJ1080" s="32"/>
      <c r="BK1080" s="32"/>
      <c r="BL1080" s="32"/>
      <c r="BM1080" s="74"/>
      <c r="BN1080" s="76"/>
      <c r="BO1080" s="74"/>
      <c r="BP1080" s="32"/>
      <c r="BQ1080" s="10"/>
    </row>
    <row r="1081">
      <c r="A1081" s="36">
        <v>2.0</v>
      </c>
      <c r="B1081" s="37" t="s">
        <v>1977</v>
      </c>
      <c r="C1081" s="38"/>
      <c r="D1081" s="38"/>
      <c r="E1081" s="38"/>
      <c r="F1081" s="38"/>
      <c r="G1081" s="38"/>
      <c r="H1081" s="38"/>
      <c r="I1081" s="39" t="str">
        <f t="shared" si="16"/>
        <v>56810</v>
      </c>
      <c r="J1081" s="40"/>
      <c r="K1081" s="40"/>
      <c r="L1081" s="39" t="s">
        <v>1978</v>
      </c>
      <c r="M1081" s="41">
        <v>1.0</v>
      </c>
      <c r="N1081" s="42"/>
      <c r="O1081" s="38"/>
      <c r="P1081" s="42"/>
      <c r="Q1081" s="42"/>
      <c r="R1081" s="42"/>
      <c r="S1081" s="42"/>
      <c r="T1081" s="40"/>
      <c r="U1081" s="43">
        <v>1.0</v>
      </c>
      <c r="V1081" s="40"/>
      <c r="W1081" s="43" t="s">
        <v>70</v>
      </c>
      <c r="X1081" s="40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2"/>
      <c r="AQ1081" s="42"/>
      <c r="AR1081" s="42"/>
      <c r="AS1081" s="42"/>
      <c r="AT1081" s="42"/>
      <c r="AU1081" s="42"/>
      <c r="AV1081" s="40"/>
      <c r="AW1081" s="40"/>
      <c r="AX1081" s="40"/>
      <c r="AY1081" s="40"/>
      <c r="AZ1081" s="40"/>
      <c r="BA1081" s="40"/>
      <c r="BB1081" s="40"/>
      <c r="BC1081" s="40"/>
      <c r="BD1081" s="40"/>
      <c r="BE1081" s="40"/>
      <c r="BF1081" s="40"/>
      <c r="BG1081" s="40"/>
      <c r="BH1081" s="42"/>
      <c r="BI1081" s="42"/>
      <c r="BJ1081" s="42"/>
      <c r="BK1081" s="42"/>
      <c r="BL1081" s="42"/>
      <c r="BM1081" s="40"/>
      <c r="BN1081" s="44"/>
      <c r="BO1081" s="40"/>
      <c r="BP1081" s="42"/>
      <c r="BQ1081" s="10"/>
    </row>
    <row r="1082">
      <c r="A1082" s="45">
        <v>3.0</v>
      </c>
      <c r="B1082" s="46" t="s">
        <v>1979</v>
      </c>
      <c r="C1082" s="47"/>
      <c r="D1082" s="47"/>
      <c r="E1082" s="47"/>
      <c r="F1082" s="47"/>
      <c r="G1082" s="47"/>
      <c r="H1082" s="47"/>
      <c r="I1082" s="48" t="str">
        <f t="shared" si="16"/>
        <v>56811</v>
      </c>
      <c r="J1082" s="51"/>
      <c r="K1082" s="51"/>
      <c r="L1082" s="48" t="s">
        <v>1980</v>
      </c>
      <c r="M1082" s="157">
        <v>1.0</v>
      </c>
      <c r="N1082" s="51"/>
      <c r="O1082" s="47"/>
      <c r="P1082" s="51"/>
      <c r="Q1082" s="51"/>
      <c r="R1082" s="51"/>
      <c r="S1082" s="51"/>
      <c r="T1082" s="51"/>
      <c r="U1082" s="52">
        <v>1.0</v>
      </c>
      <c r="V1082" s="51"/>
      <c r="W1082" s="52" t="s">
        <v>70</v>
      </c>
      <c r="X1082" s="51"/>
      <c r="Y1082" s="51"/>
      <c r="Z1082" s="51"/>
      <c r="AA1082" s="51"/>
      <c r="AB1082" s="51"/>
      <c r="AC1082" s="51"/>
      <c r="AD1082" s="51"/>
      <c r="AE1082" s="51"/>
      <c r="AF1082" s="51"/>
      <c r="AG1082" s="51"/>
      <c r="AH1082" s="51"/>
      <c r="AI1082" s="51"/>
      <c r="AJ1082" s="51"/>
      <c r="AK1082" s="51"/>
      <c r="AL1082" s="51"/>
      <c r="AM1082" s="51"/>
      <c r="AN1082" s="51"/>
      <c r="AO1082" s="51"/>
      <c r="AP1082" s="51"/>
      <c r="AQ1082" s="51"/>
      <c r="AR1082" s="51"/>
      <c r="AS1082" s="51"/>
      <c r="AT1082" s="51"/>
      <c r="AU1082" s="51"/>
      <c r="AV1082" s="51"/>
      <c r="AW1082" s="51"/>
      <c r="AX1082" s="51"/>
      <c r="AY1082" s="51"/>
      <c r="AZ1082" s="51"/>
      <c r="BA1082" s="51"/>
      <c r="BB1082" s="51"/>
      <c r="BC1082" s="51"/>
      <c r="BD1082" s="51"/>
      <c r="BE1082" s="51"/>
      <c r="BF1082" s="51"/>
      <c r="BG1082" s="51"/>
      <c r="BH1082" s="51"/>
      <c r="BI1082" s="51"/>
      <c r="BJ1082" s="51"/>
      <c r="BK1082" s="51"/>
      <c r="BL1082" s="51"/>
      <c r="BM1082" s="51"/>
      <c r="BN1082" s="158"/>
      <c r="BO1082" s="51"/>
      <c r="BP1082" s="51"/>
      <c r="BQ1082" s="10"/>
    </row>
    <row r="1083">
      <c r="A1083" s="70">
        <v>4.0</v>
      </c>
      <c r="B1083" s="71" t="s">
        <v>1979</v>
      </c>
      <c r="C1083" s="71" t="s">
        <v>76</v>
      </c>
      <c r="D1083" s="56"/>
      <c r="E1083" s="56"/>
      <c r="F1083" s="56"/>
      <c r="G1083" s="56"/>
      <c r="H1083" s="56"/>
      <c r="I1083" s="58" t="str">
        <f t="shared" si="16"/>
        <v>5681101</v>
      </c>
      <c r="J1083" s="79"/>
      <c r="K1083" s="79"/>
      <c r="L1083" s="80" t="s">
        <v>1981</v>
      </c>
      <c r="M1083" s="84">
        <v>1.0</v>
      </c>
      <c r="N1083" s="123" t="s">
        <v>1982</v>
      </c>
      <c r="O1083" s="56"/>
      <c r="P1083" s="61">
        <v>1264196.0</v>
      </c>
      <c r="Q1083" s="59" t="s">
        <v>113</v>
      </c>
      <c r="R1083" s="81"/>
      <c r="S1083" s="81"/>
      <c r="T1083" s="81"/>
      <c r="U1083" s="123">
        <v>1.0</v>
      </c>
      <c r="V1083" s="81"/>
      <c r="W1083" s="123" t="s">
        <v>78</v>
      </c>
      <c r="X1083" s="81"/>
      <c r="Y1083" s="81"/>
      <c r="Z1083" s="81"/>
      <c r="AA1083" s="134" t="s">
        <v>79</v>
      </c>
      <c r="AB1083" s="134" t="s">
        <v>79</v>
      </c>
      <c r="AC1083" s="81"/>
      <c r="AD1083" s="81"/>
      <c r="AE1083" s="81"/>
      <c r="AF1083" s="81"/>
      <c r="AG1083" s="81"/>
      <c r="AH1083" s="81"/>
      <c r="AI1083" s="81"/>
      <c r="AJ1083" s="81"/>
      <c r="AK1083" s="81"/>
      <c r="AL1083" s="81"/>
      <c r="AM1083" s="81"/>
      <c r="AN1083" s="81"/>
      <c r="AO1083" s="81"/>
      <c r="AP1083" s="123" t="s">
        <v>80</v>
      </c>
      <c r="AQ1083" s="123">
        <v>245000.0</v>
      </c>
      <c r="AR1083" s="81"/>
      <c r="AS1083" s="81"/>
      <c r="AT1083" s="81"/>
      <c r="AU1083" s="81"/>
      <c r="AV1083" s="123" t="s">
        <v>1983</v>
      </c>
      <c r="AW1083" s="81"/>
      <c r="AX1083" s="81"/>
      <c r="AY1083" s="81"/>
      <c r="AZ1083" s="81"/>
      <c r="BA1083" s="81"/>
      <c r="BB1083" s="81"/>
      <c r="BC1083" s="81"/>
      <c r="BD1083" s="81"/>
      <c r="BE1083" s="81"/>
      <c r="BF1083" s="81"/>
      <c r="BG1083" s="58"/>
      <c r="BH1083" s="91" t="s">
        <v>1984</v>
      </c>
      <c r="BI1083" s="61">
        <v>190.0</v>
      </c>
      <c r="BJ1083" s="58"/>
      <c r="BK1083" s="56"/>
      <c r="BL1083" s="79"/>
      <c r="BM1083" s="81"/>
      <c r="BN1083" s="81"/>
      <c r="BO1083" s="83"/>
      <c r="BP1083" s="58"/>
      <c r="BQ1083" s="64"/>
    </row>
    <row r="1084">
      <c r="A1084" s="70">
        <v>4.0</v>
      </c>
      <c r="B1084" s="71" t="s">
        <v>1979</v>
      </c>
      <c r="C1084" s="71" t="s">
        <v>119</v>
      </c>
      <c r="D1084" s="56"/>
      <c r="E1084" s="56"/>
      <c r="F1084" s="56"/>
      <c r="G1084" s="56"/>
      <c r="H1084" s="56"/>
      <c r="I1084" s="58" t="str">
        <f t="shared" si="16"/>
        <v>5681102</v>
      </c>
      <c r="J1084" s="79"/>
      <c r="K1084" s="79"/>
      <c r="L1084" s="80" t="s">
        <v>1985</v>
      </c>
      <c r="M1084" s="84">
        <v>2.0</v>
      </c>
      <c r="N1084" s="81"/>
      <c r="O1084" s="58"/>
      <c r="P1084" s="61" t="s">
        <v>1986</v>
      </c>
      <c r="Q1084" s="59" t="s">
        <v>113</v>
      </c>
      <c r="R1084" s="58"/>
      <c r="S1084" s="58"/>
      <c r="T1084" s="58"/>
      <c r="U1084" s="82">
        <v>1.0</v>
      </c>
      <c r="V1084" s="58"/>
      <c r="W1084" s="58"/>
      <c r="X1084" s="81"/>
      <c r="Y1084" s="81"/>
      <c r="Z1084" s="81"/>
      <c r="AA1084" s="79"/>
      <c r="AB1084" s="79"/>
      <c r="AC1084" s="81"/>
      <c r="AD1084" s="81"/>
      <c r="AE1084" s="81"/>
      <c r="AF1084" s="81"/>
      <c r="AG1084" s="81"/>
      <c r="AH1084" s="81"/>
      <c r="AI1084" s="81"/>
      <c r="AJ1084" s="81"/>
      <c r="AK1084" s="81"/>
      <c r="AL1084" s="81"/>
      <c r="AM1084" s="81"/>
      <c r="AN1084" s="81"/>
      <c r="AO1084" s="81"/>
      <c r="AP1084" s="81"/>
      <c r="AQ1084" s="81"/>
      <c r="AR1084" s="81"/>
      <c r="AS1084" s="81"/>
      <c r="AT1084" s="81"/>
      <c r="AU1084" s="81"/>
      <c r="AV1084" s="81"/>
      <c r="AW1084" s="81"/>
      <c r="AX1084" s="81"/>
      <c r="AY1084" s="81"/>
      <c r="AZ1084" s="81"/>
      <c r="BA1084" s="81"/>
      <c r="BB1084" s="81"/>
      <c r="BC1084" s="81"/>
      <c r="BD1084" s="81"/>
      <c r="BE1084" s="81"/>
      <c r="BF1084" s="81"/>
      <c r="BG1084" s="81"/>
      <c r="BH1084" s="91" t="s">
        <v>1984</v>
      </c>
      <c r="BI1084" s="123">
        <v>219.0</v>
      </c>
      <c r="BJ1084" s="59">
        <v>1242350.0</v>
      </c>
      <c r="BK1084" s="56"/>
      <c r="BL1084" s="79"/>
      <c r="BM1084" s="81"/>
      <c r="BN1084" s="81"/>
      <c r="BO1084" s="83"/>
      <c r="BP1084" s="58"/>
      <c r="BQ1084" s="64"/>
    </row>
    <row r="1085">
      <c r="A1085" s="70">
        <v>4.0</v>
      </c>
      <c r="B1085" s="71" t="s">
        <v>1979</v>
      </c>
      <c r="C1085" s="71" t="s">
        <v>124</v>
      </c>
      <c r="D1085" s="56"/>
      <c r="E1085" s="56"/>
      <c r="F1085" s="56"/>
      <c r="G1085" s="56"/>
      <c r="H1085" s="56"/>
      <c r="I1085" s="58" t="str">
        <f t="shared" si="16"/>
        <v>5681103</v>
      </c>
      <c r="J1085" s="79"/>
      <c r="K1085" s="79"/>
      <c r="L1085" s="80" t="s">
        <v>1987</v>
      </c>
      <c r="M1085" s="84">
        <v>2.0</v>
      </c>
      <c r="N1085" s="81"/>
      <c r="O1085" s="58"/>
      <c r="P1085" s="61" t="s">
        <v>1988</v>
      </c>
      <c r="Q1085" s="59" t="s">
        <v>113</v>
      </c>
      <c r="R1085" s="58"/>
      <c r="S1085" s="58"/>
      <c r="T1085" s="58"/>
      <c r="U1085" s="82">
        <v>1.0</v>
      </c>
      <c r="V1085" s="58"/>
      <c r="W1085" s="58"/>
      <c r="X1085" s="81"/>
      <c r="Y1085" s="81"/>
      <c r="Z1085" s="81"/>
      <c r="AA1085" s="79"/>
      <c r="AB1085" s="79"/>
      <c r="AC1085" s="81"/>
      <c r="AD1085" s="81"/>
      <c r="AE1085" s="81"/>
      <c r="AF1085" s="81"/>
      <c r="AG1085" s="81"/>
      <c r="AH1085" s="81"/>
      <c r="AI1085" s="81"/>
      <c r="AJ1085" s="81"/>
      <c r="AK1085" s="81"/>
      <c r="AL1085" s="81"/>
      <c r="AM1085" s="81"/>
      <c r="AN1085" s="81"/>
      <c r="AO1085" s="81"/>
      <c r="AP1085" s="81"/>
      <c r="AQ1085" s="81"/>
      <c r="AR1085" s="81"/>
      <c r="AS1085" s="81"/>
      <c r="AT1085" s="81"/>
      <c r="AU1085" s="81"/>
      <c r="AV1085" s="81"/>
      <c r="AW1085" s="81"/>
      <c r="AX1085" s="81"/>
      <c r="AY1085" s="81"/>
      <c r="AZ1085" s="81"/>
      <c r="BA1085" s="81"/>
      <c r="BB1085" s="81"/>
      <c r="BC1085" s="81"/>
      <c r="BD1085" s="81"/>
      <c r="BE1085" s="81"/>
      <c r="BF1085" s="81"/>
      <c r="BG1085" s="81"/>
      <c r="BH1085" s="91" t="s">
        <v>1984</v>
      </c>
      <c r="BI1085" s="123">
        <v>220.0</v>
      </c>
      <c r="BJ1085" s="59">
        <v>1264920.0</v>
      </c>
      <c r="BK1085" s="77" t="s">
        <v>1989</v>
      </c>
      <c r="BL1085" s="79"/>
      <c r="BM1085" s="81"/>
      <c r="BN1085" s="81"/>
      <c r="BO1085" s="83"/>
      <c r="BP1085" s="58"/>
      <c r="BQ1085" s="64"/>
    </row>
    <row r="1086">
      <c r="A1086" s="70">
        <v>4.0</v>
      </c>
      <c r="B1086" s="71" t="s">
        <v>1979</v>
      </c>
      <c r="C1086" s="71" t="s">
        <v>127</v>
      </c>
      <c r="D1086" s="56"/>
      <c r="E1086" s="56"/>
      <c r="F1086" s="56"/>
      <c r="G1086" s="56"/>
      <c r="H1086" s="56"/>
      <c r="I1086" s="58" t="str">
        <f t="shared" si="16"/>
        <v>5681104</v>
      </c>
      <c r="J1086" s="79"/>
      <c r="K1086" s="79"/>
      <c r="L1086" s="80" t="s">
        <v>1990</v>
      </c>
      <c r="M1086" s="84">
        <v>1.0</v>
      </c>
      <c r="N1086" s="81"/>
      <c r="O1086" s="58"/>
      <c r="P1086" s="61">
        <v>1222386.0</v>
      </c>
      <c r="Q1086" s="59" t="s">
        <v>113</v>
      </c>
      <c r="R1086" s="58"/>
      <c r="S1086" s="58"/>
      <c r="T1086" s="58"/>
      <c r="U1086" s="82">
        <v>1.0</v>
      </c>
      <c r="V1086" s="58"/>
      <c r="W1086" s="61" t="s">
        <v>78</v>
      </c>
      <c r="X1086" s="81"/>
      <c r="Y1086" s="81"/>
      <c r="Z1086" s="81"/>
      <c r="AA1086" s="134" t="s">
        <v>79</v>
      </c>
      <c r="AB1086" s="134" t="s">
        <v>79</v>
      </c>
      <c r="AC1086" s="81"/>
      <c r="AD1086" s="81"/>
      <c r="AE1086" s="81"/>
      <c r="AF1086" s="81"/>
      <c r="AG1086" s="81"/>
      <c r="AH1086" s="81"/>
      <c r="AI1086" s="81"/>
      <c r="AJ1086" s="81"/>
      <c r="AK1086" s="81"/>
      <c r="AL1086" s="81"/>
      <c r="AM1086" s="81"/>
      <c r="AN1086" s="81"/>
      <c r="AO1086" s="81"/>
      <c r="AP1086" s="123" t="s">
        <v>80</v>
      </c>
      <c r="AQ1086" s="81"/>
      <c r="AR1086" s="81"/>
      <c r="AS1086" s="81"/>
      <c r="AT1086" s="81"/>
      <c r="AU1086" s="81"/>
      <c r="AV1086" s="81"/>
      <c r="AW1086" s="81"/>
      <c r="AX1086" s="81"/>
      <c r="AY1086" s="81"/>
      <c r="AZ1086" s="81"/>
      <c r="BA1086" s="81"/>
      <c r="BB1086" s="81"/>
      <c r="BC1086" s="81"/>
      <c r="BD1086" s="81"/>
      <c r="BE1086" s="81"/>
      <c r="BF1086" s="81"/>
      <c r="BG1086" s="81"/>
      <c r="BH1086" s="91" t="s">
        <v>1984</v>
      </c>
      <c r="BI1086" s="123">
        <v>187.0</v>
      </c>
      <c r="BJ1086" s="58"/>
      <c r="BK1086" s="56"/>
      <c r="BL1086" s="79"/>
      <c r="BM1086" s="81"/>
      <c r="BN1086" s="81"/>
      <c r="BO1086" s="83"/>
      <c r="BP1086" s="58"/>
      <c r="BQ1086" s="64"/>
    </row>
    <row r="1087">
      <c r="A1087" s="70">
        <v>4.0</v>
      </c>
      <c r="B1087" s="71" t="s">
        <v>1979</v>
      </c>
      <c r="C1087" s="71" t="s">
        <v>91</v>
      </c>
      <c r="D1087" s="56"/>
      <c r="E1087" s="56"/>
      <c r="F1087" s="56"/>
      <c r="G1087" s="56"/>
      <c r="H1087" s="56"/>
      <c r="I1087" s="58" t="str">
        <f t="shared" si="16"/>
        <v>5681105</v>
      </c>
      <c r="J1087" s="79"/>
      <c r="K1087" s="79"/>
      <c r="L1087" s="80" t="s">
        <v>1991</v>
      </c>
      <c r="M1087" s="84">
        <v>2.0</v>
      </c>
      <c r="N1087" s="81"/>
      <c r="O1087" s="58"/>
      <c r="P1087" s="61">
        <v>1068326.0</v>
      </c>
      <c r="Q1087" s="59" t="s">
        <v>113</v>
      </c>
      <c r="R1087" s="58"/>
      <c r="S1087" s="58"/>
      <c r="T1087" s="58"/>
      <c r="U1087" s="82">
        <v>6.0</v>
      </c>
      <c r="V1087" s="58"/>
      <c r="W1087" s="58"/>
      <c r="X1087" s="81"/>
      <c r="Y1087" s="81"/>
      <c r="Z1087" s="81"/>
      <c r="AA1087" s="79"/>
      <c r="AB1087" s="79"/>
      <c r="AC1087" s="81"/>
      <c r="AD1087" s="81"/>
      <c r="AE1087" s="81"/>
      <c r="AF1087" s="81"/>
      <c r="AG1087" s="81"/>
      <c r="AH1087" s="81"/>
      <c r="AI1087" s="81"/>
      <c r="AJ1087" s="81"/>
      <c r="AK1087" s="81"/>
      <c r="AL1087" s="81"/>
      <c r="AM1087" s="81"/>
      <c r="AN1087" s="81"/>
      <c r="AO1087" s="81"/>
      <c r="AP1087" s="81"/>
      <c r="AQ1087" s="81"/>
      <c r="AR1087" s="81"/>
      <c r="AS1087" s="81"/>
      <c r="AT1087" s="81"/>
      <c r="AU1087" s="81"/>
      <c r="AV1087" s="81"/>
      <c r="AW1087" s="81"/>
      <c r="AX1087" s="81"/>
      <c r="AY1087" s="81"/>
      <c r="AZ1087" s="81"/>
      <c r="BA1087" s="81"/>
      <c r="BB1087" s="81"/>
      <c r="BC1087" s="81"/>
      <c r="BD1087" s="81"/>
      <c r="BE1087" s="81"/>
      <c r="BF1087" s="81"/>
      <c r="BG1087" s="81"/>
      <c r="BH1087" s="91" t="s">
        <v>1984</v>
      </c>
      <c r="BI1087" s="123">
        <v>187.0</v>
      </c>
      <c r="BJ1087" s="58"/>
      <c r="BK1087" s="56"/>
      <c r="BL1087" s="79"/>
      <c r="BM1087" s="81"/>
      <c r="BN1087" s="81"/>
      <c r="BO1087" s="83"/>
      <c r="BP1087" s="58"/>
      <c r="BQ1087" s="64"/>
    </row>
    <row r="1088">
      <c r="A1088" s="70">
        <v>4.0</v>
      </c>
      <c r="B1088" s="71" t="s">
        <v>1979</v>
      </c>
      <c r="C1088" s="71" t="s">
        <v>133</v>
      </c>
      <c r="D1088" s="56"/>
      <c r="E1088" s="56"/>
      <c r="F1088" s="56"/>
      <c r="G1088" s="56"/>
      <c r="H1088" s="56"/>
      <c r="I1088" s="58" t="str">
        <f t="shared" si="16"/>
        <v>5681106</v>
      </c>
      <c r="J1088" s="79"/>
      <c r="K1088" s="79"/>
      <c r="L1088" s="80" t="s">
        <v>1992</v>
      </c>
      <c r="M1088" s="84">
        <v>1.0</v>
      </c>
      <c r="N1088" s="81"/>
      <c r="O1088" s="58"/>
      <c r="P1088" s="61">
        <v>1266365.0</v>
      </c>
      <c r="Q1088" s="59" t="s">
        <v>113</v>
      </c>
      <c r="R1088" s="58"/>
      <c r="S1088" s="58"/>
      <c r="T1088" s="58"/>
      <c r="U1088" s="82">
        <v>1.0</v>
      </c>
      <c r="V1088" s="58"/>
      <c r="W1088" s="61" t="s">
        <v>78</v>
      </c>
      <c r="X1088" s="81"/>
      <c r="Y1088" s="81"/>
      <c r="Z1088" s="81"/>
      <c r="AA1088" s="134" t="s">
        <v>79</v>
      </c>
      <c r="AB1088" s="134" t="s">
        <v>79</v>
      </c>
      <c r="AC1088" s="81"/>
      <c r="AD1088" s="81"/>
      <c r="AE1088" s="81"/>
      <c r="AF1088" s="81"/>
      <c r="AG1088" s="81"/>
      <c r="AH1088" s="81"/>
      <c r="AI1088" s="81"/>
      <c r="AJ1088" s="81"/>
      <c r="AK1088" s="81"/>
      <c r="AL1088" s="81"/>
      <c r="AM1088" s="81"/>
      <c r="AN1088" s="81"/>
      <c r="AO1088" s="81"/>
      <c r="AP1088" s="123" t="s">
        <v>80</v>
      </c>
      <c r="AQ1088" s="81"/>
      <c r="AR1088" s="81"/>
      <c r="AS1088" s="81"/>
      <c r="AT1088" s="81"/>
      <c r="AU1088" s="81"/>
      <c r="AV1088" s="81"/>
      <c r="AW1088" s="81"/>
      <c r="AX1088" s="81"/>
      <c r="AY1088" s="81"/>
      <c r="AZ1088" s="81"/>
      <c r="BA1088" s="81"/>
      <c r="BB1088" s="81"/>
      <c r="BC1088" s="81"/>
      <c r="BD1088" s="81"/>
      <c r="BE1088" s="81"/>
      <c r="BF1088" s="81"/>
      <c r="BG1088" s="81"/>
      <c r="BH1088" s="91" t="s">
        <v>1984</v>
      </c>
      <c r="BI1088" s="123">
        <v>247.0</v>
      </c>
      <c r="BJ1088" s="58"/>
      <c r="BK1088" s="56"/>
      <c r="BL1088" s="79"/>
      <c r="BM1088" s="81"/>
      <c r="BN1088" s="81"/>
      <c r="BO1088" s="83"/>
      <c r="BP1088" s="58"/>
      <c r="BQ1088" s="64"/>
    </row>
    <row r="1089">
      <c r="A1089" s="70">
        <v>4.0</v>
      </c>
      <c r="B1089" s="71" t="s">
        <v>1979</v>
      </c>
      <c r="C1089" s="71" t="s">
        <v>136</v>
      </c>
      <c r="D1089" s="56"/>
      <c r="E1089" s="56"/>
      <c r="F1089" s="56"/>
      <c r="G1089" s="56"/>
      <c r="H1089" s="56"/>
      <c r="I1089" s="58" t="str">
        <f t="shared" si="16"/>
        <v>5681107</v>
      </c>
      <c r="J1089" s="79"/>
      <c r="K1089" s="79"/>
      <c r="L1089" s="80" t="s">
        <v>1993</v>
      </c>
      <c r="M1089" s="84">
        <v>2.0</v>
      </c>
      <c r="N1089" s="81"/>
      <c r="O1089" s="58"/>
      <c r="P1089" s="61" t="s">
        <v>1994</v>
      </c>
      <c r="Q1089" s="59" t="s">
        <v>113</v>
      </c>
      <c r="R1089" s="58"/>
      <c r="S1089" s="58"/>
      <c r="T1089" s="58"/>
      <c r="U1089" s="82">
        <v>1.0</v>
      </c>
      <c r="V1089" s="58"/>
      <c r="W1089" s="58"/>
      <c r="X1089" s="81"/>
      <c r="Y1089" s="81"/>
      <c r="Z1089" s="81"/>
      <c r="AA1089" s="79"/>
      <c r="AB1089" s="79"/>
      <c r="AC1089" s="81"/>
      <c r="AD1089" s="81"/>
      <c r="AE1089" s="81"/>
      <c r="AF1089" s="81"/>
      <c r="AG1089" s="81"/>
      <c r="AH1089" s="81"/>
      <c r="AI1089" s="81"/>
      <c r="AJ1089" s="81"/>
      <c r="AK1089" s="81"/>
      <c r="AL1089" s="81"/>
      <c r="AM1089" s="81"/>
      <c r="AN1089" s="81"/>
      <c r="AO1089" s="81"/>
      <c r="AP1089" s="81"/>
      <c r="AQ1089" s="81"/>
      <c r="AR1089" s="81"/>
      <c r="AS1089" s="81"/>
      <c r="AT1089" s="81"/>
      <c r="AU1089" s="81"/>
      <c r="AV1089" s="81"/>
      <c r="AW1089" s="81"/>
      <c r="AX1089" s="81"/>
      <c r="AY1089" s="81"/>
      <c r="AZ1089" s="81"/>
      <c r="BA1089" s="81"/>
      <c r="BB1089" s="81"/>
      <c r="BC1089" s="81"/>
      <c r="BD1089" s="81"/>
      <c r="BE1089" s="81"/>
      <c r="BF1089" s="81"/>
      <c r="BG1089" s="81"/>
      <c r="BH1089" s="91" t="s">
        <v>1984</v>
      </c>
      <c r="BI1089" s="123">
        <v>252.0</v>
      </c>
      <c r="BJ1089" s="58"/>
      <c r="BK1089" s="56"/>
      <c r="BL1089" s="79"/>
      <c r="BM1089" s="81"/>
      <c r="BN1089" s="81"/>
      <c r="BO1089" s="83"/>
      <c r="BP1089" s="58"/>
      <c r="BQ1089" s="64"/>
    </row>
    <row r="1090">
      <c r="A1090" s="70">
        <v>4.0</v>
      </c>
      <c r="B1090" s="71" t="s">
        <v>1979</v>
      </c>
      <c r="C1090" s="71" t="s">
        <v>138</v>
      </c>
      <c r="D1090" s="56"/>
      <c r="E1090" s="56"/>
      <c r="F1090" s="56"/>
      <c r="G1090" s="56"/>
      <c r="H1090" s="56"/>
      <c r="I1090" s="58" t="str">
        <f t="shared" si="16"/>
        <v>5681108</v>
      </c>
      <c r="J1090" s="79"/>
      <c r="K1090" s="79"/>
      <c r="L1090" s="80" t="s">
        <v>1995</v>
      </c>
      <c r="M1090" s="84">
        <v>2.0</v>
      </c>
      <c r="N1090" s="81"/>
      <c r="O1090" s="58"/>
      <c r="P1090" s="61" t="s">
        <v>1996</v>
      </c>
      <c r="Q1090" s="59" t="s">
        <v>113</v>
      </c>
      <c r="R1090" s="58"/>
      <c r="S1090" s="58"/>
      <c r="T1090" s="58"/>
      <c r="U1090" s="82">
        <v>1.0</v>
      </c>
      <c r="V1090" s="58"/>
      <c r="W1090" s="58"/>
      <c r="X1090" s="81"/>
      <c r="Y1090" s="81"/>
      <c r="Z1090" s="81"/>
      <c r="AA1090" s="79"/>
      <c r="AB1090" s="79"/>
      <c r="AC1090" s="81"/>
      <c r="AD1090" s="81"/>
      <c r="AE1090" s="81"/>
      <c r="AF1090" s="81"/>
      <c r="AG1090" s="81"/>
      <c r="AH1090" s="81"/>
      <c r="AI1090" s="81"/>
      <c r="AJ1090" s="81"/>
      <c r="AK1090" s="81"/>
      <c r="AL1090" s="81"/>
      <c r="AM1090" s="81"/>
      <c r="AN1090" s="81"/>
      <c r="AO1090" s="81"/>
      <c r="AP1090" s="81"/>
      <c r="AQ1090" s="81"/>
      <c r="AR1090" s="81"/>
      <c r="AS1090" s="81"/>
      <c r="AT1090" s="81"/>
      <c r="AU1090" s="81"/>
      <c r="AV1090" s="81"/>
      <c r="AW1090" s="81"/>
      <c r="AX1090" s="81"/>
      <c r="AY1090" s="81"/>
      <c r="AZ1090" s="81"/>
      <c r="BA1090" s="81"/>
      <c r="BB1090" s="81"/>
      <c r="BC1090" s="81"/>
      <c r="BD1090" s="81"/>
      <c r="BE1090" s="81"/>
      <c r="BF1090" s="81"/>
      <c r="BG1090" s="81"/>
      <c r="BH1090" s="91" t="s">
        <v>1984</v>
      </c>
      <c r="BI1090" s="123">
        <v>253.0</v>
      </c>
      <c r="BJ1090" s="58"/>
      <c r="BK1090" s="56"/>
      <c r="BL1090" s="79"/>
      <c r="BM1090" s="81"/>
      <c r="BN1090" s="81"/>
      <c r="BO1090" s="83"/>
      <c r="BP1090" s="58"/>
      <c r="BQ1090" s="64"/>
    </row>
    <row r="1091">
      <c r="A1091" s="70">
        <v>4.0</v>
      </c>
      <c r="B1091" s="71" t="s">
        <v>1979</v>
      </c>
      <c r="C1091" s="71" t="s">
        <v>142</v>
      </c>
      <c r="D1091" s="56"/>
      <c r="E1091" s="56"/>
      <c r="F1091" s="56"/>
      <c r="G1091" s="56"/>
      <c r="H1091" s="56"/>
      <c r="I1091" s="58" t="str">
        <f t="shared" si="16"/>
        <v>5681109</v>
      </c>
      <c r="J1091" s="79"/>
      <c r="K1091" s="79"/>
      <c r="L1091" s="80" t="s">
        <v>1997</v>
      </c>
      <c r="M1091" s="84">
        <v>2.0</v>
      </c>
      <c r="N1091" s="81"/>
      <c r="O1091" s="58"/>
      <c r="P1091" s="61" t="s">
        <v>1998</v>
      </c>
      <c r="Q1091" s="59" t="s">
        <v>113</v>
      </c>
      <c r="R1091" s="58"/>
      <c r="S1091" s="58"/>
      <c r="T1091" s="58"/>
      <c r="U1091" s="82">
        <v>1.0</v>
      </c>
      <c r="V1091" s="58"/>
      <c r="W1091" s="58"/>
      <c r="X1091" s="81"/>
      <c r="Y1091" s="81"/>
      <c r="Z1091" s="81"/>
      <c r="AA1091" s="79"/>
      <c r="AB1091" s="79"/>
      <c r="AC1091" s="81"/>
      <c r="AD1091" s="81"/>
      <c r="AE1091" s="81"/>
      <c r="AF1091" s="81"/>
      <c r="AG1091" s="81"/>
      <c r="AH1091" s="81"/>
      <c r="AI1091" s="81"/>
      <c r="AJ1091" s="81"/>
      <c r="AK1091" s="81"/>
      <c r="AL1091" s="81"/>
      <c r="AM1091" s="81"/>
      <c r="AN1091" s="81"/>
      <c r="AO1091" s="81"/>
      <c r="AP1091" s="81"/>
      <c r="AQ1091" s="81"/>
      <c r="AR1091" s="81"/>
      <c r="AS1091" s="81"/>
      <c r="AT1091" s="81"/>
      <c r="AU1091" s="81"/>
      <c r="AV1091" s="81"/>
      <c r="AW1091" s="81"/>
      <c r="AX1091" s="81"/>
      <c r="AY1091" s="81"/>
      <c r="AZ1091" s="81"/>
      <c r="BA1091" s="81"/>
      <c r="BB1091" s="81"/>
      <c r="BC1091" s="81"/>
      <c r="BD1091" s="81"/>
      <c r="BE1091" s="81"/>
      <c r="BF1091" s="81"/>
      <c r="BG1091" s="81"/>
      <c r="BH1091" s="91" t="s">
        <v>1984</v>
      </c>
      <c r="BI1091" s="123">
        <v>255.0</v>
      </c>
      <c r="BJ1091" s="58"/>
      <c r="BK1091" s="79"/>
      <c r="BL1091" s="79"/>
      <c r="BM1091" s="81"/>
      <c r="BN1091" s="81"/>
      <c r="BO1091" s="83"/>
      <c r="BP1091" s="58"/>
      <c r="BQ1091" s="64"/>
    </row>
    <row r="1092">
      <c r="A1092" s="70">
        <v>4.0</v>
      </c>
      <c r="B1092" s="71" t="s">
        <v>1979</v>
      </c>
      <c r="C1092" s="71" t="s">
        <v>149</v>
      </c>
      <c r="D1092" s="56"/>
      <c r="E1092" s="56"/>
      <c r="F1092" s="56"/>
      <c r="G1092" s="56"/>
      <c r="H1092" s="56"/>
      <c r="I1092" s="58" t="str">
        <f t="shared" si="16"/>
        <v>568110A</v>
      </c>
      <c r="J1092" s="56"/>
      <c r="K1092" s="56"/>
      <c r="L1092" s="80" t="s">
        <v>1999</v>
      </c>
      <c r="M1092" s="84">
        <v>2.0</v>
      </c>
      <c r="N1092" s="81"/>
      <c r="O1092" s="58"/>
      <c r="P1092" s="61" t="s">
        <v>2000</v>
      </c>
      <c r="Q1092" s="59" t="s">
        <v>113</v>
      </c>
      <c r="R1092" s="58"/>
      <c r="S1092" s="58"/>
      <c r="T1092" s="58"/>
      <c r="U1092" s="82">
        <v>8.0</v>
      </c>
      <c r="V1092" s="58"/>
      <c r="W1092" s="58"/>
      <c r="X1092" s="81"/>
      <c r="Y1092" s="81"/>
      <c r="Z1092" s="81"/>
      <c r="AA1092" s="56"/>
      <c r="AB1092" s="159"/>
      <c r="AC1092" s="81"/>
      <c r="AD1092" s="81"/>
      <c r="AE1092" s="81"/>
      <c r="AF1092" s="81"/>
      <c r="AG1092" s="81"/>
      <c r="AH1092" s="81"/>
      <c r="AI1092" s="81"/>
      <c r="AJ1092" s="81"/>
      <c r="AK1092" s="81"/>
      <c r="AL1092" s="81"/>
      <c r="AM1092" s="81"/>
      <c r="AN1092" s="81"/>
      <c r="AO1092" s="81"/>
      <c r="AP1092" s="81"/>
      <c r="AQ1092" s="81"/>
      <c r="AR1092" s="81"/>
      <c r="AS1092" s="81"/>
      <c r="AT1092" s="81"/>
      <c r="AU1092" s="81"/>
      <c r="AV1092" s="81"/>
      <c r="AW1092" s="81"/>
      <c r="AX1092" s="81"/>
      <c r="AY1092" s="81"/>
      <c r="AZ1092" s="81"/>
      <c r="BA1092" s="81"/>
      <c r="BB1092" s="81"/>
      <c r="BC1092" s="81"/>
      <c r="BD1092" s="81"/>
      <c r="BE1092" s="81"/>
      <c r="BF1092" s="81"/>
      <c r="BG1092" s="81"/>
      <c r="BH1092" s="91" t="s">
        <v>1984</v>
      </c>
      <c r="BI1092" s="123">
        <v>187.0</v>
      </c>
      <c r="BJ1092" s="58"/>
      <c r="BK1092" s="79"/>
      <c r="BL1092" s="79"/>
      <c r="BM1092" s="81"/>
      <c r="BN1092" s="81"/>
      <c r="BO1092" s="83"/>
      <c r="BP1092" s="58"/>
      <c r="BQ1092" s="64"/>
    </row>
    <row r="1093">
      <c r="A1093" s="70">
        <v>4.0</v>
      </c>
      <c r="B1093" s="71" t="s">
        <v>1979</v>
      </c>
      <c r="C1093" s="71" t="s">
        <v>151</v>
      </c>
      <c r="D1093" s="56"/>
      <c r="E1093" s="56"/>
      <c r="F1093" s="56"/>
      <c r="G1093" s="56"/>
      <c r="H1093" s="56"/>
      <c r="I1093" s="58" t="str">
        <f t="shared" si="16"/>
        <v>568110B</v>
      </c>
      <c r="J1093" s="79"/>
      <c r="K1093" s="79"/>
      <c r="L1093" s="80" t="s">
        <v>2001</v>
      </c>
      <c r="M1093" s="72">
        <v>2.0</v>
      </c>
      <c r="N1093" s="155"/>
      <c r="O1093" s="58"/>
      <c r="P1093" s="61" t="s">
        <v>2002</v>
      </c>
      <c r="Q1093" s="59" t="s">
        <v>113</v>
      </c>
      <c r="R1093" s="81"/>
      <c r="S1093" s="81"/>
      <c r="T1093" s="81"/>
      <c r="U1093" s="82">
        <v>1.0</v>
      </c>
      <c r="V1093" s="81"/>
      <c r="W1093" s="81"/>
      <c r="X1093" s="81"/>
      <c r="Y1093" s="81"/>
      <c r="Z1093" s="81"/>
      <c r="AA1093" s="79"/>
      <c r="AB1093" s="79"/>
      <c r="AC1093" s="81"/>
      <c r="AD1093" s="81"/>
      <c r="AE1093" s="81"/>
      <c r="AF1093" s="81"/>
      <c r="AG1093" s="81"/>
      <c r="AH1093" s="81"/>
      <c r="AI1093" s="81"/>
      <c r="AJ1093" s="81"/>
      <c r="AK1093" s="81"/>
      <c r="AL1093" s="81"/>
      <c r="AM1093" s="81"/>
      <c r="AN1093" s="81"/>
      <c r="AO1093" s="81"/>
      <c r="AP1093" s="81"/>
      <c r="AQ1093" s="81"/>
      <c r="AR1093" s="81"/>
      <c r="AS1093" s="81"/>
      <c r="AT1093" s="81"/>
      <c r="AU1093" s="81"/>
      <c r="AV1093" s="81"/>
      <c r="AW1093" s="81"/>
      <c r="AX1093" s="81"/>
      <c r="AY1093" s="81"/>
      <c r="AZ1093" s="81"/>
      <c r="BA1093" s="81"/>
      <c r="BB1093" s="81"/>
      <c r="BC1093" s="81"/>
      <c r="BD1093" s="81"/>
      <c r="BE1093" s="81"/>
      <c r="BF1093" s="81"/>
      <c r="BG1093" s="81"/>
      <c r="BH1093" s="91" t="s">
        <v>1984</v>
      </c>
      <c r="BI1093" s="123">
        <v>257.0</v>
      </c>
      <c r="BJ1093" s="58"/>
      <c r="BK1093" s="79"/>
      <c r="BL1093" s="79"/>
      <c r="BM1093" s="81"/>
      <c r="BN1093" s="81"/>
      <c r="BO1093" s="83"/>
      <c r="BP1093" s="58"/>
      <c r="BQ1093" s="64"/>
    </row>
    <row r="1094">
      <c r="A1094" s="70">
        <v>4.0</v>
      </c>
      <c r="B1094" s="71" t="s">
        <v>1979</v>
      </c>
      <c r="C1094" s="71" t="s">
        <v>155</v>
      </c>
      <c r="D1094" s="56"/>
      <c r="E1094" s="56"/>
      <c r="F1094" s="56"/>
      <c r="G1094" s="56"/>
      <c r="H1094" s="56"/>
      <c r="I1094" s="58" t="str">
        <f t="shared" si="16"/>
        <v>568110C</v>
      </c>
      <c r="J1094" s="79"/>
      <c r="K1094" s="79"/>
      <c r="L1094" s="80" t="s">
        <v>2003</v>
      </c>
      <c r="M1094" s="72">
        <v>2.0</v>
      </c>
      <c r="N1094" s="155"/>
      <c r="O1094" s="58"/>
      <c r="P1094" s="61" t="s">
        <v>2004</v>
      </c>
      <c r="Q1094" s="59" t="s">
        <v>113</v>
      </c>
      <c r="R1094" s="81"/>
      <c r="S1094" s="81"/>
      <c r="T1094" s="81"/>
      <c r="U1094" s="82">
        <v>1.0</v>
      </c>
      <c r="V1094" s="81"/>
      <c r="W1094" s="61" t="s">
        <v>304</v>
      </c>
      <c r="X1094" s="81"/>
      <c r="Y1094" s="81"/>
      <c r="Z1094" s="81"/>
      <c r="AA1094" s="79"/>
      <c r="AB1094" s="79"/>
      <c r="AC1094" s="81"/>
      <c r="AD1094" s="81"/>
      <c r="AE1094" s="81"/>
      <c r="AF1094" s="81"/>
      <c r="AG1094" s="81"/>
      <c r="AH1094" s="81"/>
      <c r="AI1094" s="81"/>
      <c r="AJ1094" s="81"/>
      <c r="AK1094" s="81"/>
      <c r="AL1094" s="81"/>
      <c r="AM1094" s="81"/>
      <c r="AN1094" s="81"/>
      <c r="AO1094" s="81"/>
      <c r="AP1094" s="81"/>
      <c r="AQ1094" s="81"/>
      <c r="AR1094" s="81"/>
      <c r="AS1094" s="81"/>
      <c r="AT1094" s="81"/>
      <c r="AU1094" s="81"/>
      <c r="AV1094" s="81"/>
      <c r="AW1094" s="81"/>
      <c r="AX1094" s="81"/>
      <c r="AY1094" s="81"/>
      <c r="AZ1094" s="81"/>
      <c r="BA1094" s="81"/>
      <c r="BB1094" s="81"/>
      <c r="BC1094" s="81"/>
      <c r="BD1094" s="81"/>
      <c r="BE1094" s="81"/>
      <c r="BF1094" s="81"/>
      <c r="BG1094" s="81"/>
      <c r="BH1094" s="91" t="s">
        <v>1984</v>
      </c>
      <c r="BI1094" s="123">
        <v>257.0</v>
      </c>
      <c r="BJ1094" s="58"/>
      <c r="BK1094" s="79"/>
      <c r="BL1094" s="79"/>
      <c r="BM1094" s="81"/>
      <c r="BN1094" s="81"/>
      <c r="BO1094" s="83"/>
      <c r="BP1094" s="58"/>
      <c r="BQ1094" s="64"/>
    </row>
    <row r="1095">
      <c r="A1095" s="70">
        <v>4.0</v>
      </c>
      <c r="B1095" s="71" t="s">
        <v>1979</v>
      </c>
      <c r="C1095" s="71" t="s">
        <v>158</v>
      </c>
      <c r="D1095" s="56"/>
      <c r="E1095" s="56"/>
      <c r="F1095" s="56"/>
      <c r="G1095" s="56"/>
      <c r="H1095" s="56"/>
      <c r="I1095" s="58" t="str">
        <f t="shared" si="16"/>
        <v>568110D</v>
      </c>
      <c r="J1095" s="58"/>
      <c r="K1095" s="58"/>
      <c r="L1095" s="59" t="s">
        <v>2005</v>
      </c>
      <c r="M1095" s="60">
        <v>1.0</v>
      </c>
      <c r="N1095" s="72" t="s">
        <v>2006</v>
      </c>
      <c r="O1095" s="73">
        <v>230.0</v>
      </c>
      <c r="P1095" s="58"/>
      <c r="Q1095" s="58"/>
      <c r="R1095" s="58"/>
      <c r="S1095" s="58"/>
      <c r="T1095" s="58"/>
      <c r="U1095" s="72">
        <v>1.0</v>
      </c>
      <c r="V1095" s="58"/>
      <c r="W1095" s="72" t="s">
        <v>78</v>
      </c>
      <c r="X1095" s="58"/>
      <c r="Y1095" s="58"/>
      <c r="Z1095" s="58"/>
      <c r="AA1095" s="62" t="s">
        <v>79</v>
      </c>
      <c r="AB1095" s="62" t="s">
        <v>79</v>
      </c>
      <c r="AC1095" s="58"/>
      <c r="AD1095" s="58"/>
      <c r="AE1095" s="58"/>
      <c r="AF1095" s="58"/>
      <c r="AG1095" s="58"/>
      <c r="AH1095" s="58"/>
      <c r="AI1095" s="58"/>
      <c r="AJ1095" s="58"/>
      <c r="AK1095" s="58"/>
      <c r="AL1095" s="58"/>
      <c r="AM1095" s="58"/>
      <c r="AN1095" s="58"/>
      <c r="AO1095" s="58"/>
      <c r="AP1095" s="72" t="s">
        <v>2007</v>
      </c>
      <c r="AQ1095" s="72">
        <v>2850.0</v>
      </c>
      <c r="AR1095" s="58"/>
      <c r="AS1095" s="58"/>
      <c r="AT1095" s="58"/>
      <c r="AU1095" s="58"/>
      <c r="AV1095" s="58"/>
      <c r="AW1095" s="58"/>
      <c r="AX1095" s="58"/>
      <c r="AY1095" s="58"/>
      <c r="AZ1095" s="58"/>
      <c r="BA1095" s="58"/>
      <c r="BB1095" s="92">
        <v>1489.0</v>
      </c>
      <c r="BC1095" s="60">
        <v>500.0</v>
      </c>
      <c r="BD1095" s="58"/>
      <c r="BE1095" s="58"/>
      <c r="BF1095" s="58"/>
      <c r="BG1095" s="58"/>
      <c r="BH1095" s="58"/>
      <c r="BI1095" s="58"/>
      <c r="BJ1095" s="58"/>
      <c r="BK1095" s="58"/>
      <c r="BL1095" s="58"/>
      <c r="BM1095" s="58"/>
      <c r="BN1095" s="63"/>
      <c r="BO1095" s="58"/>
      <c r="BP1095" s="58"/>
      <c r="BQ1095" s="64"/>
    </row>
    <row r="1096">
      <c r="A1096" s="1">
        <v>4.0</v>
      </c>
      <c r="B1096" s="2" t="s">
        <v>1979</v>
      </c>
      <c r="C1096" s="2" t="s">
        <v>162</v>
      </c>
      <c r="D1096" s="93"/>
      <c r="E1096" s="93"/>
      <c r="F1096" s="93"/>
      <c r="G1096" s="93"/>
      <c r="H1096" s="93"/>
      <c r="I1096" s="3" t="str">
        <f t="shared" si="16"/>
        <v>568110E</v>
      </c>
      <c r="J1096" s="3"/>
      <c r="K1096" s="3"/>
      <c r="L1096" s="94" t="s">
        <v>2008</v>
      </c>
      <c r="M1096" s="4">
        <v>1.0</v>
      </c>
      <c r="N1096" s="6" t="s">
        <v>2009</v>
      </c>
      <c r="O1096" s="95" t="s">
        <v>2010</v>
      </c>
      <c r="P1096" s="3"/>
      <c r="Q1096" s="3"/>
      <c r="R1096" s="3"/>
      <c r="S1096" s="3"/>
      <c r="T1096" s="3"/>
      <c r="U1096" s="6">
        <v>1.0</v>
      </c>
      <c r="V1096" s="3"/>
      <c r="W1096" s="6" t="s">
        <v>78</v>
      </c>
      <c r="X1096" s="3"/>
      <c r="Y1096" s="3"/>
      <c r="Z1096" s="3"/>
      <c r="AA1096" s="96" t="s">
        <v>79</v>
      </c>
      <c r="AB1096" s="96" t="s">
        <v>79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6" t="s">
        <v>2011</v>
      </c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97"/>
      <c r="BO1096" s="3"/>
      <c r="BP1096" s="3"/>
      <c r="BQ1096" s="10"/>
    </row>
    <row r="1097">
      <c r="A1097" s="1">
        <v>4.0</v>
      </c>
      <c r="B1097" s="2" t="s">
        <v>1979</v>
      </c>
      <c r="C1097" s="2" t="s">
        <v>166</v>
      </c>
      <c r="D1097" s="93"/>
      <c r="E1097" s="93"/>
      <c r="F1097" s="93"/>
      <c r="G1097" s="93"/>
      <c r="H1097" s="93"/>
      <c r="I1097" s="3" t="str">
        <f t="shared" si="16"/>
        <v>568110F</v>
      </c>
      <c r="J1097" s="3"/>
      <c r="K1097" s="3"/>
      <c r="L1097" s="94" t="s">
        <v>1105</v>
      </c>
      <c r="M1097" s="4">
        <v>2.0</v>
      </c>
      <c r="N1097" s="3"/>
      <c r="O1097" s="93"/>
      <c r="P1097" s="3"/>
      <c r="Q1097" s="3"/>
      <c r="R1097" s="3"/>
      <c r="S1097" s="3"/>
      <c r="T1097" s="3"/>
      <c r="U1097" s="6">
        <v>1.0</v>
      </c>
      <c r="V1097" s="3"/>
      <c r="W1097" s="6" t="s">
        <v>304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97"/>
      <c r="BO1097" s="3"/>
      <c r="BP1097" s="3"/>
      <c r="BQ1097" s="10"/>
    </row>
    <row r="1098">
      <c r="A1098" s="1">
        <v>4.0</v>
      </c>
      <c r="B1098" s="2" t="s">
        <v>1979</v>
      </c>
      <c r="C1098" s="2" t="s">
        <v>170</v>
      </c>
      <c r="D1098" s="93"/>
      <c r="E1098" s="93"/>
      <c r="F1098" s="93"/>
      <c r="G1098" s="93"/>
      <c r="H1098" s="93"/>
      <c r="I1098" s="3" t="str">
        <f t="shared" si="16"/>
        <v>568110G</v>
      </c>
      <c r="J1098" s="3"/>
      <c r="K1098" s="3"/>
      <c r="L1098" s="94" t="s">
        <v>2012</v>
      </c>
      <c r="M1098" s="4">
        <v>2.0</v>
      </c>
      <c r="N1098" s="3"/>
      <c r="O1098" s="93"/>
      <c r="P1098" s="3"/>
      <c r="Q1098" s="3"/>
      <c r="R1098" s="3"/>
      <c r="S1098" s="3"/>
      <c r="T1098" s="3"/>
      <c r="U1098" s="6">
        <v>1.0</v>
      </c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97"/>
      <c r="BO1098" s="3"/>
      <c r="BP1098" s="3"/>
      <c r="BQ1098" s="10"/>
    </row>
    <row r="1099">
      <c r="A1099" s="45">
        <v>3.0</v>
      </c>
      <c r="B1099" s="46" t="s">
        <v>2013</v>
      </c>
      <c r="C1099" s="47"/>
      <c r="D1099" s="47"/>
      <c r="E1099" s="47"/>
      <c r="F1099" s="47"/>
      <c r="G1099" s="47"/>
      <c r="H1099" s="47"/>
      <c r="I1099" s="48" t="str">
        <f t="shared" si="16"/>
        <v>56812</v>
      </c>
      <c r="J1099" s="51"/>
      <c r="K1099" s="51"/>
      <c r="L1099" s="48" t="s">
        <v>2014</v>
      </c>
      <c r="M1099" s="157">
        <v>1.0</v>
      </c>
      <c r="N1099" s="51"/>
      <c r="O1099" s="47"/>
      <c r="P1099" s="51"/>
      <c r="Q1099" s="51"/>
      <c r="R1099" s="51"/>
      <c r="S1099" s="51"/>
      <c r="T1099" s="51"/>
      <c r="U1099" s="52">
        <v>1.0</v>
      </c>
      <c r="V1099" s="51"/>
      <c r="W1099" s="52" t="s">
        <v>70</v>
      </c>
      <c r="X1099" s="51"/>
      <c r="Y1099" s="51"/>
      <c r="Z1099" s="51"/>
      <c r="AA1099" s="51"/>
      <c r="AB1099" s="51"/>
      <c r="AC1099" s="51"/>
      <c r="AD1099" s="51"/>
      <c r="AE1099" s="51"/>
      <c r="AF1099" s="51"/>
      <c r="AG1099" s="51"/>
      <c r="AH1099" s="51"/>
      <c r="AI1099" s="51"/>
      <c r="AJ1099" s="51"/>
      <c r="AK1099" s="51"/>
      <c r="AL1099" s="51"/>
      <c r="AM1099" s="51"/>
      <c r="AN1099" s="51"/>
      <c r="AO1099" s="51"/>
      <c r="AP1099" s="51"/>
      <c r="AQ1099" s="51"/>
      <c r="AR1099" s="51"/>
      <c r="AS1099" s="51"/>
      <c r="AT1099" s="51"/>
      <c r="AU1099" s="51"/>
      <c r="AV1099" s="51"/>
      <c r="AW1099" s="51"/>
      <c r="AX1099" s="51"/>
      <c r="AY1099" s="51"/>
      <c r="AZ1099" s="51"/>
      <c r="BA1099" s="51"/>
      <c r="BB1099" s="51"/>
      <c r="BC1099" s="51"/>
      <c r="BD1099" s="51"/>
      <c r="BE1099" s="51"/>
      <c r="BF1099" s="51"/>
      <c r="BG1099" s="51"/>
      <c r="BH1099" s="51"/>
      <c r="BI1099" s="51"/>
      <c r="BJ1099" s="51"/>
      <c r="BK1099" s="51"/>
      <c r="BL1099" s="51"/>
      <c r="BM1099" s="51"/>
      <c r="BN1099" s="158"/>
      <c r="BO1099" s="51"/>
      <c r="BP1099" s="51"/>
      <c r="BQ1099" s="10"/>
    </row>
    <row r="1100">
      <c r="A1100" s="70">
        <v>4.0</v>
      </c>
      <c r="B1100" s="71" t="s">
        <v>2013</v>
      </c>
      <c r="C1100" s="71" t="s">
        <v>76</v>
      </c>
      <c r="D1100" s="56"/>
      <c r="E1100" s="56"/>
      <c r="F1100" s="56"/>
      <c r="G1100" s="56"/>
      <c r="H1100" s="56"/>
      <c r="I1100" s="58" t="str">
        <f t="shared" si="16"/>
        <v>5681201</v>
      </c>
      <c r="J1100" s="79"/>
      <c r="K1100" s="79"/>
      <c r="L1100" s="80" t="s">
        <v>1981</v>
      </c>
      <c r="M1100" s="84">
        <v>1.0</v>
      </c>
      <c r="N1100" s="123" t="s">
        <v>1982</v>
      </c>
      <c r="O1100" s="73" t="s">
        <v>2015</v>
      </c>
      <c r="P1100" s="61" t="s">
        <v>2016</v>
      </c>
      <c r="Q1100" s="59" t="s">
        <v>113</v>
      </c>
      <c r="R1100" s="81"/>
      <c r="S1100" s="81"/>
      <c r="T1100" s="81"/>
      <c r="U1100" s="123">
        <v>1.0</v>
      </c>
      <c r="V1100" s="81"/>
      <c r="W1100" s="123" t="s">
        <v>78</v>
      </c>
      <c r="X1100" s="81"/>
      <c r="Y1100" s="81"/>
      <c r="Z1100" s="81"/>
      <c r="AA1100" s="134" t="s">
        <v>79</v>
      </c>
      <c r="AB1100" s="79"/>
      <c r="AC1100" s="81"/>
      <c r="AD1100" s="81"/>
      <c r="AE1100" s="81"/>
      <c r="AF1100" s="81"/>
      <c r="AG1100" s="81"/>
      <c r="AH1100" s="81"/>
      <c r="AI1100" s="81"/>
      <c r="AJ1100" s="81"/>
      <c r="AK1100" s="81"/>
      <c r="AL1100" s="81"/>
      <c r="AM1100" s="81"/>
      <c r="AN1100" s="81"/>
      <c r="AO1100" s="81"/>
      <c r="AP1100" s="123" t="s">
        <v>2017</v>
      </c>
      <c r="AQ1100" s="123">
        <v>245000.0</v>
      </c>
      <c r="AR1100" s="81"/>
      <c r="AS1100" s="81"/>
      <c r="AT1100" s="81"/>
      <c r="AU1100" s="81"/>
      <c r="AV1100" s="123" t="s">
        <v>1983</v>
      </c>
      <c r="AW1100" s="81"/>
      <c r="AX1100" s="81"/>
      <c r="AY1100" s="81"/>
      <c r="AZ1100" s="81"/>
      <c r="BA1100" s="81"/>
      <c r="BB1100" s="81"/>
      <c r="BC1100" s="81"/>
      <c r="BD1100" s="81"/>
      <c r="BE1100" s="81"/>
      <c r="BF1100" s="81"/>
      <c r="BG1100" s="58"/>
      <c r="BH1100" s="91" t="s">
        <v>1984</v>
      </c>
      <c r="BI1100" s="61">
        <v>185.0</v>
      </c>
      <c r="BJ1100" s="58"/>
      <c r="BK1100" s="58"/>
      <c r="BL1100" s="79"/>
      <c r="BM1100" s="81"/>
      <c r="BN1100" s="81"/>
      <c r="BO1100" s="83"/>
      <c r="BP1100" s="58"/>
      <c r="BQ1100" s="64"/>
    </row>
    <row r="1101">
      <c r="A1101" s="70">
        <v>4.0</v>
      </c>
      <c r="B1101" s="71" t="s">
        <v>2013</v>
      </c>
      <c r="C1101" s="71" t="s">
        <v>119</v>
      </c>
      <c r="D1101" s="56"/>
      <c r="E1101" s="56"/>
      <c r="F1101" s="56"/>
      <c r="G1101" s="56"/>
      <c r="H1101" s="56"/>
      <c r="I1101" s="58" t="str">
        <f t="shared" si="16"/>
        <v>5681202</v>
      </c>
      <c r="J1101" s="79"/>
      <c r="K1101" s="79"/>
      <c r="L1101" s="80" t="s">
        <v>1985</v>
      </c>
      <c r="M1101" s="84">
        <v>2.0</v>
      </c>
      <c r="N1101" s="81"/>
      <c r="O1101" s="56"/>
      <c r="P1101" s="61" t="s">
        <v>1986</v>
      </c>
      <c r="Q1101" s="59" t="s">
        <v>113</v>
      </c>
      <c r="R1101" s="58"/>
      <c r="S1101" s="58"/>
      <c r="T1101" s="58"/>
      <c r="U1101" s="82">
        <v>1.0</v>
      </c>
      <c r="V1101" s="58"/>
      <c r="W1101" s="58"/>
      <c r="X1101" s="81"/>
      <c r="Y1101" s="81"/>
      <c r="Z1101" s="81"/>
      <c r="AA1101" s="79"/>
      <c r="AB1101" s="79"/>
      <c r="AC1101" s="81"/>
      <c r="AD1101" s="81"/>
      <c r="AE1101" s="81"/>
      <c r="AF1101" s="81"/>
      <c r="AG1101" s="81"/>
      <c r="AH1101" s="81"/>
      <c r="AI1101" s="81"/>
      <c r="AJ1101" s="81"/>
      <c r="AK1101" s="81"/>
      <c r="AL1101" s="81"/>
      <c r="AM1101" s="81"/>
      <c r="AN1101" s="81"/>
      <c r="AO1101" s="81"/>
      <c r="AP1101" s="81"/>
      <c r="AQ1101" s="81"/>
      <c r="AR1101" s="81"/>
      <c r="AS1101" s="81"/>
      <c r="AT1101" s="81"/>
      <c r="AU1101" s="81"/>
      <c r="AV1101" s="81"/>
      <c r="AW1101" s="81"/>
      <c r="AX1101" s="81"/>
      <c r="AY1101" s="81"/>
      <c r="AZ1101" s="81"/>
      <c r="BA1101" s="81"/>
      <c r="BB1101" s="81"/>
      <c r="BC1101" s="81"/>
      <c r="BD1101" s="81"/>
      <c r="BE1101" s="81"/>
      <c r="BF1101" s="81"/>
      <c r="BG1101" s="81"/>
      <c r="BH1101" s="91" t="s">
        <v>1984</v>
      </c>
      <c r="BI1101" s="123">
        <v>217.0</v>
      </c>
      <c r="BJ1101" s="59">
        <v>1242350.0</v>
      </c>
      <c r="BK1101" s="58"/>
      <c r="BL1101" s="79"/>
      <c r="BM1101" s="81"/>
      <c r="BN1101" s="81"/>
      <c r="BO1101" s="83"/>
      <c r="BP1101" s="58"/>
      <c r="BQ1101" s="64"/>
    </row>
    <row r="1102">
      <c r="A1102" s="70">
        <v>4.0</v>
      </c>
      <c r="B1102" s="71" t="s">
        <v>2013</v>
      </c>
      <c r="C1102" s="71" t="s">
        <v>124</v>
      </c>
      <c r="D1102" s="56"/>
      <c r="E1102" s="56"/>
      <c r="F1102" s="56"/>
      <c r="G1102" s="56"/>
      <c r="H1102" s="56"/>
      <c r="I1102" s="58" t="str">
        <f t="shared" si="16"/>
        <v>5681203</v>
      </c>
      <c r="J1102" s="79"/>
      <c r="K1102" s="79"/>
      <c r="L1102" s="80" t="s">
        <v>1987</v>
      </c>
      <c r="M1102" s="84">
        <v>2.0</v>
      </c>
      <c r="N1102" s="81"/>
      <c r="O1102" s="58"/>
      <c r="P1102" s="61" t="s">
        <v>1988</v>
      </c>
      <c r="Q1102" s="59" t="s">
        <v>113</v>
      </c>
      <c r="R1102" s="58"/>
      <c r="S1102" s="58"/>
      <c r="T1102" s="58"/>
      <c r="U1102" s="82">
        <v>1.0</v>
      </c>
      <c r="V1102" s="58"/>
      <c r="W1102" s="58"/>
      <c r="X1102" s="81"/>
      <c r="Y1102" s="81"/>
      <c r="Z1102" s="81"/>
      <c r="AA1102" s="79"/>
      <c r="AB1102" s="79"/>
      <c r="AC1102" s="81"/>
      <c r="AD1102" s="81"/>
      <c r="AE1102" s="81"/>
      <c r="AF1102" s="81"/>
      <c r="AG1102" s="81"/>
      <c r="AH1102" s="81"/>
      <c r="AI1102" s="81"/>
      <c r="AJ1102" s="81"/>
      <c r="AK1102" s="81"/>
      <c r="AL1102" s="81"/>
      <c r="AM1102" s="81"/>
      <c r="AN1102" s="81"/>
      <c r="AO1102" s="81"/>
      <c r="AP1102" s="81"/>
      <c r="AQ1102" s="81"/>
      <c r="AR1102" s="81"/>
      <c r="AS1102" s="81"/>
      <c r="AT1102" s="81"/>
      <c r="AU1102" s="81"/>
      <c r="AV1102" s="81"/>
      <c r="AW1102" s="81"/>
      <c r="AX1102" s="81"/>
      <c r="AY1102" s="81"/>
      <c r="AZ1102" s="81"/>
      <c r="BA1102" s="81"/>
      <c r="BB1102" s="81"/>
      <c r="BC1102" s="81"/>
      <c r="BD1102" s="81"/>
      <c r="BE1102" s="81"/>
      <c r="BF1102" s="81"/>
      <c r="BG1102" s="81"/>
      <c r="BH1102" s="91" t="s">
        <v>1984</v>
      </c>
      <c r="BI1102" s="123">
        <v>220.0</v>
      </c>
      <c r="BJ1102" s="59">
        <v>1264920.0</v>
      </c>
      <c r="BK1102" s="61" t="s">
        <v>1989</v>
      </c>
      <c r="BL1102" s="79"/>
      <c r="BM1102" s="81"/>
      <c r="BN1102" s="81"/>
      <c r="BO1102" s="83"/>
      <c r="BP1102" s="58"/>
      <c r="BQ1102" s="64"/>
    </row>
    <row r="1103">
      <c r="A1103" s="70">
        <v>4.0</v>
      </c>
      <c r="B1103" s="71" t="s">
        <v>2013</v>
      </c>
      <c r="C1103" s="71" t="s">
        <v>127</v>
      </c>
      <c r="D1103" s="56"/>
      <c r="E1103" s="56"/>
      <c r="F1103" s="56"/>
      <c r="G1103" s="56"/>
      <c r="H1103" s="56"/>
      <c r="I1103" s="58" t="str">
        <f t="shared" si="16"/>
        <v>5681204</v>
      </c>
      <c r="J1103" s="79"/>
      <c r="K1103" s="79"/>
      <c r="L1103" s="80" t="s">
        <v>2018</v>
      </c>
      <c r="M1103" s="84">
        <v>1.0</v>
      </c>
      <c r="N1103" s="123" t="s">
        <v>2019</v>
      </c>
      <c r="O1103" s="58"/>
      <c r="P1103" s="61">
        <v>1222386.0</v>
      </c>
      <c r="Q1103" s="59" t="s">
        <v>113</v>
      </c>
      <c r="R1103" s="58"/>
      <c r="S1103" s="58"/>
      <c r="T1103" s="58"/>
      <c r="U1103" s="82">
        <v>1.0</v>
      </c>
      <c r="V1103" s="58"/>
      <c r="W1103" s="61" t="s">
        <v>78</v>
      </c>
      <c r="X1103" s="81"/>
      <c r="Y1103" s="81"/>
      <c r="Z1103" s="81"/>
      <c r="AA1103" s="134" t="s">
        <v>79</v>
      </c>
      <c r="AB1103" s="134" t="s">
        <v>79</v>
      </c>
      <c r="AC1103" s="81"/>
      <c r="AD1103" s="81"/>
      <c r="AE1103" s="81"/>
      <c r="AF1103" s="81"/>
      <c r="AG1103" s="81"/>
      <c r="AH1103" s="81"/>
      <c r="AI1103" s="81"/>
      <c r="AJ1103" s="81"/>
      <c r="AK1103" s="81"/>
      <c r="AL1103" s="81"/>
      <c r="AM1103" s="81"/>
      <c r="AN1103" s="81"/>
      <c r="AO1103" s="81"/>
      <c r="AP1103" s="123" t="s">
        <v>80</v>
      </c>
      <c r="AQ1103" s="81"/>
      <c r="AR1103" s="81"/>
      <c r="AS1103" s="81"/>
      <c r="AT1103" s="81"/>
      <c r="AU1103" s="81"/>
      <c r="AV1103" s="81"/>
      <c r="AW1103" s="81"/>
      <c r="AX1103" s="81"/>
      <c r="AY1103" s="81"/>
      <c r="AZ1103" s="81"/>
      <c r="BA1103" s="81"/>
      <c r="BB1103" s="81"/>
      <c r="BC1103" s="81"/>
      <c r="BD1103" s="81"/>
      <c r="BE1103" s="81"/>
      <c r="BF1103" s="81"/>
      <c r="BG1103" s="81"/>
      <c r="BH1103" s="91" t="s">
        <v>1984</v>
      </c>
      <c r="BI1103" s="123">
        <v>185.0</v>
      </c>
      <c r="BJ1103" s="58"/>
      <c r="BK1103" s="58"/>
      <c r="BL1103" s="79"/>
      <c r="BM1103" s="81"/>
      <c r="BN1103" s="81"/>
      <c r="BO1103" s="83"/>
      <c r="BP1103" s="58"/>
      <c r="BQ1103" s="64"/>
    </row>
    <row r="1104">
      <c r="A1104" s="70">
        <v>4.0</v>
      </c>
      <c r="B1104" s="71" t="s">
        <v>2013</v>
      </c>
      <c r="C1104" s="71" t="s">
        <v>91</v>
      </c>
      <c r="D1104" s="56"/>
      <c r="E1104" s="56"/>
      <c r="F1104" s="56"/>
      <c r="G1104" s="56"/>
      <c r="H1104" s="56"/>
      <c r="I1104" s="58" t="str">
        <f t="shared" si="16"/>
        <v>5681205</v>
      </c>
      <c r="J1104" s="79"/>
      <c r="K1104" s="79"/>
      <c r="L1104" s="80" t="s">
        <v>1992</v>
      </c>
      <c r="M1104" s="84">
        <v>1.0</v>
      </c>
      <c r="N1104" s="81"/>
      <c r="O1104" s="58"/>
      <c r="P1104" s="61">
        <v>1266365.0</v>
      </c>
      <c r="Q1104" s="59" t="s">
        <v>113</v>
      </c>
      <c r="R1104" s="58"/>
      <c r="S1104" s="58"/>
      <c r="T1104" s="58"/>
      <c r="U1104" s="82">
        <v>1.0</v>
      </c>
      <c r="V1104" s="58"/>
      <c r="W1104" s="61" t="s">
        <v>78</v>
      </c>
      <c r="X1104" s="81"/>
      <c r="Y1104" s="81"/>
      <c r="Z1104" s="81"/>
      <c r="AA1104" s="134" t="s">
        <v>79</v>
      </c>
      <c r="AB1104" s="134" t="s">
        <v>79</v>
      </c>
      <c r="AC1104" s="81"/>
      <c r="AD1104" s="81"/>
      <c r="AE1104" s="81"/>
      <c r="AF1104" s="81"/>
      <c r="AG1104" s="81"/>
      <c r="AH1104" s="81"/>
      <c r="AI1104" s="81"/>
      <c r="AJ1104" s="81"/>
      <c r="AK1104" s="81"/>
      <c r="AL1104" s="81"/>
      <c r="AM1104" s="81"/>
      <c r="AN1104" s="81"/>
      <c r="AO1104" s="81"/>
      <c r="AP1104" s="123" t="s">
        <v>80</v>
      </c>
      <c r="AQ1104" s="81"/>
      <c r="AR1104" s="81"/>
      <c r="AS1104" s="81"/>
      <c r="AT1104" s="81"/>
      <c r="AU1104" s="81"/>
      <c r="AV1104" s="81"/>
      <c r="AW1104" s="81"/>
      <c r="AX1104" s="81"/>
      <c r="AY1104" s="81"/>
      <c r="AZ1104" s="81"/>
      <c r="BA1104" s="81"/>
      <c r="BB1104" s="81"/>
      <c r="BC1104" s="81"/>
      <c r="BD1104" s="81"/>
      <c r="BE1104" s="81"/>
      <c r="BF1104" s="81"/>
      <c r="BG1104" s="81"/>
      <c r="BH1104" s="91" t="s">
        <v>1984</v>
      </c>
      <c r="BI1104" s="123">
        <v>245.0</v>
      </c>
      <c r="BJ1104" s="58"/>
      <c r="BK1104" s="58"/>
      <c r="BL1104" s="79"/>
      <c r="BM1104" s="81"/>
      <c r="BN1104" s="81"/>
      <c r="BO1104" s="83"/>
      <c r="BP1104" s="58"/>
      <c r="BQ1104" s="64"/>
    </row>
    <row r="1105">
      <c r="A1105" s="70">
        <v>4.0</v>
      </c>
      <c r="B1105" s="71" t="s">
        <v>2013</v>
      </c>
      <c r="C1105" s="71" t="s">
        <v>133</v>
      </c>
      <c r="D1105" s="56"/>
      <c r="E1105" s="56"/>
      <c r="F1105" s="56"/>
      <c r="G1105" s="56"/>
      <c r="H1105" s="56"/>
      <c r="I1105" s="58" t="str">
        <f t="shared" si="16"/>
        <v>5681206</v>
      </c>
      <c r="J1105" s="79"/>
      <c r="K1105" s="79"/>
      <c r="L1105" s="80" t="s">
        <v>1993</v>
      </c>
      <c r="M1105" s="84">
        <v>2.0</v>
      </c>
      <c r="N1105" s="81"/>
      <c r="O1105" s="58"/>
      <c r="P1105" s="61" t="s">
        <v>1994</v>
      </c>
      <c r="Q1105" s="59" t="s">
        <v>113</v>
      </c>
      <c r="R1105" s="58"/>
      <c r="S1105" s="58"/>
      <c r="T1105" s="58"/>
      <c r="U1105" s="82">
        <v>1.0</v>
      </c>
      <c r="V1105" s="58"/>
      <c r="W1105" s="58"/>
      <c r="X1105" s="81"/>
      <c r="Y1105" s="81"/>
      <c r="Z1105" s="81"/>
      <c r="AA1105" s="79"/>
      <c r="AB1105" s="79"/>
      <c r="AC1105" s="81"/>
      <c r="AD1105" s="81"/>
      <c r="AE1105" s="81"/>
      <c r="AF1105" s="81"/>
      <c r="AG1105" s="81"/>
      <c r="AH1105" s="81"/>
      <c r="AI1105" s="81"/>
      <c r="AJ1105" s="81"/>
      <c r="AK1105" s="81"/>
      <c r="AL1105" s="81"/>
      <c r="AM1105" s="81"/>
      <c r="AN1105" s="81"/>
      <c r="AO1105" s="81"/>
      <c r="AP1105" s="81"/>
      <c r="AQ1105" s="81"/>
      <c r="AR1105" s="81"/>
      <c r="AS1105" s="81"/>
      <c r="AT1105" s="81"/>
      <c r="AU1105" s="81"/>
      <c r="AV1105" s="81"/>
      <c r="AW1105" s="81"/>
      <c r="AX1105" s="81"/>
      <c r="AY1105" s="81"/>
      <c r="AZ1105" s="81"/>
      <c r="BA1105" s="81"/>
      <c r="BB1105" s="81"/>
      <c r="BC1105" s="81"/>
      <c r="BD1105" s="81"/>
      <c r="BE1105" s="81"/>
      <c r="BF1105" s="81"/>
      <c r="BG1105" s="81"/>
      <c r="BH1105" s="91" t="s">
        <v>1984</v>
      </c>
      <c r="BI1105" s="123">
        <v>250.0</v>
      </c>
      <c r="BJ1105" s="58"/>
      <c r="BK1105" s="58"/>
      <c r="BL1105" s="79"/>
      <c r="BM1105" s="81"/>
      <c r="BN1105" s="81"/>
      <c r="BO1105" s="83"/>
      <c r="BP1105" s="58"/>
      <c r="BQ1105" s="64"/>
    </row>
    <row r="1106">
      <c r="A1106" s="70">
        <v>4.0</v>
      </c>
      <c r="B1106" s="71" t="s">
        <v>2013</v>
      </c>
      <c r="C1106" s="71" t="s">
        <v>136</v>
      </c>
      <c r="D1106" s="56"/>
      <c r="E1106" s="56"/>
      <c r="F1106" s="56"/>
      <c r="G1106" s="56"/>
      <c r="H1106" s="56"/>
      <c r="I1106" s="58" t="str">
        <f t="shared" si="16"/>
        <v>5681207</v>
      </c>
      <c r="J1106" s="79"/>
      <c r="K1106" s="79"/>
      <c r="L1106" s="80" t="s">
        <v>1995</v>
      </c>
      <c r="M1106" s="84">
        <v>2.0</v>
      </c>
      <c r="N1106" s="81"/>
      <c r="O1106" s="58"/>
      <c r="P1106" s="61" t="s">
        <v>1996</v>
      </c>
      <c r="Q1106" s="59" t="s">
        <v>113</v>
      </c>
      <c r="R1106" s="58"/>
      <c r="S1106" s="58"/>
      <c r="T1106" s="58"/>
      <c r="U1106" s="82">
        <v>1.0</v>
      </c>
      <c r="V1106" s="58"/>
      <c r="W1106" s="58"/>
      <c r="X1106" s="81"/>
      <c r="Y1106" s="81"/>
      <c r="Z1106" s="81"/>
      <c r="AA1106" s="79"/>
      <c r="AB1106" s="79"/>
      <c r="AC1106" s="81"/>
      <c r="AD1106" s="81"/>
      <c r="AE1106" s="81"/>
      <c r="AF1106" s="81"/>
      <c r="AG1106" s="81"/>
      <c r="AH1106" s="81"/>
      <c r="AI1106" s="81"/>
      <c r="AJ1106" s="81"/>
      <c r="AK1106" s="81"/>
      <c r="AL1106" s="81"/>
      <c r="AM1106" s="81"/>
      <c r="AN1106" s="81"/>
      <c r="AO1106" s="81"/>
      <c r="AP1106" s="81"/>
      <c r="AQ1106" s="81"/>
      <c r="AR1106" s="81"/>
      <c r="AS1106" s="81"/>
      <c r="AT1106" s="81"/>
      <c r="AU1106" s="81"/>
      <c r="AV1106" s="81"/>
      <c r="AW1106" s="81"/>
      <c r="AX1106" s="81"/>
      <c r="AY1106" s="81"/>
      <c r="AZ1106" s="81"/>
      <c r="BA1106" s="81"/>
      <c r="BB1106" s="81"/>
      <c r="BC1106" s="81"/>
      <c r="BD1106" s="81"/>
      <c r="BE1106" s="81"/>
      <c r="BF1106" s="81"/>
      <c r="BG1106" s="81"/>
      <c r="BH1106" s="91" t="s">
        <v>1984</v>
      </c>
      <c r="BI1106" s="123">
        <v>251.0</v>
      </c>
      <c r="BJ1106" s="58"/>
      <c r="BK1106" s="58"/>
      <c r="BL1106" s="79"/>
      <c r="BM1106" s="81"/>
      <c r="BN1106" s="81"/>
      <c r="BO1106" s="83"/>
      <c r="BP1106" s="58"/>
      <c r="BQ1106" s="64"/>
    </row>
    <row r="1107">
      <c r="A1107" s="70">
        <v>4.0</v>
      </c>
      <c r="B1107" s="71" t="s">
        <v>2013</v>
      </c>
      <c r="C1107" s="71" t="s">
        <v>138</v>
      </c>
      <c r="D1107" s="56"/>
      <c r="E1107" s="56"/>
      <c r="F1107" s="56"/>
      <c r="G1107" s="56"/>
      <c r="H1107" s="56"/>
      <c r="I1107" s="58" t="str">
        <f t="shared" si="16"/>
        <v>5681208</v>
      </c>
      <c r="J1107" s="79"/>
      <c r="K1107" s="79"/>
      <c r="L1107" s="80" t="s">
        <v>1997</v>
      </c>
      <c r="M1107" s="84">
        <v>2.0</v>
      </c>
      <c r="N1107" s="81"/>
      <c r="O1107" s="58"/>
      <c r="P1107" s="61" t="s">
        <v>1998</v>
      </c>
      <c r="Q1107" s="59" t="s">
        <v>113</v>
      </c>
      <c r="R1107" s="58"/>
      <c r="S1107" s="58"/>
      <c r="T1107" s="58"/>
      <c r="U1107" s="82">
        <v>1.0</v>
      </c>
      <c r="V1107" s="58"/>
      <c r="W1107" s="58"/>
      <c r="X1107" s="81"/>
      <c r="Y1107" s="81"/>
      <c r="Z1107" s="81"/>
      <c r="AA1107" s="79"/>
      <c r="AB1107" s="79"/>
      <c r="AC1107" s="81"/>
      <c r="AD1107" s="81"/>
      <c r="AE1107" s="81"/>
      <c r="AF1107" s="81"/>
      <c r="AG1107" s="81"/>
      <c r="AH1107" s="81"/>
      <c r="AI1107" s="81"/>
      <c r="AJ1107" s="81"/>
      <c r="AK1107" s="81"/>
      <c r="AL1107" s="81"/>
      <c r="AM1107" s="81"/>
      <c r="AN1107" s="81"/>
      <c r="AO1107" s="81"/>
      <c r="AP1107" s="81"/>
      <c r="AQ1107" s="81"/>
      <c r="AR1107" s="81"/>
      <c r="AS1107" s="81"/>
      <c r="AT1107" s="81"/>
      <c r="AU1107" s="81"/>
      <c r="AV1107" s="81"/>
      <c r="AW1107" s="81"/>
      <c r="AX1107" s="81"/>
      <c r="AY1107" s="81"/>
      <c r="AZ1107" s="81"/>
      <c r="BA1107" s="81"/>
      <c r="BB1107" s="81"/>
      <c r="BC1107" s="81"/>
      <c r="BD1107" s="81"/>
      <c r="BE1107" s="81"/>
      <c r="BF1107" s="81"/>
      <c r="BG1107" s="81"/>
      <c r="BH1107" s="91" t="s">
        <v>1984</v>
      </c>
      <c r="BI1107" s="123">
        <v>253.0</v>
      </c>
      <c r="BJ1107" s="58"/>
      <c r="BK1107" s="81"/>
      <c r="BL1107" s="79"/>
      <c r="BM1107" s="81"/>
      <c r="BN1107" s="81"/>
      <c r="BO1107" s="83"/>
      <c r="BP1107" s="58"/>
      <c r="BQ1107" s="64"/>
    </row>
    <row r="1108">
      <c r="A1108" s="70">
        <v>4.0</v>
      </c>
      <c r="B1108" s="71" t="s">
        <v>2013</v>
      </c>
      <c r="C1108" s="71" t="s">
        <v>142</v>
      </c>
      <c r="D1108" s="56"/>
      <c r="E1108" s="56"/>
      <c r="F1108" s="56"/>
      <c r="G1108" s="56"/>
      <c r="H1108" s="56"/>
      <c r="I1108" s="58" t="str">
        <f t="shared" si="16"/>
        <v>5681209</v>
      </c>
      <c r="J1108" s="56"/>
      <c r="K1108" s="56"/>
      <c r="L1108" s="80" t="s">
        <v>1999</v>
      </c>
      <c r="M1108" s="84">
        <v>2.0</v>
      </c>
      <c r="N1108" s="81"/>
      <c r="O1108" s="58"/>
      <c r="P1108" s="61" t="s">
        <v>2000</v>
      </c>
      <c r="Q1108" s="59" t="s">
        <v>113</v>
      </c>
      <c r="R1108" s="58"/>
      <c r="S1108" s="58"/>
      <c r="T1108" s="58"/>
      <c r="U1108" s="82">
        <v>8.0</v>
      </c>
      <c r="V1108" s="58"/>
      <c r="W1108" s="58"/>
      <c r="X1108" s="81"/>
      <c r="Y1108" s="81"/>
      <c r="Z1108" s="81"/>
      <c r="AA1108" s="56"/>
      <c r="AB1108" s="159"/>
      <c r="AC1108" s="81"/>
      <c r="AD1108" s="81"/>
      <c r="AE1108" s="81"/>
      <c r="AF1108" s="81"/>
      <c r="AG1108" s="81"/>
      <c r="AH1108" s="81"/>
      <c r="AI1108" s="81"/>
      <c r="AJ1108" s="81"/>
      <c r="AK1108" s="81"/>
      <c r="AL1108" s="81"/>
      <c r="AM1108" s="81"/>
      <c r="AN1108" s="81"/>
      <c r="AO1108" s="81"/>
      <c r="AP1108" s="81"/>
      <c r="AQ1108" s="81"/>
      <c r="AR1108" s="81"/>
      <c r="AS1108" s="81"/>
      <c r="AT1108" s="81"/>
      <c r="AU1108" s="81"/>
      <c r="AV1108" s="81"/>
      <c r="AW1108" s="81"/>
      <c r="AX1108" s="81"/>
      <c r="AY1108" s="81"/>
      <c r="AZ1108" s="81"/>
      <c r="BA1108" s="81"/>
      <c r="BB1108" s="81"/>
      <c r="BC1108" s="81"/>
      <c r="BD1108" s="81"/>
      <c r="BE1108" s="81"/>
      <c r="BF1108" s="81"/>
      <c r="BG1108" s="81"/>
      <c r="BH1108" s="91" t="s">
        <v>1984</v>
      </c>
      <c r="BI1108" s="123">
        <v>185.0</v>
      </c>
      <c r="BJ1108" s="58"/>
      <c r="BK1108" s="81"/>
      <c r="BL1108" s="79"/>
      <c r="BM1108" s="81"/>
      <c r="BN1108" s="81"/>
      <c r="BO1108" s="83"/>
      <c r="BP1108" s="58"/>
      <c r="BQ1108" s="64"/>
    </row>
    <row r="1109">
      <c r="A1109" s="70">
        <v>4.0</v>
      </c>
      <c r="B1109" s="71" t="s">
        <v>2013</v>
      </c>
      <c r="C1109" s="71" t="s">
        <v>149</v>
      </c>
      <c r="D1109" s="56"/>
      <c r="E1109" s="56"/>
      <c r="F1109" s="56"/>
      <c r="G1109" s="56"/>
      <c r="H1109" s="56"/>
      <c r="I1109" s="58" t="str">
        <f t="shared" si="16"/>
        <v>568120A</v>
      </c>
      <c r="J1109" s="79"/>
      <c r="K1109" s="79"/>
      <c r="L1109" s="80" t="s">
        <v>2001</v>
      </c>
      <c r="M1109" s="72">
        <v>2.0</v>
      </c>
      <c r="N1109" s="155"/>
      <c r="O1109" s="58"/>
      <c r="P1109" s="61" t="s">
        <v>2002</v>
      </c>
      <c r="Q1109" s="59" t="s">
        <v>113</v>
      </c>
      <c r="R1109" s="81"/>
      <c r="S1109" s="81"/>
      <c r="T1109" s="81"/>
      <c r="U1109" s="82">
        <v>1.0</v>
      </c>
      <c r="V1109" s="81"/>
      <c r="W1109" s="81"/>
      <c r="X1109" s="81"/>
      <c r="Y1109" s="81"/>
      <c r="Z1109" s="81"/>
      <c r="AA1109" s="79"/>
      <c r="AB1109" s="79"/>
      <c r="AC1109" s="81"/>
      <c r="AD1109" s="81"/>
      <c r="AE1109" s="81"/>
      <c r="AF1109" s="81"/>
      <c r="AG1109" s="81"/>
      <c r="AH1109" s="81"/>
      <c r="AI1109" s="81"/>
      <c r="AJ1109" s="81"/>
      <c r="AK1109" s="81"/>
      <c r="AL1109" s="81"/>
      <c r="AM1109" s="81"/>
      <c r="AN1109" s="81"/>
      <c r="AO1109" s="81"/>
      <c r="AP1109" s="81"/>
      <c r="AQ1109" s="81"/>
      <c r="AR1109" s="81"/>
      <c r="AS1109" s="81"/>
      <c r="AT1109" s="81"/>
      <c r="AU1109" s="81"/>
      <c r="AV1109" s="81"/>
      <c r="AW1109" s="81"/>
      <c r="AX1109" s="81"/>
      <c r="AY1109" s="81"/>
      <c r="AZ1109" s="81"/>
      <c r="BA1109" s="81"/>
      <c r="BB1109" s="81"/>
      <c r="BC1109" s="81"/>
      <c r="BD1109" s="81"/>
      <c r="BE1109" s="81"/>
      <c r="BF1109" s="81"/>
      <c r="BG1109" s="81"/>
      <c r="BH1109" s="91" t="s">
        <v>1984</v>
      </c>
      <c r="BI1109" s="123">
        <v>255.0</v>
      </c>
      <c r="BJ1109" s="58"/>
      <c r="BK1109" s="81"/>
      <c r="BL1109" s="79"/>
      <c r="BM1109" s="81"/>
      <c r="BN1109" s="81"/>
      <c r="BO1109" s="83"/>
      <c r="BP1109" s="58"/>
      <c r="BQ1109" s="64"/>
    </row>
    <row r="1110">
      <c r="A1110" s="70">
        <v>4.0</v>
      </c>
      <c r="B1110" s="71" t="s">
        <v>2013</v>
      </c>
      <c r="C1110" s="71" t="s">
        <v>151</v>
      </c>
      <c r="D1110" s="56"/>
      <c r="E1110" s="56"/>
      <c r="F1110" s="56"/>
      <c r="G1110" s="56"/>
      <c r="H1110" s="56"/>
      <c r="I1110" s="58" t="str">
        <f t="shared" si="16"/>
        <v>568120B</v>
      </c>
      <c r="J1110" s="79"/>
      <c r="K1110" s="79"/>
      <c r="L1110" s="80" t="s">
        <v>2003</v>
      </c>
      <c r="M1110" s="72">
        <v>2.0</v>
      </c>
      <c r="N1110" s="155"/>
      <c r="O1110" s="58"/>
      <c r="P1110" s="61" t="s">
        <v>2004</v>
      </c>
      <c r="Q1110" s="59" t="s">
        <v>113</v>
      </c>
      <c r="R1110" s="81"/>
      <c r="S1110" s="81"/>
      <c r="T1110" s="81"/>
      <c r="U1110" s="82">
        <v>1.0</v>
      </c>
      <c r="V1110" s="81"/>
      <c r="W1110" s="61" t="s">
        <v>304</v>
      </c>
      <c r="X1110" s="81"/>
      <c r="Y1110" s="81"/>
      <c r="Z1110" s="81"/>
      <c r="AA1110" s="79"/>
      <c r="AB1110" s="79"/>
      <c r="AC1110" s="81"/>
      <c r="AD1110" s="81"/>
      <c r="AE1110" s="81"/>
      <c r="AF1110" s="81"/>
      <c r="AG1110" s="81"/>
      <c r="AH1110" s="81"/>
      <c r="AI1110" s="81"/>
      <c r="AJ1110" s="81"/>
      <c r="AK1110" s="81"/>
      <c r="AL1110" s="81"/>
      <c r="AM1110" s="81"/>
      <c r="AN1110" s="81"/>
      <c r="AO1110" s="81"/>
      <c r="AP1110" s="81"/>
      <c r="AQ1110" s="81"/>
      <c r="AR1110" s="81"/>
      <c r="AS1110" s="81"/>
      <c r="AT1110" s="81"/>
      <c r="AU1110" s="81"/>
      <c r="AV1110" s="81"/>
      <c r="AW1110" s="81"/>
      <c r="AX1110" s="81"/>
      <c r="AY1110" s="81"/>
      <c r="AZ1110" s="81"/>
      <c r="BA1110" s="81"/>
      <c r="BB1110" s="81"/>
      <c r="BC1110" s="81"/>
      <c r="BD1110" s="81"/>
      <c r="BE1110" s="81"/>
      <c r="BF1110" s="81"/>
      <c r="BG1110" s="81"/>
      <c r="BH1110" s="91" t="s">
        <v>1984</v>
      </c>
      <c r="BI1110" s="123">
        <v>257.0</v>
      </c>
      <c r="BJ1110" s="58"/>
      <c r="BK1110" s="81"/>
      <c r="BL1110" s="79"/>
      <c r="BM1110" s="81"/>
      <c r="BN1110" s="81"/>
      <c r="BO1110" s="83"/>
      <c r="BP1110" s="58"/>
      <c r="BQ1110" s="64"/>
    </row>
    <row r="1111">
      <c r="A1111" s="70">
        <v>4.0</v>
      </c>
      <c r="B1111" s="71" t="s">
        <v>2020</v>
      </c>
      <c r="C1111" s="71" t="s">
        <v>155</v>
      </c>
      <c r="D1111" s="56"/>
      <c r="E1111" s="56"/>
      <c r="F1111" s="56"/>
      <c r="G1111" s="56"/>
      <c r="H1111" s="56"/>
      <c r="I1111" s="58" t="str">
        <f t="shared" si="16"/>
        <v>568130C</v>
      </c>
      <c r="J1111" s="58"/>
      <c r="K1111" s="58"/>
      <c r="L1111" s="59" t="s">
        <v>2005</v>
      </c>
      <c r="M1111" s="60">
        <v>1.0</v>
      </c>
      <c r="N1111" s="72" t="s">
        <v>2021</v>
      </c>
      <c r="O1111" s="73" t="s">
        <v>2022</v>
      </c>
      <c r="P1111" s="58"/>
      <c r="Q1111" s="58"/>
      <c r="R1111" s="58"/>
      <c r="S1111" s="58"/>
      <c r="T1111" s="58"/>
      <c r="U1111" s="72">
        <v>1.0</v>
      </c>
      <c r="V1111" s="58"/>
      <c r="W1111" s="72" t="s">
        <v>78</v>
      </c>
      <c r="X1111" s="58"/>
      <c r="Y1111" s="58"/>
      <c r="Z1111" s="58"/>
      <c r="AA1111" s="62" t="s">
        <v>79</v>
      </c>
      <c r="AB1111" s="62" t="s">
        <v>79</v>
      </c>
      <c r="AC1111" s="58"/>
      <c r="AD1111" s="58"/>
      <c r="AE1111" s="58"/>
      <c r="AF1111" s="58"/>
      <c r="AG1111" s="58"/>
      <c r="AH1111" s="58"/>
      <c r="AI1111" s="58"/>
      <c r="AJ1111" s="58"/>
      <c r="AK1111" s="58"/>
      <c r="AL1111" s="58"/>
      <c r="AM1111" s="58"/>
      <c r="AN1111" s="58"/>
      <c r="AO1111" s="58"/>
      <c r="AP1111" s="72" t="s">
        <v>2023</v>
      </c>
      <c r="AQ1111" s="58"/>
      <c r="AR1111" s="58"/>
      <c r="AS1111" s="58"/>
      <c r="AT1111" s="58"/>
      <c r="AU1111" s="58"/>
      <c r="AV1111" s="58"/>
      <c r="AW1111" s="58"/>
      <c r="AX1111" s="58"/>
      <c r="AY1111" s="58"/>
      <c r="AZ1111" s="58"/>
      <c r="BA1111" s="58"/>
      <c r="BB1111" s="58"/>
      <c r="BC1111" s="58"/>
      <c r="BD1111" s="58"/>
      <c r="BE1111" s="58"/>
      <c r="BF1111" s="58"/>
      <c r="BG1111" s="58"/>
      <c r="BH1111" s="58"/>
      <c r="BI1111" s="58"/>
      <c r="BJ1111" s="58"/>
      <c r="BK1111" s="58"/>
      <c r="BL1111" s="58"/>
      <c r="BM1111" s="58"/>
      <c r="BN1111" s="63"/>
      <c r="BO1111" s="58"/>
      <c r="BP1111" s="58"/>
      <c r="BQ1111" s="64"/>
    </row>
    <row r="1112">
      <c r="A1112" s="1">
        <v>5.0</v>
      </c>
      <c r="B1112" s="2" t="s">
        <v>2020</v>
      </c>
      <c r="C1112" s="2" t="s">
        <v>158</v>
      </c>
      <c r="D1112" s="93"/>
      <c r="E1112" s="93"/>
      <c r="F1112" s="93"/>
      <c r="G1112" s="93"/>
      <c r="H1112" s="93"/>
      <c r="I1112" s="3" t="str">
        <f t="shared" si="16"/>
        <v>568130D</v>
      </c>
      <c r="J1112" s="3"/>
      <c r="K1112" s="3"/>
      <c r="L1112" s="94" t="s">
        <v>87</v>
      </c>
      <c r="M1112" s="4">
        <v>1.0</v>
      </c>
      <c r="N1112" s="6" t="s">
        <v>2009</v>
      </c>
      <c r="O1112" s="95" t="s">
        <v>2024</v>
      </c>
      <c r="P1112" s="3"/>
      <c r="Q1112" s="3"/>
      <c r="R1112" s="3"/>
      <c r="S1112" s="3"/>
      <c r="T1112" s="3"/>
      <c r="U1112" s="6">
        <v>1.0</v>
      </c>
      <c r="V1112" s="3"/>
      <c r="W1112" s="6" t="s">
        <v>78</v>
      </c>
      <c r="X1112" s="3"/>
      <c r="Y1112" s="3"/>
      <c r="Z1112" s="3"/>
      <c r="AA1112" s="96" t="s">
        <v>79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6" t="s">
        <v>2025</v>
      </c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97"/>
      <c r="BO1112" s="3"/>
      <c r="BP1112" s="3"/>
      <c r="BQ1112" s="10"/>
    </row>
    <row r="1113">
      <c r="A1113" s="1">
        <v>4.0</v>
      </c>
      <c r="B1113" s="2" t="s">
        <v>2026</v>
      </c>
      <c r="C1113" s="2" t="s">
        <v>162</v>
      </c>
      <c r="D1113" s="93"/>
      <c r="E1113" s="93"/>
      <c r="F1113" s="93"/>
      <c r="G1113" s="93"/>
      <c r="H1113" s="93"/>
      <c r="I1113" s="3" t="str">
        <f t="shared" si="16"/>
        <v>568140E</v>
      </c>
      <c r="J1113" s="3"/>
      <c r="K1113" s="3"/>
      <c r="L1113" s="94" t="s">
        <v>1105</v>
      </c>
      <c r="M1113" s="4">
        <v>2.0</v>
      </c>
      <c r="N1113" s="3"/>
      <c r="O1113" s="93"/>
      <c r="P1113" s="3"/>
      <c r="Q1113" s="3"/>
      <c r="R1113" s="3"/>
      <c r="S1113" s="3"/>
      <c r="T1113" s="3"/>
      <c r="U1113" s="6">
        <v>1.0</v>
      </c>
      <c r="V1113" s="3"/>
      <c r="W1113" s="6" t="s">
        <v>304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97"/>
      <c r="BO1113" s="3"/>
      <c r="BP1113" s="3"/>
      <c r="BQ1113" s="10"/>
    </row>
    <row r="1114">
      <c r="A1114" s="1">
        <v>4.0</v>
      </c>
      <c r="B1114" s="2" t="s">
        <v>2027</v>
      </c>
      <c r="C1114" s="2" t="s">
        <v>166</v>
      </c>
      <c r="D1114" s="93"/>
      <c r="E1114" s="93"/>
      <c r="F1114" s="93"/>
      <c r="G1114" s="93"/>
      <c r="H1114" s="93"/>
      <c r="I1114" s="3" t="str">
        <f t="shared" si="16"/>
        <v>568180F</v>
      </c>
      <c r="J1114" s="3"/>
      <c r="K1114" s="3"/>
      <c r="L1114" s="94" t="s">
        <v>2012</v>
      </c>
      <c r="M1114" s="4">
        <v>2.0</v>
      </c>
      <c r="N1114" s="3"/>
      <c r="O1114" s="93"/>
      <c r="P1114" s="3"/>
      <c r="Q1114" s="3"/>
      <c r="R1114" s="3"/>
      <c r="S1114" s="3"/>
      <c r="T1114" s="3"/>
      <c r="U1114" s="6">
        <v>1.0</v>
      </c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97"/>
      <c r="BO1114" s="3"/>
      <c r="BP1114" s="3"/>
      <c r="BQ1114" s="10"/>
    </row>
    <row r="1115">
      <c r="A1115" s="20">
        <v>1.0</v>
      </c>
      <c r="B1115" s="21" t="s">
        <v>2028</v>
      </c>
      <c r="C1115" s="22"/>
      <c r="D1115" s="22"/>
      <c r="E1115" s="22"/>
      <c r="F1115" s="22"/>
      <c r="G1115" s="22"/>
      <c r="H1115" s="22"/>
      <c r="I1115" s="23" t="str">
        <f t="shared" si="16"/>
        <v>57000</v>
      </c>
      <c r="J1115" s="24"/>
      <c r="K1115" s="24"/>
      <c r="L1115" s="23" t="s">
        <v>2029</v>
      </c>
      <c r="M1115" s="25">
        <v>1.0</v>
      </c>
      <c r="N1115" s="24"/>
      <c r="O1115" s="22"/>
      <c r="P1115" s="24"/>
      <c r="Q1115" s="24"/>
      <c r="R1115" s="24"/>
      <c r="S1115" s="24"/>
      <c r="T1115" s="24"/>
      <c r="U1115" s="26">
        <v>1.0</v>
      </c>
      <c r="V1115" s="24"/>
      <c r="W1115" s="26" t="s">
        <v>70</v>
      </c>
      <c r="X1115" s="24"/>
      <c r="Y1115" s="24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M1115" s="24"/>
      <c r="BN1115" s="27"/>
      <c r="BO1115" s="24"/>
      <c r="BP1115" s="24"/>
      <c r="BQ1115" s="10"/>
    </row>
    <row r="1116">
      <c r="A1116" s="28">
        <v>1.0</v>
      </c>
      <c r="B1116" s="29">
        <v>57200.0</v>
      </c>
      <c r="C1116" s="30"/>
      <c r="D1116" s="30"/>
      <c r="E1116" s="30"/>
      <c r="F1116" s="30"/>
      <c r="G1116" s="30"/>
      <c r="H1116" s="30"/>
      <c r="I1116" s="31" t="str">
        <f t="shared" si="16"/>
        <v>57200</v>
      </c>
      <c r="J1116" s="74"/>
      <c r="K1116" s="74"/>
      <c r="L1116" s="31" t="s">
        <v>2030</v>
      </c>
      <c r="M1116" s="75">
        <v>1.0</v>
      </c>
      <c r="N1116" s="32"/>
      <c r="O1116" s="30"/>
      <c r="P1116" s="32"/>
      <c r="Q1116" s="32"/>
      <c r="R1116" s="32"/>
      <c r="S1116" s="32"/>
      <c r="T1116" s="74"/>
      <c r="U1116" s="34">
        <v>1.0</v>
      </c>
      <c r="V1116" s="74"/>
      <c r="W1116" s="34" t="s">
        <v>70</v>
      </c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  <c r="AI1116" s="74"/>
      <c r="AJ1116" s="74"/>
      <c r="AK1116" s="74"/>
      <c r="AL1116" s="74"/>
      <c r="AM1116" s="74"/>
      <c r="AN1116" s="74"/>
      <c r="AO1116" s="74"/>
      <c r="AP1116" s="32"/>
      <c r="AQ1116" s="32"/>
      <c r="AR1116" s="32"/>
      <c r="AS1116" s="32"/>
      <c r="AT1116" s="32"/>
      <c r="AU1116" s="32"/>
      <c r="AV1116" s="74"/>
      <c r="AW1116" s="74"/>
      <c r="AX1116" s="74"/>
      <c r="AY1116" s="74"/>
      <c r="AZ1116" s="74"/>
      <c r="BA1116" s="74"/>
      <c r="BB1116" s="74"/>
      <c r="BC1116" s="74"/>
      <c r="BD1116" s="74"/>
      <c r="BE1116" s="74"/>
      <c r="BF1116" s="74"/>
      <c r="BG1116" s="74"/>
      <c r="BH1116" s="32"/>
      <c r="BI1116" s="32"/>
      <c r="BJ1116" s="32"/>
      <c r="BK1116" s="32"/>
      <c r="BL1116" s="32"/>
      <c r="BM1116" s="74"/>
      <c r="BN1116" s="76"/>
      <c r="BO1116" s="74"/>
      <c r="BP1116" s="32"/>
      <c r="BQ1116" s="10"/>
    </row>
    <row r="1117">
      <c r="A1117" s="36">
        <v>2.0</v>
      </c>
      <c r="B1117" s="37">
        <v>57210.0</v>
      </c>
      <c r="C1117" s="38"/>
      <c r="D1117" s="38"/>
      <c r="E1117" s="38"/>
      <c r="F1117" s="38"/>
      <c r="G1117" s="38"/>
      <c r="H1117" s="38"/>
      <c r="I1117" s="39" t="str">
        <f t="shared" si="16"/>
        <v>57210</v>
      </c>
      <c r="J1117" s="40"/>
      <c r="K1117" s="40"/>
      <c r="L1117" s="39" t="s">
        <v>2031</v>
      </c>
      <c r="M1117" s="41">
        <v>1.0</v>
      </c>
      <c r="N1117" s="42"/>
      <c r="O1117" s="38"/>
      <c r="P1117" s="42"/>
      <c r="Q1117" s="42"/>
      <c r="R1117" s="42"/>
      <c r="S1117" s="42"/>
      <c r="T1117" s="40"/>
      <c r="U1117" s="43">
        <v>1.0</v>
      </c>
      <c r="V1117" s="40"/>
      <c r="W1117" s="43" t="s">
        <v>70</v>
      </c>
      <c r="X1117" s="40"/>
      <c r="Y1117" s="40"/>
      <c r="Z1117" s="40"/>
      <c r="AA1117" s="40"/>
      <c r="AB1117" s="40"/>
      <c r="AC1117" s="40"/>
      <c r="AD1117" s="40"/>
      <c r="AE1117" s="40"/>
      <c r="AF1117" s="40"/>
      <c r="AG1117" s="40"/>
      <c r="AH1117" s="40"/>
      <c r="AI1117" s="40"/>
      <c r="AJ1117" s="40"/>
      <c r="AK1117" s="40"/>
      <c r="AL1117" s="40"/>
      <c r="AM1117" s="40"/>
      <c r="AN1117" s="40"/>
      <c r="AO1117" s="40"/>
      <c r="AP1117" s="42"/>
      <c r="AQ1117" s="42"/>
      <c r="AR1117" s="42"/>
      <c r="AS1117" s="42"/>
      <c r="AT1117" s="42"/>
      <c r="AU1117" s="42"/>
      <c r="AV1117" s="40"/>
      <c r="AW1117" s="40"/>
      <c r="AX1117" s="40"/>
      <c r="AY1117" s="40"/>
      <c r="AZ1117" s="40"/>
      <c r="BA1117" s="40"/>
      <c r="BB1117" s="40"/>
      <c r="BC1117" s="40"/>
      <c r="BD1117" s="40"/>
      <c r="BE1117" s="40"/>
      <c r="BF1117" s="40"/>
      <c r="BG1117" s="40"/>
      <c r="BH1117" s="42"/>
      <c r="BI1117" s="42"/>
      <c r="BJ1117" s="42"/>
      <c r="BK1117" s="42"/>
      <c r="BL1117" s="42"/>
      <c r="BM1117" s="40"/>
      <c r="BN1117" s="44"/>
      <c r="BO1117" s="40"/>
      <c r="BP1117" s="42"/>
      <c r="BQ1117" s="10"/>
    </row>
    <row r="1118">
      <c r="A1118" s="65">
        <v>3.0</v>
      </c>
      <c r="B1118" s="66" t="s">
        <v>2032</v>
      </c>
      <c r="C1118" s="56"/>
      <c r="D1118" s="56"/>
      <c r="E1118" s="56"/>
      <c r="F1118" s="56"/>
      <c r="G1118" s="56"/>
      <c r="H1118" s="56"/>
      <c r="I1118" s="67" t="str">
        <f t="shared" si="16"/>
        <v>57211</v>
      </c>
      <c r="J1118" s="58"/>
      <c r="K1118" s="58"/>
      <c r="L1118" s="67" t="s">
        <v>2033</v>
      </c>
      <c r="M1118" s="68">
        <v>1.0</v>
      </c>
      <c r="N1118" s="58"/>
      <c r="O1118" s="56"/>
      <c r="P1118" s="58"/>
      <c r="Q1118" s="58"/>
      <c r="R1118" s="58"/>
      <c r="S1118" s="58"/>
      <c r="T1118" s="58"/>
      <c r="U1118" s="69">
        <v>1.0</v>
      </c>
      <c r="V1118" s="58"/>
      <c r="W1118" s="69" t="s">
        <v>70</v>
      </c>
      <c r="X1118" s="58"/>
      <c r="Y1118" s="58"/>
      <c r="Z1118" s="58"/>
      <c r="AA1118" s="58"/>
      <c r="AB1118" s="58"/>
      <c r="AC1118" s="58"/>
      <c r="AD1118" s="58"/>
      <c r="AE1118" s="58"/>
      <c r="AF1118" s="58"/>
      <c r="AG1118" s="58"/>
      <c r="AH1118" s="58"/>
      <c r="AI1118" s="58"/>
      <c r="AJ1118" s="58"/>
      <c r="AK1118" s="58"/>
      <c r="AL1118" s="58"/>
      <c r="AM1118" s="58"/>
      <c r="AN1118" s="58"/>
      <c r="AO1118" s="58"/>
      <c r="AP1118" s="58"/>
      <c r="AQ1118" s="58"/>
      <c r="AR1118" s="58"/>
      <c r="AS1118" s="58"/>
      <c r="AT1118" s="58"/>
      <c r="AU1118" s="58"/>
      <c r="AV1118" s="58"/>
      <c r="AW1118" s="58"/>
      <c r="AX1118" s="58"/>
      <c r="AY1118" s="58"/>
      <c r="AZ1118" s="58"/>
      <c r="BA1118" s="58"/>
      <c r="BB1118" s="58"/>
      <c r="BC1118" s="58"/>
      <c r="BD1118" s="58"/>
      <c r="BE1118" s="58"/>
      <c r="BF1118" s="58"/>
      <c r="BG1118" s="58"/>
      <c r="BH1118" s="58"/>
      <c r="BI1118" s="58"/>
      <c r="BJ1118" s="58"/>
      <c r="BK1118" s="58"/>
      <c r="BL1118" s="58"/>
      <c r="BM1118" s="58"/>
      <c r="BN1118" s="63"/>
      <c r="BO1118" s="58"/>
      <c r="BP1118" s="58"/>
      <c r="BQ1118" s="64"/>
    </row>
    <row r="1119">
      <c r="A1119" s="61">
        <v>4.0</v>
      </c>
      <c r="B1119" s="77" t="s">
        <v>2032</v>
      </c>
      <c r="C1119" s="77" t="s">
        <v>76</v>
      </c>
      <c r="D1119" s="56"/>
      <c r="E1119" s="56"/>
      <c r="F1119" s="56"/>
      <c r="G1119" s="56"/>
      <c r="H1119" s="56"/>
      <c r="I1119" s="59" t="str">
        <f t="shared" si="16"/>
        <v>5721101</v>
      </c>
      <c r="J1119" s="58"/>
      <c r="K1119" s="58"/>
      <c r="L1119" s="59" t="s">
        <v>2034</v>
      </c>
      <c r="M1119" s="72">
        <v>1.0</v>
      </c>
      <c r="N1119" s="61" t="s">
        <v>2035</v>
      </c>
      <c r="O1119" s="58"/>
      <c r="P1119" s="58"/>
      <c r="Q1119" s="59" t="s">
        <v>2036</v>
      </c>
      <c r="R1119" s="58"/>
      <c r="S1119" s="58"/>
      <c r="T1119" s="58"/>
      <c r="U1119" s="61">
        <v>1.0</v>
      </c>
      <c r="V1119" s="61">
        <v>16720.0</v>
      </c>
      <c r="W1119" s="61" t="s">
        <v>78</v>
      </c>
      <c r="X1119" s="58"/>
      <c r="Y1119" s="59" t="s">
        <v>2037</v>
      </c>
      <c r="Z1119" s="61">
        <v>26.0</v>
      </c>
      <c r="AA1119" s="62" t="s">
        <v>79</v>
      </c>
      <c r="AB1119" s="62" t="s">
        <v>79</v>
      </c>
      <c r="AC1119" s="58"/>
      <c r="AD1119" s="58"/>
      <c r="AE1119" s="58"/>
      <c r="AF1119" s="64"/>
      <c r="AG1119" s="64"/>
      <c r="AH1119" s="64"/>
      <c r="AI1119" s="64"/>
      <c r="AJ1119" s="64"/>
      <c r="AK1119" s="64"/>
      <c r="AL1119" s="64"/>
      <c r="AM1119" s="64"/>
      <c r="AN1119" s="64"/>
      <c r="AO1119" s="64"/>
      <c r="AP1119" s="61" t="s">
        <v>80</v>
      </c>
      <c r="AQ1119" s="61">
        <v>16720.0</v>
      </c>
      <c r="AR1119" s="58"/>
      <c r="AS1119" s="58"/>
      <c r="AT1119" s="58"/>
      <c r="AU1119" s="58"/>
      <c r="AV1119" s="64"/>
      <c r="AW1119" s="64"/>
      <c r="AX1119" s="64"/>
      <c r="AY1119" s="64"/>
      <c r="AZ1119" s="64"/>
      <c r="BA1119" s="64"/>
      <c r="BB1119" s="64"/>
      <c r="BC1119" s="64"/>
      <c r="BD1119" s="64"/>
      <c r="BE1119" s="64"/>
      <c r="BF1119" s="64"/>
      <c r="BG1119" s="64"/>
      <c r="BH1119" s="59" t="s">
        <v>2037</v>
      </c>
      <c r="BI1119" s="61">
        <v>26.0</v>
      </c>
      <c r="BJ1119" s="59" t="s">
        <v>2038</v>
      </c>
      <c r="BK1119" s="58"/>
      <c r="BL1119" s="58"/>
      <c r="BM1119" s="58"/>
      <c r="BN1119" s="58"/>
      <c r="BO1119" s="58"/>
      <c r="BP1119" s="58"/>
      <c r="BQ1119" s="64"/>
    </row>
    <row r="1120">
      <c r="A1120" s="65">
        <v>3.0</v>
      </c>
      <c r="B1120" s="66" t="s">
        <v>2039</v>
      </c>
      <c r="C1120" s="56"/>
      <c r="D1120" s="56"/>
      <c r="E1120" s="56"/>
      <c r="F1120" s="56"/>
      <c r="G1120" s="56"/>
      <c r="H1120" s="56"/>
      <c r="I1120" s="67" t="str">
        <f t="shared" si="16"/>
        <v>57212</v>
      </c>
      <c r="J1120" s="58"/>
      <c r="K1120" s="58"/>
      <c r="L1120" s="67" t="s">
        <v>2040</v>
      </c>
      <c r="M1120" s="68">
        <v>1.0</v>
      </c>
      <c r="N1120" s="58"/>
      <c r="O1120" s="56"/>
      <c r="P1120" s="58"/>
      <c r="Q1120" s="58"/>
      <c r="R1120" s="58"/>
      <c r="S1120" s="58"/>
      <c r="T1120" s="58"/>
      <c r="U1120" s="69">
        <v>1.0</v>
      </c>
      <c r="V1120" s="58"/>
      <c r="W1120" s="69" t="s">
        <v>70</v>
      </c>
      <c r="X1120" s="58"/>
      <c r="Y1120" s="58"/>
      <c r="Z1120" s="58"/>
      <c r="AA1120" s="58"/>
      <c r="AB1120" s="58"/>
      <c r="AC1120" s="58"/>
      <c r="AD1120" s="58"/>
      <c r="AE1120" s="58"/>
      <c r="AF1120" s="58"/>
      <c r="AG1120" s="58"/>
      <c r="AH1120" s="58"/>
      <c r="AI1120" s="58"/>
      <c r="AJ1120" s="58"/>
      <c r="AK1120" s="58"/>
      <c r="AL1120" s="58"/>
      <c r="AM1120" s="58"/>
      <c r="AN1120" s="58"/>
      <c r="AO1120" s="58"/>
      <c r="AP1120" s="58"/>
      <c r="AQ1120" s="58"/>
      <c r="AR1120" s="58"/>
      <c r="AS1120" s="58"/>
      <c r="AT1120" s="58"/>
      <c r="AU1120" s="58"/>
      <c r="AV1120" s="58"/>
      <c r="AW1120" s="58"/>
      <c r="AX1120" s="58"/>
      <c r="AY1120" s="58"/>
      <c r="AZ1120" s="58"/>
      <c r="BA1120" s="58"/>
      <c r="BB1120" s="58"/>
      <c r="BC1120" s="58"/>
      <c r="BD1120" s="58"/>
      <c r="BE1120" s="58"/>
      <c r="BF1120" s="58"/>
      <c r="BG1120" s="58"/>
      <c r="BH1120" s="58"/>
      <c r="BI1120" s="58"/>
      <c r="BJ1120" s="58"/>
      <c r="BK1120" s="58"/>
      <c r="BL1120" s="58"/>
      <c r="BM1120" s="58"/>
      <c r="BN1120" s="63"/>
      <c r="BO1120" s="58"/>
      <c r="BP1120" s="58"/>
      <c r="BQ1120" s="64"/>
    </row>
    <row r="1121">
      <c r="A1121" s="61">
        <v>4.0</v>
      </c>
      <c r="B1121" s="77" t="s">
        <v>2039</v>
      </c>
      <c r="C1121" s="77" t="s">
        <v>76</v>
      </c>
      <c r="D1121" s="56"/>
      <c r="E1121" s="56"/>
      <c r="F1121" s="56"/>
      <c r="G1121" s="56"/>
      <c r="H1121" s="56"/>
      <c r="I1121" s="59" t="str">
        <f t="shared" si="16"/>
        <v>5721201</v>
      </c>
      <c r="J1121" s="58"/>
      <c r="K1121" s="58"/>
      <c r="L1121" s="59" t="s">
        <v>2041</v>
      </c>
      <c r="M1121" s="72">
        <v>1.0</v>
      </c>
      <c r="N1121" s="61" t="s">
        <v>2042</v>
      </c>
      <c r="O1121" s="56"/>
      <c r="P1121" s="58"/>
      <c r="Q1121" s="59" t="s">
        <v>2036</v>
      </c>
      <c r="R1121" s="58"/>
      <c r="S1121" s="58"/>
      <c r="T1121" s="58"/>
      <c r="U1121" s="61">
        <v>1.0</v>
      </c>
      <c r="V1121" s="58"/>
      <c r="W1121" s="61" t="s">
        <v>78</v>
      </c>
      <c r="X1121" s="58"/>
      <c r="Y1121" s="58"/>
      <c r="Z1121" s="58"/>
      <c r="AA1121" s="62" t="s">
        <v>79</v>
      </c>
      <c r="AB1121" s="62" t="s">
        <v>79</v>
      </c>
      <c r="AC1121" s="58"/>
      <c r="AD1121" s="58"/>
      <c r="AE1121" s="58"/>
      <c r="AF1121" s="58"/>
      <c r="AG1121" s="58"/>
      <c r="AH1121" s="58"/>
      <c r="AI1121" s="58"/>
      <c r="AJ1121" s="58"/>
      <c r="AK1121" s="58"/>
      <c r="AL1121" s="58"/>
      <c r="AM1121" s="58"/>
      <c r="AN1121" s="58"/>
      <c r="AO1121" s="58"/>
      <c r="AP1121" s="61" t="s">
        <v>80</v>
      </c>
      <c r="AQ1121" s="61">
        <v>2400.0</v>
      </c>
      <c r="AR1121" s="58"/>
      <c r="AS1121" s="58"/>
      <c r="AT1121" s="58"/>
      <c r="AU1121" s="58"/>
      <c r="AV1121" s="58"/>
      <c r="AW1121" s="58"/>
      <c r="AX1121" s="58"/>
      <c r="AY1121" s="58"/>
      <c r="AZ1121" s="58"/>
      <c r="BA1121" s="58"/>
      <c r="BB1121" s="58"/>
      <c r="BC1121" s="58"/>
      <c r="BD1121" s="58"/>
      <c r="BE1121" s="58"/>
      <c r="BF1121" s="58"/>
      <c r="BG1121" s="58"/>
      <c r="BH1121" s="80" t="s">
        <v>2043</v>
      </c>
      <c r="BI1121" s="82">
        <v>26.0</v>
      </c>
      <c r="BJ1121" s="80" t="s">
        <v>2044</v>
      </c>
      <c r="BK1121" s="58"/>
      <c r="BL1121" s="58"/>
      <c r="BM1121" s="58"/>
      <c r="BN1121" s="63"/>
      <c r="BO1121" s="58"/>
      <c r="BP1121" s="58"/>
      <c r="BQ1121" s="64"/>
    </row>
    <row r="1122">
      <c r="A1122" s="45">
        <v>3.0</v>
      </c>
      <c r="B1122" s="46" t="s">
        <v>2045</v>
      </c>
      <c r="C1122" s="47"/>
      <c r="D1122" s="47"/>
      <c r="E1122" s="47"/>
      <c r="F1122" s="47"/>
      <c r="G1122" s="47"/>
      <c r="H1122" s="47"/>
      <c r="I1122" s="48" t="str">
        <f t="shared" si="16"/>
        <v>57213</v>
      </c>
      <c r="J1122" s="49"/>
      <c r="K1122" s="49"/>
      <c r="L1122" s="48" t="s">
        <v>2046</v>
      </c>
      <c r="M1122" s="50">
        <v>1.0</v>
      </c>
      <c r="N1122" s="51"/>
      <c r="O1122" s="47"/>
      <c r="P1122" s="51"/>
      <c r="Q1122" s="51"/>
      <c r="R1122" s="51"/>
      <c r="S1122" s="51"/>
      <c r="T1122" s="49"/>
      <c r="U1122" s="52">
        <v>1.0</v>
      </c>
      <c r="V1122" s="49"/>
      <c r="W1122" s="52" t="s">
        <v>70</v>
      </c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  <c r="AI1122" s="49"/>
      <c r="AJ1122" s="49"/>
      <c r="AK1122" s="49"/>
      <c r="AL1122" s="49"/>
      <c r="AM1122" s="49"/>
      <c r="AN1122" s="49"/>
      <c r="AO1122" s="49"/>
      <c r="AP1122" s="51"/>
      <c r="AQ1122" s="51"/>
      <c r="AR1122" s="51"/>
      <c r="AS1122" s="51"/>
      <c r="AT1122" s="51"/>
      <c r="AU1122" s="51"/>
      <c r="AV1122" s="49"/>
      <c r="AW1122" s="49"/>
      <c r="AX1122" s="49"/>
      <c r="AY1122" s="49"/>
      <c r="AZ1122" s="49"/>
      <c r="BA1122" s="49"/>
      <c r="BB1122" s="49"/>
      <c r="BC1122" s="49"/>
      <c r="BD1122" s="49"/>
      <c r="BE1122" s="49"/>
      <c r="BF1122" s="49"/>
      <c r="BG1122" s="49"/>
      <c r="BH1122" s="51"/>
      <c r="BI1122" s="51"/>
      <c r="BJ1122" s="51"/>
      <c r="BK1122" s="51"/>
      <c r="BL1122" s="51"/>
      <c r="BM1122" s="49"/>
      <c r="BN1122" s="53"/>
      <c r="BO1122" s="49"/>
      <c r="BP1122" s="51"/>
      <c r="BQ1122" s="10"/>
    </row>
    <row r="1123">
      <c r="A1123" s="1">
        <v>4.0</v>
      </c>
      <c r="B1123" s="2" t="s">
        <v>2045</v>
      </c>
      <c r="C1123" s="2" t="s">
        <v>76</v>
      </c>
      <c r="D1123" s="93"/>
      <c r="E1123" s="93"/>
      <c r="F1123" s="93"/>
      <c r="G1123" s="93"/>
      <c r="H1123" s="93"/>
      <c r="I1123" s="3" t="str">
        <f t="shared" si="16"/>
        <v>5721301</v>
      </c>
      <c r="J1123" s="3"/>
      <c r="K1123" s="3"/>
      <c r="L1123" s="94" t="s">
        <v>2047</v>
      </c>
      <c r="M1123" s="4">
        <v>1.0</v>
      </c>
      <c r="N1123" s="3"/>
      <c r="O1123" s="93"/>
      <c r="P1123" s="3"/>
      <c r="Q1123" s="3"/>
      <c r="R1123" s="3"/>
      <c r="S1123" s="3"/>
      <c r="T1123" s="3"/>
      <c r="U1123" s="6">
        <v>1.0</v>
      </c>
      <c r="V1123" s="3"/>
      <c r="W1123" s="6" t="s">
        <v>78</v>
      </c>
      <c r="X1123" s="3"/>
      <c r="Y1123" s="3"/>
      <c r="Z1123" s="3"/>
      <c r="AA1123" s="96" t="s">
        <v>79</v>
      </c>
      <c r="AB1123" s="96" t="s">
        <v>79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6" t="s">
        <v>80</v>
      </c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97"/>
      <c r="BO1123" s="3"/>
      <c r="BP1123" s="3"/>
      <c r="BQ1123" s="10"/>
    </row>
    <row r="1124">
      <c r="A1124" s="1">
        <v>5.0</v>
      </c>
      <c r="B1124" s="2" t="s">
        <v>2045</v>
      </c>
      <c r="C1124" s="2" t="s">
        <v>76</v>
      </c>
      <c r="D1124" s="2" t="s">
        <v>76</v>
      </c>
      <c r="E1124" s="93"/>
      <c r="F1124" s="93"/>
      <c r="G1124" s="93"/>
      <c r="H1124" s="93"/>
      <c r="I1124" s="3" t="str">
        <f t="shared" si="16"/>
        <v>572130101</v>
      </c>
      <c r="J1124" s="3"/>
      <c r="K1124" s="3"/>
      <c r="L1124" s="94" t="s">
        <v>2048</v>
      </c>
      <c r="M1124" s="4">
        <v>2.0</v>
      </c>
      <c r="N1124" s="3"/>
      <c r="O1124" s="93"/>
      <c r="P1124" s="3"/>
      <c r="Q1124" s="3"/>
      <c r="R1124" s="3"/>
      <c r="S1124" s="3"/>
      <c r="T1124" s="3"/>
      <c r="U1124" s="6">
        <v>1.0</v>
      </c>
      <c r="V1124" s="3"/>
      <c r="W1124" s="6" t="s">
        <v>304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97"/>
      <c r="BO1124" s="3"/>
      <c r="BP1124" s="3"/>
      <c r="BQ1124" s="10"/>
    </row>
    <row r="1125">
      <c r="A1125" s="1">
        <v>5.0</v>
      </c>
      <c r="B1125" s="2" t="s">
        <v>2045</v>
      </c>
      <c r="C1125" s="2" t="s">
        <v>76</v>
      </c>
      <c r="D1125" s="2" t="s">
        <v>119</v>
      </c>
      <c r="E1125" s="93"/>
      <c r="F1125" s="93"/>
      <c r="G1125" s="93"/>
      <c r="H1125" s="93"/>
      <c r="I1125" s="3" t="str">
        <f t="shared" si="16"/>
        <v>572130102</v>
      </c>
      <c r="J1125" s="3"/>
      <c r="K1125" s="3"/>
      <c r="L1125" s="94" t="s">
        <v>2049</v>
      </c>
      <c r="M1125" s="4">
        <v>2.0</v>
      </c>
      <c r="N1125" s="3"/>
      <c r="O1125" s="93"/>
      <c r="P1125" s="3"/>
      <c r="Q1125" s="3"/>
      <c r="R1125" s="3"/>
      <c r="S1125" s="3"/>
      <c r="T1125" s="3"/>
      <c r="U1125" s="6">
        <v>1.0</v>
      </c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97"/>
      <c r="BO1125" s="3"/>
      <c r="BP1125" s="3"/>
      <c r="BQ1125" s="10"/>
    </row>
    <row r="1126">
      <c r="A1126" s="1">
        <v>5.0</v>
      </c>
      <c r="B1126" s="2" t="s">
        <v>2045</v>
      </c>
      <c r="C1126" s="2" t="s">
        <v>76</v>
      </c>
      <c r="D1126" s="2" t="s">
        <v>124</v>
      </c>
      <c r="E1126" s="93"/>
      <c r="F1126" s="93"/>
      <c r="G1126" s="93"/>
      <c r="H1126" s="93"/>
      <c r="I1126" s="3" t="str">
        <f t="shared" si="16"/>
        <v>572130103</v>
      </c>
      <c r="J1126" s="3"/>
      <c r="K1126" s="3"/>
      <c r="L1126" s="94" t="s">
        <v>2050</v>
      </c>
      <c r="M1126" s="4">
        <v>2.0</v>
      </c>
      <c r="N1126" s="3"/>
      <c r="O1126" s="93"/>
      <c r="P1126" s="3"/>
      <c r="Q1126" s="3"/>
      <c r="R1126" s="3"/>
      <c r="S1126" s="3"/>
      <c r="T1126" s="3"/>
      <c r="U1126" s="6">
        <v>1.0</v>
      </c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97"/>
      <c r="BO1126" s="3"/>
      <c r="BP1126" s="3"/>
      <c r="BQ1126" s="10"/>
    </row>
    <row r="1127">
      <c r="A1127" s="45">
        <v>3.0</v>
      </c>
      <c r="B1127" s="46" t="s">
        <v>2051</v>
      </c>
      <c r="C1127" s="47"/>
      <c r="D1127" s="47"/>
      <c r="E1127" s="47"/>
      <c r="F1127" s="47"/>
      <c r="G1127" s="47"/>
      <c r="H1127" s="47"/>
      <c r="I1127" s="48" t="str">
        <f t="shared" si="16"/>
        <v>57214</v>
      </c>
      <c r="J1127" s="49"/>
      <c r="K1127" s="49"/>
      <c r="L1127" s="48" t="s">
        <v>2052</v>
      </c>
      <c r="M1127" s="50">
        <v>1.0</v>
      </c>
      <c r="N1127" s="51"/>
      <c r="O1127" s="47"/>
      <c r="P1127" s="51"/>
      <c r="Q1127" s="51"/>
      <c r="R1127" s="51"/>
      <c r="S1127" s="51"/>
      <c r="T1127" s="49"/>
      <c r="U1127" s="52">
        <v>1.0</v>
      </c>
      <c r="V1127" s="49"/>
      <c r="W1127" s="52" t="s">
        <v>70</v>
      </c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  <c r="AO1127" s="49"/>
      <c r="AP1127" s="51"/>
      <c r="AQ1127" s="51"/>
      <c r="AR1127" s="51"/>
      <c r="AS1127" s="51"/>
      <c r="AT1127" s="51"/>
      <c r="AU1127" s="51"/>
      <c r="AV1127" s="49"/>
      <c r="AW1127" s="49"/>
      <c r="AX1127" s="49"/>
      <c r="AY1127" s="49"/>
      <c r="AZ1127" s="49"/>
      <c r="BA1127" s="49"/>
      <c r="BB1127" s="49"/>
      <c r="BC1127" s="49"/>
      <c r="BD1127" s="49"/>
      <c r="BE1127" s="49"/>
      <c r="BF1127" s="49"/>
      <c r="BG1127" s="49"/>
      <c r="BH1127" s="51"/>
      <c r="BI1127" s="51"/>
      <c r="BJ1127" s="51"/>
      <c r="BK1127" s="51"/>
      <c r="BL1127" s="51"/>
      <c r="BM1127" s="49"/>
      <c r="BN1127" s="53"/>
      <c r="BO1127" s="49"/>
      <c r="BP1127" s="51"/>
      <c r="BQ1127" s="10"/>
    </row>
    <row r="1128">
      <c r="A1128" s="1">
        <v>4.0</v>
      </c>
      <c r="B1128" s="2" t="s">
        <v>2051</v>
      </c>
      <c r="C1128" s="2" t="s">
        <v>76</v>
      </c>
      <c r="D1128" s="93"/>
      <c r="E1128" s="93"/>
      <c r="F1128" s="93"/>
      <c r="G1128" s="93"/>
      <c r="H1128" s="93"/>
      <c r="I1128" s="3" t="str">
        <f t="shared" si="16"/>
        <v>5721401</v>
      </c>
      <c r="J1128" s="3"/>
      <c r="K1128" s="3"/>
      <c r="L1128" s="94" t="s">
        <v>2053</v>
      </c>
      <c r="M1128" s="4">
        <v>1.0</v>
      </c>
      <c r="N1128" s="3"/>
      <c r="O1128" s="93"/>
      <c r="P1128" s="3"/>
      <c r="Q1128" s="3"/>
      <c r="R1128" s="3"/>
      <c r="S1128" s="3"/>
      <c r="T1128" s="3"/>
      <c r="U1128" s="6" t="s">
        <v>79</v>
      </c>
      <c r="V1128" s="3"/>
      <c r="W1128" s="6" t="s">
        <v>78</v>
      </c>
      <c r="X1128" s="3"/>
      <c r="Y1128" s="3"/>
      <c r="Z1128" s="3"/>
      <c r="AA1128" s="96" t="s">
        <v>79</v>
      </c>
      <c r="AB1128" s="96" t="s">
        <v>79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6" t="s">
        <v>80</v>
      </c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97"/>
      <c r="BO1128" s="3"/>
      <c r="BP1128" s="3"/>
      <c r="BQ1128" s="10"/>
    </row>
    <row r="1129">
      <c r="A1129" s="1">
        <v>5.0</v>
      </c>
      <c r="B1129" s="2" t="s">
        <v>2051</v>
      </c>
      <c r="C1129" s="2" t="s">
        <v>76</v>
      </c>
      <c r="D1129" s="2" t="s">
        <v>76</v>
      </c>
      <c r="E1129" s="93"/>
      <c r="F1129" s="93"/>
      <c r="G1129" s="93"/>
      <c r="H1129" s="93"/>
      <c r="I1129" s="3" t="str">
        <f t="shared" si="16"/>
        <v>572140101</v>
      </c>
      <c r="J1129" s="3"/>
      <c r="K1129" s="3"/>
      <c r="L1129" s="94" t="s">
        <v>2048</v>
      </c>
      <c r="M1129" s="4">
        <v>2.0</v>
      </c>
      <c r="N1129" s="3"/>
      <c r="O1129" s="93"/>
      <c r="P1129" s="3"/>
      <c r="Q1129" s="3"/>
      <c r="R1129" s="3"/>
      <c r="S1129" s="3"/>
      <c r="T1129" s="3"/>
      <c r="U1129" s="6">
        <v>1.0</v>
      </c>
      <c r="V1129" s="3"/>
      <c r="W1129" s="6" t="s">
        <v>304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97"/>
      <c r="BO1129" s="3"/>
      <c r="BP1129" s="3"/>
      <c r="BQ1129" s="10"/>
    </row>
    <row r="1130">
      <c r="A1130" s="1">
        <v>5.0</v>
      </c>
      <c r="B1130" s="2" t="s">
        <v>2051</v>
      </c>
      <c r="C1130" s="2" t="s">
        <v>76</v>
      </c>
      <c r="D1130" s="2" t="s">
        <v>119</v>
      </c>
      <c r="E1130" s="93"/>
      <c r="F1130" s="93"/>
      <c r="G1130" s="93"/>
      <c r="H1130" s="93"/>
      <c r="I1130" s="3" t="str">
        <f t="shared" si="16"/>
        <v>572140102</v>
      </c>
      <c r="J1130" s="3"/>
      <c r="K1130" s="3"/>
      <c r="L1130" s="94" t="s">
        <v>2049</v>
      </c>
      <c r="M1130" s="4">
        <v>2.0</v>
      </c>
      <c r="N1130" s="3"/>
      <c r="O1130" s="93"/>
      <c r="P1130" s="3"/>
      <c r="Q1130" s="3"/>
      <c r="R1130" s="3"/>
      <c r="S1130" s="3"/>
      <c r="T1130" s="3"/>
      <c r="U1130" s="6">
        <v>1.0</v>
      </c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97"/>
      <c r="BO1130" s="3"/>
      <c r="BP1130" s="3"/>
      <c r="BQ1130" s="10"/>
    </row>
    <row r="1131">
      <c r="A1131" s="1">
        <v>5.0</v>
      </c>
      <c r="B1131" s="2" t="s">
        <v>2051</v>
      </c>
      <c r="C1131" s="2" t="s">
        <v>76</v>
      </c>
      <c r="D1131" s="2" t="s">
        <v>124</v>
      </c>
      <c r="E1131" s="93"/>
      <c r="F1131" s="93"/>
      <c r="G1131" s="93"/>
      <c r="H1131" s="93"/>
      <c r="I1131" s="3" t="str">
        <f t="shared" si="16"/>
        <v>572140103</v>
      </c>
      <c r="J1131" s="3"/>
      <c r="K1131" s="3"/>
      <c r="L1131" s="94" t="s">
        <v>2050</v>
      </c>
      <c r="M1131" s="4">
        <v>2.0</v>
      </c>
      <c r="N1131" s="3"/>
      <c r="O1131" s="93"/>
      <c r="P1131" s="3"/>
      <c r="Q1131" s="3"/>
      <c r="R1131" s="3"/>
      <c r="S1131" s="3"/>
      <c r="T1131" s="3"/>
      <c r="U1131" s="6">
        <v>1.0</v>
      </c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97"/>
      <c r="BO1131" s="3"/>
      <c r="BP1131" s="3"/>
      <c r="BQ1131" s="10"/>
    </row>
    <row r="1132">
      <c r="A1132" s="45">
        <v>3.0</v>
      </c>
      <c r="B1132" s="46" t="s">
        <v>2054</v>
      </c>
      <c r="C1132" s="47"/>
      <c r="D1132" s="47"/>
      <c r="E1132" s="47"/>
      <c r="F1132" s="47"/>
      <c r="G1132" s="47"/>
      <c r="H1132" s="47"/>
      <c r="I1132" s="48" t="str">
        <f t="shared" si="16"/>
        <v>57215</v>
      </c>
      <c r="J1132" s="49"/>
      <c r="K1132" s="49"/>
      <c r="L1132" s="48" t="s">
        <v>2055</v>
      </c>
      <c r="M1132" s="50">
        <v>1.0</v>
      </c>
      <c r="N1132" s="51"/>
      <c r="O1132" s="47"/>
      <c r="P1132" s="51"/>
      <c r="Q1132" s="51"/>
      <c r="R1132" s="51"/>
      <c r="S1132" s="51"/>
      <c r="T1132" s="49"/>
      <c r="U1132" s="52">
        <v>1.0</v>
      </c>
      <c r="V1132" s="49"/>
      <c r="W1132" s="52" t="s">
        <v>70</v>
      </c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  <c r="AI1132" s="49"/>
      <c r="AJ1132" s="49"/>
      <c r="AK1132" s="49"/>
      <c r="AL1132" s="49"/>
      <c r="AM1132" s="49"/>
      <c r="AN1132" s="49"/>
      <c r="AO1132" s="49"/>
      <c r="AP1132" s="51"/>
      <c r="AQ1132" s="51"/>
      <c r="AR1132" s="51"/>
      <c r="AS1132" s="51"/>
      <c r="AT1132" s="51"/>
      <c r="AU1132" s="51"/>
      <c r="AV1132" s="49"/>
      <c r="AW1132" s="49"/>
      <c r="AX1132" s="49"/>
      <c r="AY1132" s="49"/>
      <c r="AZ1132" s="49"/>
      <c r="BA1132" s="49"/>
      <c r="BB1132" s="49"/>
      <c r="BC1132" s="49"/>
      <c r="BD1132" s="49"/>
      <c r="BE1132" s="49"/>
      <c r="BF1132" s="49"/>
      <c r="BG1132" s="49"/>
      <c r="BH1132" s="51"/>
      <c r="BI1132" s="51"/>
      <c r="BJ1132" s="51"/>
      <c r="BK1132" s="51"/>
      <c r="BL1132" s="51"/>
      <c r="BM1132" s="49"/>
      <c r="BN1132" s="53"/>
      <c r="BO1132" s="49"/>
      <c r="BP1132" s="51"/>
      <c r="BQ1132" s="10"/>
    </row>
    <row r="1133">
      <c r="A1133" s="1">
        <v>4.0</v>
      </c>
      <c r="B1133" s="2" t="s">
        <v>2054</v>
      </c>
      <c r="C1133" s="2" t="s">
        <v>76</v>
      </c>
      <c r="D1133" s="93"/>
      <c r="E1133" s="93"/>
      <c r="F1133" s="93"/>
      <c r="G1133" s="93"/>
      <c r="H1133" s="93"/>
      <c r="I1133" s="3" t="str">
        <f t="shared" si="16"/>
        <v>5721501</v>
      </c>
      <c r="J1133" s="3"/>
      <c r="K1133" s="3"/>
      <c r="L1133" s="94" t="s">
        <v>2056</v>
      </c>
      <c r="M1133" s="4">
        <v>1.0</v>
      </c>
      <c r="N1133" s="3"/>
      <c r="O1133" s="93"/>
      <c r="P1133" s="3"/>
      <c r="Q1133" s="3"/>
      <c r="R1133" s="3"/>
      <c r="S1133" s="3"/>
      <c r="T1133" s="3"/>
      <c r="U1133" s="6" t="s">
        <v>79</v>
      </c>
      <c r="V1133" s="3"/>
      <c r="W1133" s="6" t="s">
        <v>78</v>
      </c>
      <c r="X1133" s="3"/>
      <c r="Y1133" s="3"/>
      <c r="Z1133" s="3"/>
      <c r="AA1133" s="96" t="s">
        <v>79</v>
      </c>
      <c r="AB1133" s="96" t="s">
        <v>79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6" t="s">
        <v>80</v>
      </c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97"/>
      <c r="BO1133" s="3"/>
      <c r="BP1133" s="3"/>
      <c r="BQ1133" s="10"/>
    </row>
    <row r="1134">
      <c r="A1134" s="1">
        <v>5.0</v>
      </c>
      <c r="B1134" s="2" t="s">
        <v>2054</v>
      </c>
      <c r="C1134" s="2" t="s">
        <v>76</v>
      </c>
      <c r="D1134" s="2" t="s">
        <v>76</v>
      </c>
      <c r="E1134" s="93"/>
      <c r="F1134" s="93"/>
      <c r="G1134" s="93"/>
      <c r="H1134" s="93"/>
      <c r="I1134" s="3" t="str">
        <f t="shared" si="16"/>
        <v>572150101</v>
      </c>
      <c r="J1134" s="3"/>
      <c r="K1134" s="3"/>
      <c r="L1134" s="94" t="s">
        <v>2048</v>
      </c>
      <c r="M1134" s="4">
        <v>2.0</v>
      </c>
      <c r="N1134" s="3"/>
      <c r="O1134" s="93"/>
      <c r="P1134" s="3"/>
      <c r="Q1134" s="3"/>
      <c r="R1134" s="3"/>
      <c r="S1134" s="3"/>
      <c r="T1134" s="3"/>
      <c r="U1134" s="6">
        <v>1.0</v>
      </c>
      <c r="V1134" s="3"/>
      <c r="W1134" s="6" t="s">
        <v>304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97"/>
      <c r="BO1134" s="3"/>
      <c r="BP1134" s="3"/>
      <c r="BQ1134" s="10"/>
    </row>
    <row r="1135">
      <c r="A1135" s="1">
        <v>5.0</v>
      </c>
      <c r="B1135" s="2" t="s">
        <v>2054</v>
      </c>
      <c r="C1135" s="2" t="s">
        <v>76</v>
      </c>
      <c r="D1135" s="2" t="s">
        <v>119</v>
      </c>
      <c r="E1135" s="93"/>
      <c r="F1135" s="93"/>
      <c r="G1135" s="93"/>
      <c r="H1135" s="93"/>
      <c r="I1135" s="3" t="str">
        <f t="shared" si="16"/>
        <v>572150102</v>
      </c>
      <c r="J1135" s="3"/>
      <c r="K1135" s="3"/>
      <c r="L1135" s="94" t="s">
        <v>2049</v>
      </c>
      <c r="M1135" s="4">
        <v>2.0</v>
      </c>
      <c r="N1135" s="3"/>
      <c r="O1135" s="93"/>
      <c r="P1135" s="3"/>
      <c r="Q1135" s="3"/>
      <c r="R1135" s="3"/>
      <c r="S1135" s="3"/>
      <c r="T1135" s="3"/>
      <c r="U1135" s="6">
        <v>1.0</v>
      </c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97"/>
      <c r="BO1135" s="3"/>
      <c r="BP1135" s="3"/>
      <c r="BQ1135" s="10"/>
    </row>
    <row r="1136">
      <c r="A1136" s="1">
        <v>5.0</v>
      </c>
      <c r="B1136" s="2" t="s">
        <v>2054</v>
      </c>
      <c r="C1136" s="2" t="s">
        <v>76</v>
      </c>
      <c r="D1136" s="2" t="s">
        <v>124</v>
      </c>
      <c r="E1136" s="93"/>
      <c r="F1136" s="93"/>
      <c r="G1136" s="93"/>
      <c r="H1136" s="93"/>
      <c r="I1136" s="3" t="str">
        <f t="shared" si="16"/>
        <v>572150103</v>
      </c>
      <c r="J1136" s="3"/>
      <c r="K1136" s="3"/>
      <c r="L1136" s="94" t="s">
        <v>2050</v>
      </c>
      <c r="M1136" s="4">
        <v>2.0</v>
      </c>
      <c r="N1136" s="3"/>
      <c r="O1136" s="93"/>
      <c r="P1136" s="3"/>
      <c r="Q1136" s="3"/>
      <c r="R1136" s="3"/>
      <c r="S1136" s="3"/>
      <c r="T1136" s="3"/>
      <c r="U1136" s="6">
        <v>1.0</v>
      </c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97"/>
      <c r="BO1136" s="3"/>
      <c r="BP1136" s="3"/>
      <c r="BQ1136" s="10"/>
    </row>
    <row r="1137">
      <c r="A1137" s="45">
        <v>3.0</v>
      </c>
      <c r="B1137" s="46" t="s">
        <v>2057</v>
      </c>
      <c r="C1137" s="47"/>
      <c r="D1137" s="47"/>
      <c r="E1137" s="47"/>
      <c r="F1137" s="47"/>
      <c r="G1137" s="47"/>
      <c r="H1137" s="47"/>
      <c r="I1137" s="48" t="str">
        <f t="shared" si="16"/>
        <v>57216</v>
      </c>
      <c r="J1137" s="49"/>
      <c r="K1137" s="49"/>
      <c r="L1137" s="48" t="s">
        <v>2058</v>
      </c>
      <c r="M1137" s="50">
        <v>1.0</v>
      </c>
      <c r="N1137" s="51"/>
      <c r="O1137" s="47"/>
      <c r="P1137" s="51"/>
      <c r="Q1137" s="51"/>
      <c r="R1137" s="51"/>
      <c r="S1137" s="51"/>
      <c r="T1137" s="49"/>
      <c r="U1137" s="52">
        <v>1.0</v>
      </c>
      <c r="V1137" s="49"/>
      <c r="W1137" s="52" t="s">
        <v>70</v>
      </c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  <c r="AI1137" s="49"/>
      <c r="AJ1137" s="49"/>
      <c r="AK1137" s="49"/>
      <c r="AL1137" s="49"/>
      <c r="AM1137" s="49"/>
      <c r="AN1137" s="49"/>
      <c r="AO1137" s="49"/>
      <c r="AP1137" s="51"/>
      <c r="AQ1137" s="51"/>
      <c r="AR1137" s="51"/>
      <c r="AS1137" s="51"/>
      <c r="AT1137" s="51"/>
      <c r="AU1137" s="51"/>
      <c r="AV1137" s="49"/>
      <c r="AW1137" s="49"/>
      <c r="AX1137" s="49"/>
      <c r="AY1137" s="49"/>
      <c r="AZ1137" s="49"/>
      <c r="BA1137" s="49"/>
      <c r="BB1137" s="49"/>
      <c r="BC1137" s="49"/>
      <c r="BD1137" s="49"/>
      <c r="BE1137" s="49"/>
      <c r="BF1137" s="49"/>
      <c r="BG1137" s="49"/>
      <c r="BH1137" s="51"/>
      <c r="BI1137" s="51"/>
      <c r="BJ1137" s="51"/>
      <c r="BK1137" s="51"/>
      <c r="BL1137" s="51"/>
      <c r="BM1137" s="49"/>
      <c r="BN1137" s="53"/>
      <c r="BO1137" s="49"/>
      <c r="BP1137" s="51"/>
      <c r="BQ1137" s="10"/>
    </row>
    <row r="1138">
      <c r="A1138" s="1">
        <v>4.0</v>
      </c>
      <c r="B1138" s="2" t="s">
        <v>2057</v>
      </c>
      <c r="C1138" s="2" t="s">
        <v>76</v>
      </c>
      <c r="D1138" s="93"/>
      <c r="E1138" s="93"/>
      <c r="F1138" s="93"/>
      <c r="G1138" s="93"/>
      <c r="H1138" s="93"/>
      <c r="I1138" s="3" t="str">
        <f t="shared" si="16"/>
        <v>5721601</v>
      </c>
      <c r="J1138" s="3"/>
      <c r="K1138" s="3"/>
      <c r="L1138" s="94" t="s">
        <v>2059</v>
      </c>
      <c r="M1138" s="4">
        <v>1.0</v>
      </c>
      <c r="N1138" s="3"/>
      <c r="O1138" s="93"/>
      <c r="P1138" s="3"/>
      <c r="Q1138" s="3"/>
      <c r="R1138" s="3"/>
      <c r="S1138" s="3"/>
      <c r="T1138" s="3"/>
      <c r="U1138" s="6" t="s">
        <v>79</v>
      </c>
      <c r="V1138" s="3"/>
      <c r="W1138" s="6" t="s">
        <v>78</v>
      </c>
      <c r="X1138" s="3"/>
      <c r="Y1138" s="3"/>
      <c r="Z1138" s="3"/>
      <c r="AA1138" s="96" t="s">
        <v>79</v>
      </c>
      <c r="AB1138" s="96" t="s">
        <v>79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6" t="s">
        <v>80</v>
      </c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97"/>
      <c r="BO1138" s="3"/>
      <c r="BP1138" s="3"/>
      <c r="BQ1138" s="10"/>
    </row>
    <row r="1139">
      <c r="A1139" s="1">
        <v>5.0</v>
      </c>
      <c r="B1139" s="2" t="s">
        <v>2057</v>
      </c>
      <c r="C1139" s="2" t="s">
        <v>76</v>
      </c>
      <c r="D1139" s="2" t="s">
        <v>76</v>
      </c>
      <c r="E1139" s="93"/>
      <c r="F1139" s="93"/>
      <c r="G1139" s="93"/>
      <c r="H1139" s="93"/>
      <c r="I1139" s="3" t="str">
        <f t="shared" si="16"/>
        <v>572160101</v>
      </c>
      <c r="J1139" s="3"/>
      <c r="K1139" s="3"/>
      <c r="L1139" s="94" t="s">
        <v>2048</v>
      </c>
      <c r="M1139" s="4">
        <v>2.0</v>
      </c>
      <c r="N1139" s="3"/>
      <c r="O1139" s="93"/>
      <c r="P1139" s="3"/>
      <c r="Q1139" s="3"/>
      <c r="R1139" s="3"/>
      <c r="S1139" s="3"/>
      <c r="T1139" s="3"/>
      <c r="U1139" s="6">
        <v>1.0</v>
      </c>
      <c r="V1139" s="3"/>
      <c r="W1139" s="6" t="s">
        <v>304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97"/>
      <c r="BO1139" s="3"/>
      <c r="BP1139" s="3"/>
      <c r="BQ1139" s="10"/>
    </row>
    <row r="1140">
      <c r="A1140" s="1">
        <v>5.0</v>
      </c>
      <c r="B1140" s="2" t="s">
        <v>2057</v>
      </c>
      <c r="C1140" s="2" t="s">
        <v>76</v>
      </c>
      <c r="D1140" s="2" t="s">
        <v>119</v>
      </c>
      <c r="E1140" s="93"/>
      <c r="F1140" s="93"/>
      <c r="G1140" s="93"/>
      <c r="H1140" s="93"/>
      <c r="I1140" s="3" t="str">
        <f t="shared" si="16"/>
        <v>572160102</v>
      </c>
      <c r="J1140" s="3"/>
      <c r="K1140" s="3"/>
      <c r="L1140" s="94" t="s">
        <v>2060</v>
      </c>
      <c r="M1140" s="4">
        <v>2.0</v>
      </c>
      <c r="N1140" s="3"/>
      <c r="O1140" s="93"/>
      <c r="P1140" s="3"/>
      <c r="Q1140" s="3"/>
      <c r="R1140" s="3"/>
      <c r="S1140" s="3"/>
      <c r="T1140" s="3"/>
      <c r="U1140" s="6">
        <v>1.0</v>
      </c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97"/>
      <c r="BO1140" s="3"/>
      <c r="BP1140" s="3"/>
      <c r="BQ1140" s="10"/>
    </row>
    <row r="1141">
      <c r="A1141" s="1">
        <v>5.0</v>
      </c>
      <c r="B1141" s="2" t="s">
        <v>2057</v>
      </c>
      <c r="C1141" s="2" t="s">
        <v>76</v>
      </c>
      <c r="D1141" s="2" t="s">
        <v>124</v>
      </c>
      <c r="E1141" s="93"/>
      <c r="F1141" s="93"/>
      <c r="G1141" s="93"/>
      <c r="H1141" s="93"/>
      <c r="I1141" s="3" t="str">
        <f t="shared" si="16"/>
        <v>572160103</v>
      </c>
      <c r="J1141" s="3"/>
      <c r="K1141" s="3"/>
      <c r="L1141" s="94" t="s">
        <v>2050</v>
      </c>
      <c r="M1141" s="4">
        <v>2.0</v>
      </c>
      <c r="N1141" s="3"/>
      <c r="O1141" s="93"/>
      <c r="P1141" s="3"/>
      <c r="Q1141" s="3"/>
      <c r="R1141" s="3"/>
      <c r="S1141" s="3"/>
      <c r="T1141" s="3"/>
      <c r="U1141" s="6">
        <v>1.0</v>
      </c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97"/>
      <c r="BO1141" s="3"/>
      <c r="BP1141" s="3"/>
      <c r="BQ1141" s="10"/>
    </row>
    <row r="1142">
      <c r="A1142" s="20">
        <v>1.0</v>
      </c>
      <c r="B1142" s="21" t="s">
        <v>2061</v>
      </c>
      <c r="C1142" s="22"/>
      <c r="D1142" s="22"/>
      <c r="E1142" s="22"/>
      <c r="F1142" s="22"/>
      <c r="G1142" s="22"/>
      <c r="H1142" s="22"/>
      <c r="I1142" s="23" t="str">
        <f t="shared" si="16"/>
        <v>58000</v>
      </c>
      <c r="J1142" s="24"/>
      <c r="K1142" s="24"/>
      <c r="L1142" s="23" t="s">
        <v>2062</v>
      </c>
      <c r="M1142" s="25">
        <v>1.0</v>
      </c>
      <c r="N1142" s="24"/>
      <c r="O1142" s="22"/>
      <c r="P1142" s="24"/>
      <c r="Q1142" s="24"/>
      <c r="R1142" s="24"/>
      <c r="S1142" s="24"/>
      <c r="T1142" s="24"/>
      <c r="U1142" s="26">
        <v>1.0</v>
      </c>
      <c r="V1142" s="24"/>
      <c r="W1142" s="26" t="s">
        <v>70</v>
      </c>
      <c r="X1142" s="24"/>
      <c r="Y1142" s="24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M1142" s="24"/>
      <c r="BN1142" s="27"/>
      <c r="BO1142" s="24"/>
      <c r="BP1142" s="24"/>
      <c r="BQ1142" s="10"/>
    </row>
    <row r="1143">
      <c r="A1143" s="28">
        <v>1.0</v>
      </c>
      <c r="B1143" s="29" t="s">
        <v>2063</v>
      </c>
      <c r="C1143" s="30"/>
      <c r="D1143" s="30"/>
      <c r="E1143" s="30"/>
      <c r="F1143" s="30"/>
      <c r="G1143" s="30"/>
      <c r="H1143" s="30"/>
      <c r="I1143" s="31" t="str">
        <f t="shared" si="16"/>
        <v>58100</v>
      </c>
      <c r="J1143" s="74"/>
      <c r="K1143" s="74"/>
      <c r="L1143" s="31" t="s">
        <v>2064</v>
      </c>
      <c r="M1143" s="75">
        <v>1.0</v>
      </c>
      <c r="N1143" s="32"/>
      <c r="O1143" s="30"/>
      <c r="P1143" s="32"/>
      <c r="Q1143" s="32"/>
      <c r="R1143" s="32"/>
      <c r="S1143" s="32"/>
      <c r="T1143" s="74"/>
      <c r="U1143" s="34">
        <v>1.0</v>
      </c>
      <c r="V1143" s="74"/>
      <c r="W1143" s="34" t="s">
        <v>70</v>
      </c>
      <c r="X1143" s="74"/>
      <c r="Y1143" s="74"/>
      <c r="Z1143" s="74"/>
      <c r="AA1143" s="74"/>
      <c r="AB1143" s="74"/>
      <c r="AC1143" s="74"/>
      <c r="AD1143" s="74"/>
      <c r="AE1143" s="74"/>
      <c r="AF1143" s="74"/>
      <c r="AG1143" s="74"/>
      <c r="AH1143" s="74"/>
      <c r="AI1143" s="74"/>
      <c r="AJ1143" s="74"/>
      <c r="AK1143" s="74"/>
      <c r="AL1143" s="74"/>
      <c r="AM1143" s="74"/>
      <c r="AN1143" s="74"/>
      <c r="AO1143" s="74"/>
      <c r="AP1143" s="32"/>
      <c r="AQ1143" s="32"/>
      <c r="AR1143" s="32"/>
      <c r="AS1143" s="32"/>
      <c r="AT1143" s="32"/>
      <c r="AU1143" s="32"/>
      <c r="AV1143" s="74"/>
      <c r="AW1143" s="74"/>
      <c r="AX1143" s="74"/>
      <c r="AY1143" s="74"/>
      <c r="AZ1143" s="74"/>
      <c r="BA1143" s="74"/>
      <c r="BB1143" s="74"/>
      <c r="BC1143" s="74"/>
      <c r="BD1143" s="74"/>
      <c r="BE1143" s="74"/>
      <c r="BF1143" s="74"/>
      <c r="BG1143" s="74"/>
      <c r="BH1143" s="32"/>
      <c r="BI1143" s="32"/>
      <c r="BJ1143" s="32"/>
      <c r="BK1143" s="32"/>
      <c r="BL1143" s="32"/>
      <c r="BM1143" s="74"/>
      <c r="BN1143" s="76"/>
      <c r="BO1143" s="74"/>
      <c r="BP1143" s="32"/>
      <c r="BQ1143" s="10"/>
    </row>
    <row r="1144">
      <c r="A1144" s="36">
        <v>2.0</v>
      </c>
      <c r="B1144" s="37" t="s">
        <v>2065</v>
      </c>
      <c r="C1144" s="38"/>
      <c r="D1144" s="38"/>
      <c r="E1144" s="38"/>
      <c r="F1144" s="38"/>
      <c r="G1144" s="38"/>
      <c r="H1144" s="38"/>
      <c r="I1144" s="39" t="str">
        <f t="shared" si="16"/>
        <v>58110</v>
      </c>
      <c r="J1144" s="40"/>
      <c r="K1144" s="40"/>
      <c r="L1144" s="39" t="s">
        <v>2066</v>
      </c>
      <c r="M1144" s="41">
        <v>1.0</v>
      </c>
      <c r="N1144" s="42"/>
      <c r="O1144" s="38"/>
      <c r="P1144" s="42"/>
      <c r="Q1144" s="42"/>
      <c r="R1144" s="42"/>
      <c r="S1144" s="42"/>
      <c r="T1144" s="40"/>
      <c r="U1144" s="43">
        <v>1.0</v>
      </c>
      <c r="V1144" s="40"/>
      <c r="W1144" s="43" t="s">
        <v>70</v>
      </c>
      <c r="X1144" s="40"/>
      <c r="Y1144" s="40"/>
      <c r="Z1144" s="40"/>
      <c r="AA1144" s="40"/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2"/>
      <c r="AQ1144" s="42"/>
      <c r="AR1144" s="42"/>
      <c r="AS1144" s="42"/>
      <c r="AT1144" s="42"/>
      <c r="AU1144" s="42"/>
      <c r="AV1144" s="40"/>
      <c r="AW1144" s="40"/>
      <c r="AX1144" s="40"/>
      <c r="AY1144" s="40"/>
      <c r="AZ1144" s="40"/>
      <c r="BA1144" s="40"/>
      <c r="BB1144" s="40"/>
      <c r="BC1144" s="40"/>
      <c r="BD1144" s="40"/>
      <c r="BE1144" s="40"/>
      <c r="BF1144" s="40"/>
      <c r="BG1144" s="40"/>
      <c r="BH1144" s="42"/>
      <c r="BI1144" s="42"/>
      <c r="BJ1144" s="42"/>
      <c r="BK1144" s="42"/>
      <c r="BL1144" s="42"/>
      <c r="BM1144" s="40"/>
      <c r="BN1144" s="44"/>
      <c r="BO1144" s="40"/>
      <c r="BP1144" s="42"/>
      <c r="BQ1144" s="10"/>
    </row>
    <row r="1145">
      <c r="A1145" s="45">
        <v>3.0</v>
      </c>
      <c r="B1145" s="46" t="s">
        <v>2067</v>
      </c>
      <c r="C1145" s="47"/>
      <c r="D1145" s="47"/>
      <c r="E1145" s="47"/>
      <c r="F1145" s="47"/>
      <c r="G1145" s="47"/>
      <c r="H1145" s="47"/>
      <c r="I1145" s="48" t="str">
        <f t="shared" si="16"/>
        <v>58111</v>
      </c>
      <c r="J1145" s="49"/>
      <c r="K1145" s="49"/>
      <c r="L1145" s="48" t="s">
        <v>2068</v>
      </c>
      <c r="M1145" s="50">
        <v>1.0</v>
      </c>
      <c r="N1145" s="51"/>
      <c r="O1145" s="47"/>
      <c r="P1145" s="51"/>
      <c r="Q1145" s="51"/>
      <c r="R1145" s="51"/>
      <c r="S1145" s="51"/>
      <c r="T1145" s="49"/>
      <c r="U1145" s="52">
        <v>1.0</v>
      </c>
      <c r="V1145" s="49"/>
      <c r="W1145" s="52" t="s">
        <v>70</v>
      </c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  <c r="AO1145" s="49"/>
      <c r="AP1145" s="51"/>
      <c r="AQ1145" s="51"/>
      <c r="AR1145" s="51"/>
      <c r="AS1145" s="51"/>
      <c r="AT1145" s="51"/>
      <c r="AU1145" s="51"/>
      <c r="AV1145" s="49"/>
      <c r="AW1145" s="49"/>
      <c r="AX1145" s="49"/>
      <c r="AY1145" s="49"/>
      <c r="AZ1145" s="49"/>
      <c r="BA1145" s="49"/>
      <c r="BB1145" s="49"/>
      <c r="BC1145" s="49"/>
      <c r="BD1145" s="49"/>
      <c r="BE1145" s="49"/>
      <c r="BF1145" s="49"/>
      <c r="BG1145" s="49"/>
      <c r="BH1145" s="51"/>
      <c r="BI1145" s="51"/>
      <c r="BJ1145" s="51"/>
      <c r="BK1145" s="51"/>
      <c r="BL1145" s="51"/>
      <c r="BM1145" s="49"/>
      <c r="BN1145" s="53"/>
      <c r="BO1145" s="49"/>
      <c r="BP1145" s="51"/>
      <c r="BQ1145" s="10"/>
    </row>
    <row r="1146">
      <c r="A1146" s="70">
        <v>4.0</v>
      </c>
      <c r="B1146" s="71" t="s">
        <v>2067</v>
      </c>
      <c r="C1146" s="71" t="s">
        <v>76</v>
      </c>
      <c r="D1146" s="56"/>
      <c r="E1146" s="56"/>
      <c r="F1146" s="56"/>
      <c r="G1146" s="56"/>
      <c r="H1146" s="56"/>
      <c r="I1146" s="58" t="str">
        <f t="shared" si="16"/>
        <v>5811101</v>
      </c>
      <c r="J1146" s="58"/>
      <c r="K1146" s="58"/>
      <c r="L1146" s="59" t="s">
        <v>2069</v>
      </c>
      <c r="M1146" s="60">
        <v>1.0</v>
      </c>
      <c r="N1146" s="72" t="s">
        <v>2070</v>
      </c>
      <c r="O1146" s="56"/>
      <c r="P1146" s="72" t="s">
        <v>2071</v>
      </c>
      <c r="Q1146" s="90" t="s">
        <v>2072</v>
      </c>
      <c r="R1146" s="58"/>
      <c r="S1146" s="58"/>
      <c r="T1146" s="58"/>
      <c r="U1146" s="72">
        <v>1.0</v>
      </c>
      <c r="V1146" s="58"/>
      <c r="W1146" s="72" t="s">
        <v>78</v>
      </c>
      <c r="X1146" s="58"/>
      <c r="Y1146" s="58"/>
      <c r="Z1146" s="58"/>
      <c r="AA1146" s="62" t="s">
        <v>79</v>
      </c>
      <c r="AB1146" s="62" t="s">
        <v>79</v>
      </c>
      <c r="AC1146" s="58"/>
      <c r="AD1146" s="58"/>
      <c r="AE1146" s="58"/>
      <c r="AF1146" s="58"/>
      <c r="AG1146" s="58"/>
      <c r="AH1146" s="58"/>
      <c r="AI1146" s="58"/>
      <c r="AJ1146" s="58"/>
      <c r="AK1146" s="58"/>
      <c r="AL1146" s="58"/>
      <c r="AM1146" s="58"/>
      <c r="AN1146" s="58"/>
      <c r="AO1146" s="58"/>
      <c r="AP1146" s="72" t="s">
        <v>80</v>
      </c>
      <c r="AQ1146" s="72">
        <v>717.0</v>
      </c>
      <c r="AR1146" s="72">
        <v>1130.0</v>
      </c>
      <c r="AS1146" s="72">
        <v>670.0</v>
      </c>
      <c r="AT1146" s="72">
        <v>1171.0</v>
      </c>
      <c r="AU1146" s="72">
        <v>0.8865641</v>
      </c>
      <c r="AV1146" s="58"/>
      <c r="AW1146" s="58"/>
      <c r="AX1146" s="58"/>
      <c r="AY1146" s="58"/>
      <c r="AZ1146" s="58"/>
      <c r="BA1146" s="58"/>
      <c r="BB1146" s="58"/>
      <c r="BC1146" s="58"/>
      <c r="BD1146" s="58"/>
      <c r="BE1146" s="58"/>
      <c r="BF1146" s="58"/>
      <c r="BG1146" s="58"/>
      <c r="BH1146" s="91" t="s">
        <v>2073</v>
      </c>
      <c r="BI1146" s="60">
        <v>25.0</v>
      </c>
      <c r="BJ1146" s="90" t="s">
        <v>2071</v>
      </c>
      <c r="BK1146" s="72" t="s">
        <v>2071</v>
      </c>
      <c r="BL1146" s="58"/>
      <c r="BM1146" s="58"/>
      <c r="BN1146" s="63"/>
      <c r="BO1146" s="58"/>
      <c r="BP1146" s="58"/>
      <c r="BQ1146" s="64"/>
    </row>
    <row r="1147">
      <c r="A1147" s="70">
        <v>4.0</v>
      </c>
      <c r="B1147" s="71" t="s">
        <v>2067</v>
      </c>
      <c r="C1147" s="71" t="s">
        <v>119</v>
      </c>
      <c r="D1147" s="56"/>
      <c r="E1147" s="56"/>
      <c r="F1147" s="56"/>
      <c r="G1147" s="56"/>
      <c r="H1147" s="56"/>
      <c r="I1147" s="58" t="str">
        <f t="shared" si="16"/>
        <v>5811102</v>
      </c>
      <c r="J1147" s="58"/>
      <c r="K1147" s="58"/>
      <c r="L1147" s="59" t="s">
        <v>2074</v>
      </c>
      <c r="M1147" s="60">
        <v>1.0</v>
      </c>
      <c r="N1147" s="72" t="s">
        <v>2075</v>
      </c>
      <c r="O1147" s="56"/>
      <c r="P1147" s="72" t="s">
        <v>2071</v>
      </c>
      <c r="Q1147" s="90" t="s">
        <v>2072</v>
      </c>
      <c r="R1147" s="58"/>
      <c r="S1147" s="58"/>
      <c r="T1147" s="58"/>
      <c r="U1147" s="72">
        <v>1.0</v>
      </c>
      <c r="V1147" s="58"/>
      <c r="W1147" s="72" t="s">
        <v>78</v>
      </c>
      <c r="X1147" s="58"/>
      <c r="Y1147" s="58"/>
      <c r="Z1147" s="58"/>
      <c r="AA1147" s="62" t="s">
        <v>79</v>
      </c>
      <c r="AB1147" s="58"/>
      <c r="AC1147" s="58"/>
      <c r="AD1147" s="58"/>
      <c r="AE1147" s="58"/>
      <c r="AF1147" s="58"/>
      <c r="AG1147" s="58"/>
      <c r="AH1147" s="58"/>
      <c r="AI1147" s="58"/>
      <c r="AJ1147" s="58"/>
      <c r="AK1147" s="58"/>
      <c r="AL1147" s="58"/>
      <c r="AM1147" s="58"/>
      <c r="AN1147" s="58"/>
      <c r="AO1147" s="58"/>
      <c r="AP1147" s="72" t="s">
        <v>80</v>
      </c>
      <c r="AQ1147" s="72">
        <v>717.0</v>
      </c>
      <c r="AR1147" s="72">
        <v>1130.0</v>
      </c>
      <c r="AS1147" s="72">
        <v>670.0</v>
      </c>
      <c r="AT1147" s="72">
        <v>1171.0</v>
      </c>
      <c r="AU1147" s="72">
        <v>0.8865641</v>
      </c>
      <c r="AV1147" s="58"/>
      <c r="AW1147" s="58"/>
      <c r="AX1147" s="58"/>
      <c r="AY1147" s="58"/>
      <c r="AZ1147" s="58"/>
      <c r="BA1147" s="58"/>
      <c r="BB1147" s="58"/>
      <c r="BC1147" s="58"/>
      <c r="BD1147" s="58"/>
      <c r="BE1147" s="58"/>
      <c r="BF1147" s="58"/>
      <c r="BG1147" s="58"/>
      <c r="BH1147" s="91" t="s">
        <v>2073</v>
      </c>
      <c r="BI1147" s="60">
        <v>25.0</v>
      </c>
      <c r="BJ1147" s="90" t="s">
        <v>2071</v>
      </c>
      <c r="BK1147" s="72" t="s">
        <v>2071</v>
      </c>
      <c r="BL1147" s="58"/>
      <c r="BM1147" s="58"/>
      <c r="BN1147" s="63"/>
      <c r="BO1147" s="58"/>
      <c r="BP1147" s="58"/>
      <c r="BQ1147" s="64"/>
    </row>
    <row r="1148">
      <c r="A1148" s="70">
        <v>4.0</v>
      </c>
      <c r="B1148" s="71" t="s">
        <v>2067</v>
      </c>
      <c r="C1148" s="71" t="s">
        <v>124</v>
      </c>
      <c r="D1148" s="56"/>
      <c r="E1148" s="56"/>
      <c r="F1148" s="56"/>
      <c r="G1148" s="56"/>
      <c r="H1148" s="56"/>
      <c r="I1148" s="58" t="str">
        <f t="shared" si="16"/>
        <v>5811103</v>
      </c>
      <c r="J1148" s="58"/>
      <c r="K1148" s="58"/>
      <c r="L1148" s="59" t="s">
        <v>2076</v>
      </c>
      <c r="M1148" s="60">
        <v>1.0</v>
      </c>
      <c r="N1148" s="72" t="s">
        <v>2077</v>
      </c>
      <c r="O1148" s="73" t="s">
        <v>2078</v>
      </c>
      <c r="P1148" s="72" t="s">
        <v>2079</v>
      </c>
      <c r="Q1148" s="90" t="s">
        <v>2072</v>
      </c>
      <c r="R1148" s="58"/>
      <c r="S1148" s="58"/>
      <c r="T1148" s="58"/>
      <c r="U1148" s="72">
        <v>1.0</v>
      </c>
      <c r="V1148" s="58"/>
      <c r="W1148" s="72" t="s">
        <v>78</v>
      </c>
      <c r="X1148" s="58"/>
      <c r="Y1148" s="58"/>
      <c r="Z1148" s="58"/>
      <c r="AA1148" s="62" t="s">
        <v>79</v>
      </c>
      <c r="AB1148" s="62" t="s">
        <v>79</v>
      </c>
      <c r="AC1148" s="58"/>
      <c r="AD1148" s="58"/>
      <c r="AE1148" s="58"/>
      <c r="AF1148" s="58"/>
      <c r="AG1148" s="58"/>
      <c r="AH1148" s="58"/>
      <c r="AI1148" s="58"/>
      <c r="AJ1148" s="58"/>
      <c r="AK1148" s="58"/>
      <c r="AL1148" s="58"/>
      <c r="AM1148" s="58"/>
      <c r="AN1148" s="58"/>
      <c r="AO1148" s="58"/>
      <c r="AP1148" s="72" t="s">
        <v>80</v>
      </c>
      <c r="AQ1148" s="72">
        <v>5770.0</v>
      </c>
      <c r="AR1148" s="72">
        <v>4210.0</v>
      </c>
      <c r="AS1148" s="72">
        <v>1986.0</v>
      </c>
      <c r="AT1148" s="72">
        <v>1468.0</v>
      </c>
      <c r="AU1148" s="58"/>
      <c r="AV1148" s="58"/>
      <c r="AW1148" s="58"/>
      <c r="AX1148" s="58"/>
      <c r="AY1148" s="58"/>
      <c r="AZ1148" s="58"/>
      <c r="BA1148" s="58"/>
      <c r="BB1148" s="58"/>
      <c r="BC1148" s="58"/>
      <c r="BD1148" s="58"/>
      <c r="BE1148" s="58"/>
      <c r="BF1148" s="58"/>
      <c r="BG1148" s="58"/>
      <c r="BH1148" s="91" t="s">
        <v>2080</v>
      </c>
      <c r="BI1148" s="60">
        <v>72.0</v>
      </c>
      <c r="BJ1148" s="90" t="s">
        <v>2081</v>
      </c>
      <c r="BK1148" s="72" t="s">
        <v>2078</v>
      </c>
      <c r="BL1148" s="58"/>
      <c r="BM1148" s="58"/>
      <c r="BN1148" s="63"/>
      <c r="BO1148" s="58"/>
      <c r="BP1148" s="58"/>
      <c r="BQ1148" s="64"/>
    </row>
    <row r="1149">
      <c r="A1149" s="70">
        <v>4.0</v>
      </c>
      <c r="B1149" s="71" t="s">
        <v>2067</v>
      </c>
      <c r="C1149" s="71" t="s">
        <v>127</v>
      </c>
      <c r="D1149" s="56"/>
      <c r="E1149" s="56"/>
      <c r="F1149" s="56"/>
      <c r="G1149" s="56"/>
      <c r="H1149" s="56"/>
      <c r="I1149" s="58" t="str">
        <f t="shared" si="16"/>
        <v>5811104</v>
      </c>
      <c r="J1149" s="58"/>
      <c r="K1149" s="58"/>
      <c r="L1149" s="59" t="s">
        <v>2082</v>
      </c>
      <c r="M1149" s="60">
        <v>1.0</v>
      </c>
      <c r="N1149" s="72" t="s">
        <v>2083</v>
      </c>
      <c r="O1149" s="73" t="s">
        <v>2084</v>
      </c>
      <c r="P1149" s="72" t="s">
        <v>2085</v>
      </c>
      <c r="Q1149" s="90" t="s">
        <v>2072</v>
      </c>
      <c r="R1149" s="58"/>
      <c r="S1149" s="58"/>
      <c r="T1149" s="58"/>
      <c r="U1149" s="72">
        <v>1.0</v>
      </c>
      <c r="V1149" s="58"/>
      <c r="W1149" s="72" t="s">
        <v>78</v>
      </c>
      <c r="X1149" s="58"/>
      <c r="Y1149" s="58"/>
      <c r="Z1149" s="58"/>
      <c r="AA1149" s="62" t="s">
        <v>79</v>
      </c>
      <c r="AB1149" s="58"/>
      <c r="AC1149" s="58"/>
      <c r="AD1149" s="58"/>
      <c r="AE1149" s="58"/>
      <c r="AF1149" s="58"/>
      <c r="AG1149" s="58"/>
      <c r="AH1149" s="58"/>
      <c r="AI1149" s="58"/>
      <c r="AJ1149" s="58"/>
      <c r="AK1149" s="58"/>
      <c r="AL1149" s="58"/>
      <c r="AM1149" s="58"/>
      <c r="AN1149" s="58"/>
      <c r="AO1149" s="58"/>
      <c r="AP1149" s="72" t="s">
        <v>80</v>
      </c>
      <c r="AQ1149" s="72">
        <v>5770.0</v>
      </c>
      <c r="AR1149" s="72">
        <v>4210.0</v>
      </c>
      <c r="AS1149" s="72">
        <v>1986.0</v>
      </c>
      <c r="AT1149" s="72">
        <v>1468.0</v>
      </c>
      <c r="AU1149" s="58"/>
      <c r="AV1149" s="58"/>
      <c r="AW1149" s="58"/>
      <c r="AX1149" s="58"/>
      <c r="AY1149" s="58"/>
      <c r="AZ1149" s="58"/>
      <c r="BA1149" s="58"/>
      <c r="BB1149" s="58"/>
      <c r="BC1149" s="58"/>
      <c r="BD1149" s="58"/>
      <c r="BE1149" s="58"/>
      <c r="BF1149" s="58"/>
      <c r="BG1149" s="58"/>
      <c r="BH1149" s="91" t="s">
        <v>2080</v>
      </c>
      <c r="BI1149" s="60">
        <v>72.0</v>
      </c>
      <c r="BJ1149" s="90" t="s">
        <v>2081</v>
      </c>
      <c r="BK1149" s="72" t="s">
        <v>2084</v>
      </c>
      <c r="BL1149" s="58"/>
      <c r="BM1149" s="58"/>
      <c r="BN1149" s="63"/>
      <c r="BO1149" s="58"/>
      <c r="BP1149" s="58"/>
      <c r="BQ1149" s="64"/>
    </row>
    <row r="1150">
      <c r="A1150" s="70">
        <v>4.0</v>
      </c>
      <c r="B1150" s="71" t="s">
        <v>2067</v>
      </c>
      <c r="C1150" s="71" t="s">
        <v>91</v>
      </c>
      <c r="D1150" s="56"/>
      <c r="E1150" s="56"/>
      <c r="F1150" s="56"/>
      <c r="G1150" s="56"/>
      <c r="H1150" s="56"/>
      <c r="I1150" s="58" t="str">
        <f t="shared" si="16"/>
        <v>5811105</v>
      </c>
      <c r="J1150" s="58"/>
      <c r="K1150" s="58"/>
      <c r="L1150" s="59" t="s">
        <v>2086</v>
      </c>
      <c r="M1150" s="60">
        <v>1.0</v>
      </c>
      <c r="N1150" s="72" t="s">
        <v>2087</v>
      </c>
      <c r="O1150" s="73" t="s">
        <v>2088</v>
      </c>
      <c r="P1150" s="72" t="s">
        <v>2089</v>
      </c>
      <c r="Q1150" s="90" t="s">
        <v>2072</v>
      </c>
      <c r="R1150" s="58"/>
      <c r="S1150" s="58"/>
      <c r="T1150" s="58"/>
      <c r="U1150" s="72">
        <v>1.0</v>
      </c>
      <c r="V1150" s="58"/>
      <c r="W1150" s="72" t="s">
        <v>78</v>
      </c>
      <c r="X1150" s="58"/>
      <c r="Y1150" s="58"/>
      <c r="Z1150" s="58"/>
      <c r="AA1150" s="62" t="s">
        <v>79</v>
      </c>
      <c r="AB1150" s="62" t="s">
        <v>79</v>
      </c>
      <c r="AC1150" s="58"/>
      <c r="AD1150" s="58"/>
      <c r="AE1150" s="58"/>
      <c r="AF1150" s="58"/>
      <c r="AG1150" s="58"/>
      <c r="AH1150" s="58"/>
      <c r="AI1150" s="58"/>
      <c r="AJ1150" s="58"/>
      <c r="AK1150" s="58"/>
      <c r="AL1150" s="58"/>
      <c r="AM1150" s="58"/>
      <c r="AN1150" s="58"/>
      <c r="AO1150" s="58"/>
      <c r="AP1150" s="72" t="s">
        <v>80</v>
      </c>
      <c r="AQ1150" s="72">
        <v>4367.0</v>
      </c>
      <c r="AR1150" s="58"/>
      <c r="AS1150" s="58"/>
      <c r="AT1150" s="58"/>
      <c r="AU1150" s="58"/>
      <c r="AV1150" s="58"/>
      <c r="AW1150" s="58"/>
      <c r="AX1150" s="58"/>
      <c r="AY1150" s="58"/>
      <c r="AZ1150" s="58"/>
      <c r="BA1150" s="58"/>
      <c r="BB1150" s="58"/>
      <c r="BC1150" s="58"/>
      <c r="BD1150" s="58"/>
      <c r="BE1150" s="58"/>
      <c r="BF1150" s="58"/>
      <c r="BG1150" s="58"/>
      <c r="BH1150" s="91" t="s">
        <v>2090</v>
      </c>
      <c r="BI1150" s="60">
        <v>53.0</v>
      </c>
      <c r="BJ1150" s="90" t="s">
        <v>2081</v>
      </c>
      <c r="BK1150" s="72" t="s">
        <v>2088</v>
      </c>
      <c r="BL1150" s="58"/>
      <c r="BM1150" s="58"/>
      <c r="BN1150" s="63"/>
      <c r="BO1150" s="58"/>
      <c r="BP1150" s="58"/>
      <c r="BQ1150" s="64"/>
    </row>
    <row r="1151">
      <c r="A1151" s="70">
        <v>4.0</v>
      </c>
      <c r="B1151" s="71" t="s">
        <v>2067</v>
      </c>
      <c r="C1151" s="71" t="s">
        <v>133</v>
      </c>
      <c r="D1151" s="56"/>
      <c r="E1151" s="56"/>
      <c r="F1151" s="56"/>
      <c r="G1151" s="56"/>
      <c r="H1151" s="56"/>
      <c r="I1151" s="58" t="str">
        <f t="shared" si="16"/>
        <v>5811106</v>
      </c>
      <c r="J1151" s="58"/>
      <c r="K1151" s="58"/>
      <c r="L1151" s="59" t="s">
        <v>2091</v>
      </c>
      <c r="M1151" s="60">
        <v>2.0</v>
      </c>
      <c r="N1151" s="58"/>
      <c r="O1151" s="56"/>
      <c r="P1151" s="72" t="s">
        <v>2081</v>
      </c>
      <c r="Q1151" s="90" t="s">
        <v>2072</v>
      </c>
      <c r="R1151" s="58"/>
      <c r="S1151" s="58"/>
      <c r="T1151" s="58"/>
      <c r="U1151" s="72">
        <v>1.0</v>
      </c>
      <c r="V1151" s="58"/>
      <c r="W1151" s="72" t="s">
        <v>435</v>
      </c>
      <c r="X1151" s="58"/>
      <c r="Y1151" s="58"/>
      <c r="Z1151" s="58"/>
      <c r="AA1151" s="58"/>
      <c r="AB1151" s="58"/>
      <c r="AC1151" s="58"/>
      <c r="AD1151" s="58"/>
      <c r="AE1151" s="58"/>
      <c r="AF1151" s="58"/>
      <c r="AG1151" s="58"/>
      <c r="AH1151" s="58"/>
      <c r="AI1151" s="58"/>
      <c r="AJ1151" s="58"/>
      <c r="AK1151" s="58"/>
      <c r="AL1151" s="58"/>
      <c r="AM1151" s="58"/>
      <c r="AN1151" s="58"/>
      <c r="AO1151" s="58"/>
      <c r="AP1151" s="58"/>
      <c r="AQ1151" s="58"/>
      <c r="AR1151" s="58"/>
      <c r="AS1151" s="58"/>
      <c r="AT1151" s="58"/>
      <c r="AU1151" s="58"/>
      <c r="AV1151" s="58"/>
      <c r="AW1151" s="58"/>
      <c r="AX1151" s="58"/>
      <c r="AY1151" s="58"/>
      <c r="AZ1151" s="58"/>
      <c r="BA1151" s="58"/>
      <c r="BB1151" s="58"/>
      <c r="BC1151" s="58"/>
      <c r="BD1151" s="58"/>
      <c r="BE1151" s="58"/>
      <c r="BF1151" s="58"/>
      <c r="BG1151" s="58"/>
      <c r="BH1151" s="91" t="s">
        <v>2080</v>
      </c>
      <c r="BI1151" s="60">
        <v>71.0</v>
      </c>
      <c r="BJ1151" s="90" t="s">
        <v>2081</v>
      </c>
      <c r="BK1151" s="72" t="s">
        <v>2081</v>
      </c>
      <c r="BL1151" s="58"/>
      <c r="BM1151" s="58"/>
      <c r="BN1151" s="63"/>
      <c r="BO1151" s="58"/>
      <c r="BP1151" s="58"/>
      <c r="BQ1151" s="64"/>
    </row>
    <row r="1152">
      <c r="A1152" s="70">
        <v>4.0</v>
      </c>
      <c r="B1152" s="71" t="s">
        <v>2067</v>
      </c>
      <c r="C1152" s="71" t="s">
        <v>136</v>
      </c>
      <c r="D1152" s="56"/>
      <c r="E1152" s="56"/>
      <c r="F1152" s="56"/>
      <c r="G1152" s="56"/>
      <c r="H1152" s="56"/>
      <c r="I1152" s="58" t="str">
        <f t="shared" si="16"/>
        <v>5811107</v>
      </c>
      <c r="J1152" s="58"/>
      <c r="K1152" s="58"/>
      <c r="L1152" s="59" t="s">
        <v>2092</v>
      </c>
      <c r="M1152" s="60">
        <v>2.0</v>
      </c>
      <c r="N1152" s="58"/>
      <c r="O1152" s="56"/>
      <c r="P1152" s="58"/>
      <c r="Q1152" s="58"/>
      <c r="R1152" s="58"/>
      <c r="S1152" s="58"/>
      <c r="T1152" s="58"/>
      <c r="U1152" s="72">
        <v>1.0</v>
      </c>
      <c r="V1152" s="58"/>
      <c r="W1152" s="72" t="s">
        <v>435</v>
      </c>
      <c r="X1152" s="58"/>
      <c r="Y1152" s="58"/>
      <c r="Z1152" s="58"/>
      <c r="AA1152" s="58"/>
      <c r="AB1152" s="58"/>
      <c r="AC1152" s="58"/>
      <c r="AD1152" s="58"/>
      <c r="AE1152" s="58"/>
      <c r="AF1152" s="58"/>
      <c r="AG1152" s="58"/>
      <c r="AH1152" s="58"/>
      <c r="AI1152" s="58"/>
      <c r="AJ1152" s="58"/>
      <c r="AK1152" s="58"/>
      <c r="AL1152" s="58"/>
      <c r="AM1152" s="58"/>
      <c r="AN1152" s="58"/>
      <c r="AO1152" s="58"/>
      <c r="AP1152" s="58"/>
      <c r="AQ1152" s="58"/>
      <c r="AR1152" s="58"/>
      <c r="AS1152" s="58"/>
      <c r="AT1152" s="58"/>
      <c r="AU1152" s="58"/>
      <c r="AV1152" s="58"/>
      <c r="AW1152" s="58"/>
      <c r="AX1152" s="58"/>
      <c r="AY1152" s="58"/>
      <c r="AZ1152" s="58"/>
      <c r="BA1152" s="58"/>
      <c r="BB1152" s="58"/>
      <c r="BC1152" s="58"/>
      <c r="BD1152" s="58"/>
      <c r="BE1152" s="58"/>
      <c r="BF1152" s="58"/>
      <c r="BG1152" s="58"/>
      <c r="BH1152" s="58"/>
      <c r="BI1152" s="58"/>
      <c r="BJ1152" s="58"/>
      <c r="BK1152" s="58"/>
      <c r="BL1152" s="58"/>
      <c r="BM1152" s="58"/>
      <c r="BN1152" s="63"/>
      <c r="BO1152" s="58"/>
      <c r="BP1152" s="58"/>
      <c r="BQ1152" s="64"/>
    </row>
    <row r="1153">
      <c r="A1153" s="1">
        <v>4.0</v>
      </c>
      <c r="B1153" s="2" t="s">
        <v>2067</v>
      </c>
      <c r="C1153" s="2" t="s">
        <v>138</v>
      </c>
      <c r="D1153" s="93"/>
      <c r="E1153" s="93"/>
      <c r="F1153" s="93"/>
      <c r="G1153" s="93"/>
      <c r="H1153" s="93"/>
      <c r="I1153" s="3" t="str">
        <f t="shared" si="16"/>
        <v>5811108</v>
      </c>
      <c r="J1153" s="3"/>
      <c r="K1153" s="3"/>
      <c r="L1153" s="94" t="s">
        <v>2093</v>
      </c>
      <c r="M1153" s="4">
        <v>1.0</v>
      </c>
      <c r="N1153" s="3"/>
      <c r="O1153" s="93"/>
      <c r="P1153" s="3"/>
      <c r="Q1153" s="3"/>
      <c r="R1153" s="3"/>
      <c r="S1153" s="3"/>
      <c r="T1153" s="3"/>
      <c r="U1153" s="6">
        <v>1.0</v>
      </c>
      <c r="V1153" s="3"/>
      <c r="W1153" s="6" t="s">
        <v>78</v>
      </c>
      <c r="X1153" s="3"/>
      <c r="Y1153" s="3"/>
      <c r="Z1153" s="3"/>
      <c r="AA1153" s="96" t="s">
        <v>79</v>
      </c>
      <c r="AB1153" s="96" t="s">
        <v>79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6" t="s">
        <v>80</v>
      </c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97"/>
      <c r="BO1153" s="3"/>
      <c r="BP1153" s="3"/>
      <c r="BQ1153" s="10"/>
    </row>
    <row r="1154">
      <c r="A1154" s="28">
        <v>1.0</v>
      </c>
      <c r="B1154" s="29" t="s">
        <v>2094</v>
      </c>
      <c r="C1154" s="30"/>
      <c r="D1154" s="30"/>
      <c r="E1154" s="30"/>
      <c r="F1154" s="30"/>
      <c r="G1154" s="30"/>
      <c r="H1154" s="30"/>
      <c r="I1154" s="31" t="str">
        <f t="shared" si="16"/>
        <v>58200</v>
      </c>
      <c r="J1154" s="74"/>
      <c r="K1154" s="74"/>
      <c r="L1154" s="31" t="s">
        <v>2095</v>
      </c>
      <c r="M1154" s="75">
        <v>1.0</v>
      </c>
      <c r="N1154" s="32"/>
      <c r="O1154" s="30"/>
      <c r="P1154" s="32"/>
      <c r="Q1154" s="32"/>
      <c r="R1154" s="32"/>
      <c r="S1154" s="32"/>
      <c r="T1154" s="74"/>
      <c r="U1154" s="34">
        <v>1.0</v>
      </c>
      <c r="V1154" s="74"/>
      <c r="W1154" s="34" t="s">
        <v>70</v>
      </c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  <c r="AI1154" s="74"/>
      <c r="AJ1154" s="74"/>
      <c r="AK1154" s="74"/>
      <c r="AL1154" s="74"/>
      <c r="AM1154" s="74"/>
      <c r="AN1154" s="74"/>
      <c r="AO1154" s="74"/>
      <c r="AP1154" s="32"/>
      <c r="AQ1154" s="32"/>
      <c r="AR1154" s="32"/>
      <c r="AS1154" s="32"/>
      <c r="AT1154" s="32"/>
      <c r="AU1154" s="32"/>
      <c r="AV1154" s="74"/>
      <c r="AW1154" s="74"/>
      <c r="AX1154" s="74"/>
      <c r="AY1154" s="74"/>
      <c r="AZ1154" s="74"/>
      <c r="BA1154" s="74"/>
      <c r="BB1154" s="74"/>
      <c r="BC1154" s="74"/>
      <c r="BD1154" s="74"/>
      <c r="BE1154" s="74"/>
      <c r="BF1154" s="74"/>
      <c r="BG1154" s="74"/>
      <c r="BH1154" s="32"/>
      <c r="BI1154" s="32"/>
      <c r="BJ1154" s="32"/>
      <c r="BK1154" s="32"/>
      <c r="BL1154" s="32"/>
      <c r="BM1154" s="74"/>
      <c r="BN1154" s="76"/>
      <c r="BO1154" s="74"/>
      <c r="BP1154" s="32"/>
      <c r="BQ1154" s="10"/>
    </row>
    <row r="1155">
      <c r="A1155" s="36">
        <v>2.0</v>
      </c>
      <c r="B1155" s="37" t="s">
        <v>2096</v>
      </c>
      <c r="C1155" s="38"/>
      <c r="D1155" s="38"/>
      <c r="E1155" s="38"/>
      <c r="F1155" s="38"/>
      <c r="G1155" s="38"/>
      <c r="H1155" s="38"/>
      <c r="I1155" s="39" t="str">
        <f t="shared" si="16"/>
        <v>58210</v>
      </c>
      <c r="J1155" s="40"/>
      <c r="K1155" s="40"/>
      <c r="L1155" s="39" t="s">
        <v>2097</v>
      </c>
      <c r="M1155" s="41">
        <v>1.0</v>
      </c>
      <c r="N1155" s="42"/>
      <c r="O1155" s="38"/>
      <c r="P1155" s="42"/>
      <c r="Q1155" s="42"/>
      <c r="R1155" s="42"/>
      <c r="S1155" s="42"/>
      <c r="T1155" s="40"/>
      <c r="U1155" s="43">
        <v>1.0</v>
      </c>
      <c r="V1155" s="40"/>
      <c r="W1155" s="43" t="s">
        <v>70</v>
      </c>
      <c r="X1155" s="40"/>
      <c r="Y1155" s="40"/>
      <c r="Z1155" s="40"/>
      <c r="AA1155" s="40"/>
      <c r="AB1155" s="40"/>
      <c r="AC1155" s="40"/>
      <c r="AD1155" s="40"/>
      <c r="AE1155" s="40"/>
      <c r="AF1155" s="40"/>
      <c r="AG1155" s="40"/>
      <c r="AH1155" s="40"/>
      <c r="AI1155" s="40"/>
      <c r="AJ1155" s="40"/>
      <c r="AK1155" s="40"/>
      <c r="AL1155" s="40"/>
      <c r="AM1155" s="40"/>
      <c r="AN1155" s="40"/>
      <c r="AO1155" s="40"/>
      <c r="AP1155" s="42"/>
      <c r="AQ1155" s="42"/>
      <c r="AR1155" s="42"/>
      <c r="AS1155" s="42"/>
      <c r="AT1155" s="42"/>
      <c r="AU1155" s="42"/>
      <c r="AV1155" s="40"/>
      <c r="AW1155" s="40"/>
      <c r="AX1155" s="40"/>
      <c r="AY1155" s="40"/>
      <c r="AZ1155" s="40"/>
      <c r="BA1155" s="40"/>
      <c r="BB1155" s="40"/>
      <c r="BC1155" s="40"/>
      <c r="BD1155" s="40"/>
      <c r="BE1155" s="40"/>
      <c r="BF1155" s="40"/>
      <c r="BG1155" s="40"/>
      <c r="BH1155" s="42"/>
      <c r="BI1155" s="42"/>
      <c r="BJ1155" s="42"/>
      <c r="BK1155" s="42"/>
      <c r="BL1155" s="42"/>
      <c r="BM1155" s="40"/>
      <c r="BN1155" s="44"/>
      <c r="BO1155" s="40"/>
      <c r="BP1155" s="42"/>
      <c r="BQ1155" s="10"/>
    </row>
    <row r="1156">
      <c r="A1156" s="45">
        <v>3.0</v>
      </c>
      <c r="B1156" s="46" t="s">
        <v>2098</v>
      </c>
      <c r="C1156" s="47"/>
      <c r="D1156" s="47"/>
      <c r="E1156" s="47"/>
      <c r="F1156" s="47"/>
      <c r="G1156" s="47"/>
      <c r="H1156" s="47"/>
      <c r="I1156" s="48" t="str">
        <f t="shared" si="16"/>
        <v>58211</v>
      </c>
      <c r="J1156" s="49"/>
      <c r="K1156" s="49"/>
      <c r="L1156" s="48" t="s">
        <v>2099</v>
      </c>
      <c r="M1156" s="50">
        <v>1.0</v>
      </c>
      <c r="N1156" s="51"/>
      <c r="O1156" s="47"/>
      <c r="P1156" s="51"/>
      <c r="Q1156" s="51"/>
      <c r="R1156" s="51"/>
      <c r="S1156" s="51"/>
      <c r="T1156" s="49"/>
      <c r="U1156" s="52">
        <v>1.0</v>
      </c>
      <c r="V1156" s="49"/>
      <c r="W1156" s="52" t="s">
        <v>70</v>
      </c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  <c r="AI1156" s="49"/>
      <c r="AJ1156" s="49"/>
      <c r="AK1156" s="49"/>
      <c r="AL1156" s="49"/>
      <c r="AM1156" s="49"/>
      <c r="AN1156" s="49"/>
      <c r="AO1156" s="49"/>
      <c r="AP1156" s="51"/>
      <c r="AQ1156" s="51"/>
      <c r="AR1156" s="51"/>
      <c r="AS1156" s="51"/>
      <c r="AT1156" s="51"/>
      <c r="AU1156" s="51"/>
      <c r="AV1156" s="49"/>
      <c r="AW1156" s="49"/>
      <c r="AX1156" s="49"/>
      <c r="AY1156" s="49"/>
      <c r="AZ1156" s="49"/>
      <c r="BA1156" s="49"/>
      <c r="BB1156" s="49"/>
      <c r="BC1156" s="49"/>
      <c r="BD1156" s="49"/>
      <c r="BE1156" s="49"/>
      <c r="BF1156" s="49"/>
      <c r="BG1156" s="49"/>
      <c r="BH1156" s="51"/>
      <c r="BI1156" s="51"/>
      <c r="BJ1156" s="51"/>
      <c r="BK1156" s="51"/>
      <c r="BL1156" s="51"/>
      <c r="BM1156" s="49"/>
      <c r="BN1156" s="53"/>
      <c r="BO1156" s="49"/>
      <c r="BP1156" s="51"/>
      <c r="BQ1156" s="10"/>
    </row>
    <row r="1157">
      <c r="A1157" s="70">
        <v>4.0</v>
      </c>
      <c r="B1157" s="71" t="s">
        <v>2098</v>
      </c>
      <c r="C1157" s="71" t="s">
        <v>76</v>
      </c>
      <c r="D1157" s="56"/>
      <c r="E1157" s="56"/>
      <c r="F1157" s="56"/>
      <c r="G1157" s="56"/>
      <c r="H1157" s="56"/>
      <c r="I1157" s="58" t="str">
        <f t="shared" si="16"/>
        <v>5821101</v>
      </c>
      <c r="J1157" s="58"/>
      <c r="K1157" s="58"/>
      <c r="L1157" s="59" t="s">
        <v>2100</v>
      </c>
      <c r="M1157" s="60">
        <v>1.0</v>
      </c>
      <c r="N1157" s="72" t="s">
        <v>2087</v>
      </c>
      <c r="O1157" s="73" t="s">
        <v>2101</v>
      </c>
      <c r="P1157" s="58"/>
      <c r="Q1157" s="58"/>
      <c r="R1157" s="58"/>
      <c r="S1157" s="58"/>
      <c r="T1157" s="58"/>
      <c r="U1157" s="72">
        <v>1.0</v>
      </c>
      <c r="V1157" s="58"/>
      <c r="W1157" s="72" t="s">
        <v>78</v>
      </c>
      <c r="X1157" s="58"/>
      <c r="Y1157" s="58"/>
      <c r="Z1157" s="58"/>
      <c r="AA1157" s="62" t="s">
        <v>79</v>
      </c>
      <c r="AB1157" s="58"/>
      <c r="AC1157" s="58"/>
      <c r="AD1157" s="58"/>
      <c r="AE1157" s="58"/>
      <c r="AF1157" s="58"/>
      <c r="AG1157" s="58"/>
      <c r="AH1157" s="58"/>
      <c r="AI1157" s="58"/>
      <c r="AJ1157" s="58"/>
      <c r="AK1157" s="58"/>
      <c r="AL1157" s="58"/>
      <c r="AM1157" s="58"/>
      <c r="AN1157" s="58"/>
      <c r="AO1157" s="58"/>
      <c r="AP1157" s="72" t="s">
        <v>80</v>
      </c>
      <c r="AQ1157" s="72">
        <v>4349.0</v>
      </c>
      <c r="AR1157" s="58"/>
      <c r="AS1157" s="58"/>
      <c r="AT1157" s="58"/>
      <c r="AU1157" s="58"/>
      <c r="AV1157" s="58"/>
      <c r="AW1157" s="58"/>
      <c r="AX1157" s="58"/>
      <c r="AY1157" s="58"/>
      <c r="AZ1157" s="58"/>
      <c r="BA1157" s="58"/>
      <c r="BB1157" s="58"/>
      <c r="BC1157" s="58"/>
      <c r="BD1157" s="58"/>
      <c r="BE1157" s="58"/>
      <c r="BF1157" s="58"/>
      <c r="BG1157" s="58"/>
      <c r="BH1157" s="91" t="s">
        <v>2102</v>
      </c>
      <c r="BI1157" s="60">
        <v>64.0</v>
      </c>
      <c r="BJ1157" s="90" t="s">
        <v>2103</v>
      </c>
      <c r="BK1157" s="72" t="s">
        <v>2101</v>
      </c>
      <c r="BL1157" s="58"/>
      <c r="BM1157" s="58"/>
      <c r="BN1157" s="63"/>
      <c r="BO1157" s="58"/>
      <c r="BP1157" s="58"/>
      <c r="BQ1157" s="64"/>
    </row>
    <row r="1158">
      <c r="A1158" s="70">
        <v>4.0</v>
      </c>
      <c r="B1158" s="71" t="s">
        <v>2098</v>
      </c>
      <c r="C1158" s="71" t="s">
        <v>119</v>
      </c>
      <c r="D1158" s="56"/>
      <c r="E1158" s="56"/>
      <c r="F1158" s="56"/>
      <c r="G1158" s="56"/>
      <c r="H1158" s="56"/>
      <c r="I1158" s="58" t="str">
        <f t="shared" si="16"/>
        <v>5821102</v>
      </c>
      <c r="J1158" s="58"/>
      <c r="K1158" s="58"/>
      <c r="L1158" s="59" t="s">
        <v>2104</v>
      </c>
      <c r="M1158" s="60">
        <v>1.0</v>
      </c>
      <c r="N1158" s="72" t="s">
        <v>2105</v>
      </c>
      <c r="O1158" s="73" t="s">
        <v>2106</v>
      </c>
      <c r="P1158" s="72" t="s">
        <v>2107</v>
      </c>
      <c r="Q1158" s="90" t="s">
        <v>2072</v>
      </c>
      <c r="R1158" s="58"/>
      <c r="S1158" s="58"/>
      <c r="T1158" s="58"/>
      <c r="U1158" s="72">
        <v>1.0</v>
      </c>
      <c r="V1158" s="58"/>
      <c r="W1158" s="72" t="s">
        <v>78</v>
      </c>
      <c r="X1158" s="58"/>
      <c r="Y1158" s="58"/>
      <c r="Z1158" s="58"/>
      <c r="AA1158" s="62" t="s">
        <v>79</v>
      </c>
      <c r="AB1158" s="62" t="s">
        <v>79</v>
      </c>
      <c r="AC1158" s="58"/>
      <c r="AD1158" s="58"/>
      <c r="AE1158" s="58"/>
      <c r="AF1158" s="58"/>
      <c r="AG1158" s="58"/>
      <c r="AH1158" s="58"/>
      <c r="AI1158" s="58"/>
      <c r="AJ1158" s="58"/>
      <c r="AK1158" s="58"/>
      <c r="AL1158" s="58"/>
      <c r="AM1158" s="58"/>
      <c r="AN1158" s="58"/>
      <c r="AO1158" s="58"/>
      <c r="AP1158" s="72" t="s">
        <v>80</v>
      </c>
      <c r="AQ1158" s="72">
        <v>4537.0</v>
      </c>
      <c r="AR1158" s="58"/>
      <c r="AS1158" s="58"/>
      <c r="AT1158" s="58"/>
      <c r="AU1158" s="58"/>
      <c r="AV1158" s="58"/>
      <c r="AW1158" s="58"/>
      <c r="AX1158" s="58"/>
      <c r="AY1158" s="58"/>
      <c r="AZ1158" s="58"/>
      <c r="BA1158" s="58"/>
      <c r="BB1158" s="58"/>
      <c r="BC1158" s="58"/>
      <c r="BD1158" s="58"/>
      <c r="BE1158" s="58"/>
      <c r="BF1158" s="58"/>
      <c r="BG1158" s="58"/>
      <c r="BH1158" s="91" t="s">
        <v>2108</v>
      </c>
      <c r="BI1158" s="60">
        <v>61.0</v>
      </c>
      <c r="BJ1158" s="90" t="s">
        <v>2103</v>
      </c>
      <c r="BK1158" s="72" t="s">
        <v>2106</v>
      </c>
      <c r="BL1158" s="58"/>
      <c r="BM1158" s="58"/>
      <c r="BN1158" s="63"/>
      <c r="BO1158" s="58"/>
      <c r="BP1158" s="58"/>
      <c r="BQ1158" s="64"/>
    </row>
    <row r="1159">
      <c r="A1159" s="70">
        <v>4.0</v>
      </c>
      <c r="B1159" s="71" t="s">
        <v>2098</v>
      </c>
      <c r="C1159" s="71" t="s">
        <v>124</v>
      </c>
      <c r="D1159" s="56"/>
      <c r="E1159" s="56"/>
      <c r="F1159" s="56"/>
      <c r="G1159" s="56"/>
      <c r="H1159" s="56"/>
      <c r="I1159" s="58" t="str">
        <f t="shared" si="16"/>
        <v>5821103</v>
      </c>
      <c r="J1159" s="58"/>
      <c r="K1159" s="58"/>
      <c r="L1159" s="59" t="s">
        <v>2109</v>
      </c>
      <c r="M1159" s="60">
        <v>1.0</v>
      </c>
      <c r="N1159" s="72" t="s">
        <v>2105</v>
      </c>
      <c r="O1159" s="73" t="s">
        <v>2110</v>
      </c>
      <c r="P1159" s="72" t="s">
        <v>2111</v>
      </c>
      <c r="Q1159" s="90" t="s">
        <v>2072</v>
      </c>
      <c r="R1159" s="58"/>
      <c r="S1159" s="58"/>
      <c r="T1159" s="58"/>
      <c r="U1159" s="72">
        <v>1.0</v>
      </c>
      <c r="V1159" s="58"/>
      <c r="W1159" s="72" t="s">
        <v>78</v>
      </c>
      <c r="X1159" s="58"/>
      <c r="Y1159" s="58"/>
      <c r="Z1159" s="58"/>
      <c r="AA1159" s="62" t="s">
        <v>79</v>
      </c>
      <c r="AB1159" s="58"/>
      <c r="AC1159" s="58"/>
      <c r="AD1159" s="58"/>
      <c r="AE1159" s="58"/>
      <c r="AF1159" s="58"/>
      <c r="AG1159" s="58"/>
      <c r="AH1159" s="58"/>
      <c r="AI1159" s="58"/>
      <c r="AJ1159" s="58"/>
      <c r="AK1159" s="58"/>
      <c r="AL1159" s="58"/>
      <c r="AM1159" s="58"/>
      <c r="AN1159" s="58"/>
      <c r="AO1159" s="58"/>
      <c r="AP1159" s="72" t="s">
        <v>80</v>
      </c>
      <c r="AQ1159" s="72">
        <v>4537.0</v>
      </c>
      <c r="AR1159" s="58"/>
      <c r="AS1159" s="58"/>
      <c r="AT1159" s="58"/>
      <c r="AU1159" s="58"/>
      <c r="AV1159" s="58"/>
      <c r="AW1159" s="58"/>
      <c r="AX1159" s="58"/>
      <c r="AY1159" s="58"/>
      <c r="AZ1159" s="58"/>
      <c r="BA1159" s="58"/>
      <c r="BB1159" s="58"/>
      <c r="BC1159" s="58"/>
      <c r="BD1159" s="58"/>
      <c r="BE1159" s="58"/>
      <c r="BF1159" s="58"/>
      <c r="BG1159" s="58"/>
      <c r="BH1159" s="91" t="s">
        <v>2112</v>
      </c>
      <c r="BI1159" s="60">
        <v>64.0</v>
      </c>
      <c r="BJ1159" s="90" t="s">
        <v>2103</v>
      </c>
      <c r="BK1159" s="72" t="s">
        <v>2110</v>
      </c>
      <c r="BL1159" s="58"/>
      <c r="BM1159" s="58"/>
      <c r="BN1159" s="63"/>
      <c r="BO1159" s="58"/>
      <c r="BP1159" s="58"/>
      <c r="BQ1159" s="64"/>
    </row>
    <row r="1160">
      <c r="A1160" s="70">
        <v>4.0</v>
      </c>
      <c r="B1160" s="71" t="s">
        <v>2098</v>
      </c>
      <c r="C1160" s="71" t="s">
        <v>127</v>
      </c>
      <c r="D1160" s="56"/>
      <c r="E1160" s="56"/>
      <c r="F1160" s="56"/>
      <c r="G1160" s="56"/>
      <c r="H1160" s="56"/>
      <c r="I1160" s="58" t="str">
        <f t="shared" si="16"/>
        <v>5821104</v>
      </c>
      <c r="J1160" s="58"/>
      <c r="K1160" s="58"/>
      <c r="L1160" s="59" t="s">
        <v>2091</v>
      </c>
      <c r="M1160" s="60">
        <v>2.0</v>
      </c>
      <c r="N1160" s="58"/>
      <c r="O1160" s="56"/>
      <c r="P1160" s="72" t="s">
        <v>2081</v>
      </c>
      <c r="Q1160" s="90" t="s">
        <v>2072</v>
      </c>
      <c r="R1160" s="58"/>
      <c r="S1160" s="58"/>
      <c r="T1160" s="58"/>
      <c r="U1160" s="72">
        <v>1.0</v>
      </c>
      <c r="V1160" s="58"/>
      <c r="W1160" s="72" t="s">
        <v>435</v>
      </c>
      <c r="X1160" s="58"/>
      <c r="Y1160" s="58"/>
      <c r="Z1160" s="58"/>
      <c r="AA1160" s="58"/>
      <c r="AB1160" s="58"/>
      <c r="AC1160" s="58"/>
      <c r="AD1160" s="58"/>
      <c r="AE1160" s="58"/>
      <c r="AF1160" s="58"/>
      <c r="AG1160" s="58"/>
      <c r="AH1160" s="58"/>
      <c r="AI1160" s="58"/>
      <c r="AJ1160" s="58"/>
      <c r="AK1160" s="58"/>
      <c r="AL1160" s="58"/>
      <c r="AM1160" s="58"/>
      <c r="AN1160" s="58"/>
      <c r="AO1160" s="58"/>
      <c r="AP1160" s="58"/>
      <c r="AQ1160" s="58"/>
      <c r="AR1160" s="58"/>
      <c r="AS1160" s="58"/>
      <c r="AT1160" s="58"/>
      <c r="AU1160" s="58"/>
      <c r="AV1160" s="58"/>
      <c r="AW1160" s="58"/>
      <c r="AX1160" s="58"/>
      <c r="AY1160" s="58"/>
      <c r="AZ1160" s="58"/>
      <c r="BA1160" s="58"/>
      <c r="BB1160" s="58"/>
      <c r="BC1160" s="58"/>
      <c r="BD1160" s="58"/>
      <c r="BE1160" s="58"/>
      <c r="BF1160" s="58"/>
      <c r="BG1160" s="58"/>
      <c r="BH1160" s="91" t="s">
        <v>2112</v>
      </c>
      <c r="BI1160" s="58"/>
      <c r="BJ1160" s="90" t="s">
        <v>2103</v>
      </c>
      <c r="BK1160" s="72" t="s">
        <v>2103</v>
      </c>
      <c r="BL1160" s="58"/>
      <c r="BM1160" s="58"/>
      <c r="BN1160" s="63"/>
      <c r="BO1160" s="58"/>
      <c r="BP1160" s="58"/>
      <c r="BQ1160" s="64"/>
    </row>
    <row r="1161">
      <c r="A1161" s="124">
        <v>4.0</v>
      </c>
      <c r="B1161" s="71" t="s">
        <v>2098</v>
      </c>
      <c r="C1161" s="71" t="s">
        <v>91</v>
      </c>
      <c r="D1161" s="79"/>
      <c r="E1161" s="79"/>
      <c r="F1161" s="79"/>
      <c r="G1161" s="79"/>
      <c r="H1161" s="79"/>
      <c r="I1161" s="81" t="str">
        <f t="shared" si="16"/>
        <v>5821105</v>
      </c>
      <c r="J1161" s="79"/>
      <c r="K1161" s="79"/>
      <c r="L1161" s="80" t="s">
        <v>2113</v>
      </c>
      <c r="M1161" s="84">
        <v>2.0</v>
      </c>
      <c r="N1161" s="81"/>
      <c r="O1161" s="81"/>
      <c r="P1161" s="81"/>
      <c r="Q1161" s="81"/>
      <c r="R1161" s="81"/>
      <c r="S1161" s="81"/>
      <c r="T1161" s="81"/>
      <c r="U1161" s="123">
        <v>1.0</v>
      </c>
      <c r="V1161" s="81"/>
      <c r="W1161" s="72" t="s">
        <v>435</v>
      </c>
      <c r="X1161" s="81"/>
      <c r="Y1161" s="81"/>
      <c r="Z1161" s="81"/>
      <c r="AA1161" s="79"/>
      <c r="AB1161" s="79"/>
      <c r="AC1161" s="81"/>
      <c r="AD1161" s="81"/>
      <c r="AE1161" s="81"/>
      <c r="AF1161" s="81"/>
      <c r="AG1161" s="81"/>
      <c r="AH1161" s="81"/>
      <c r="AI1161" s="81"/>
      <c r="AJ1161" s="81"/>
      <c r="AK1161" s="81"/>
      <c r="AL1161" s="81"/>
      <c r="AM1161" s="81"/>
      <c r="AN1161" s="81"/>
      <c r="AO1161" s="81"/>
      <c r="AP1161" s="81"/>
      <c r="AQ1161" s="81"/>
      <c r="AR1161" s="81"/>
      <c r="AS1161" s="81"/>
      <c r="AT1161" s="81"/>
      <c r="AU1161" s="132"/>
      <c r="AV1161" s="81"/>
      <c r="AW1161" s="81"/>
      <c r="AX1161" s="81"/>
      <c r="AY1161" s="81"/>
      <c r="AZ1161" s="81"/>
      <c r="BA1161" s="81"/>
      <c r="BB1161" s="81"/>
      <c r="BC1161" s="81"/>
      <c r="BD1161" s="81"/>
      <c r="BE1161" s="81"/>
      <c r="BF1161" s="81"/>
      <c r="BG1161" s="81"/>
      <c r="BH1161" s="81"/>
      <c r="BI1161" s="81"/>
      <c r="BJ1161" s="81"/>
      <c r="BK1161" s="81"/>
      <c r="BL1161" s="79"/>
      <c r="BM1161" s="81"/>
      <c r="BN1161" s="81"/>
      <c r="BO1161" s="83"/>
      <c r="BP1161" s="58"/>
      <c r="BQ1161" s="64"/>
    </row>
    <row r="1162">
      <c r="A1162" s="1">
        <v>4.0</v>
      </c>
      <c r="B1162" s="2" t="s">
        <v>2098</v>
      </c>
      <c r="C1162" s="2" t="s">
        <v>133</v>
      </c>
      <c r="D1162" s="93"/>
      <c r="E1162" s="93"/>
      <c r="F1162" s="93"/>
      <c r="G1162" s="93"/>
      <c r="H1162" s="93"/>
      <c r="I1162" s="3" t="str">
        <f t="shared" si="16"/>
        <v>5821106</v>
      </c>
      <c r="J1162" s="3"/>
      <c r="K1162" s="3"/>
      <c r="L1162" s="94" t="s">
        <v>2093</v>
      </c>
      <c r="M1162" s="4">
        <v>1.0</v>
      </c>
      <c r="N1162" s="3"/>
      <c r="O1162" s="93"/>
      <c r="P1162" s="3"/>
      <c r="Q1162" s="3"/>
      <c r="R1162" s="3"/>
      <c r="S1162" s="3"/>
      <c r="T1162" s="3"/>
      <c r="U1162" s="6">
        <v>1.0</v>
      </c>
      <c r="V1162" s="3"/>
      <c r="W1162" s="6" t="s">
        <v>78</v>
      </c>
      <c r="X1162" s="3"/>
      <c r="Y1162" s="3"/>
      <c r="Z1162" s="3"/>
      <c r="AA1162" s="96" t="s">
        <v>79</v>
      </c>
      <c r="AB1162" s="96" t="s">
        <v>79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6" t="s">
        <v>80</v>
      </c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97"/>
      <c r="BO1162" s="3"/>
      <c r="BP1162" s="3"/>
      <c r="BQ1162" s="10"/>
    </row>
    <row r="1163">
      <c r="A1163" s="28">
        <v>1.0</v>
      </c>
      <c r="B1163" s="29" t="s">
        <v>2114</v>
      </c>
      <c r="C1163" s="30"/>
      <c r="D1163" s="30"/>
      <c r="E1163" s="30"/>
      <c r="F1163" s="30"/>
      <c r="G1163" s="30"/>
      <c r="H1163" s="30"/>
      <c r="I1163" s="31" t="str">
        <f t="shared" si="16"/>
        <v>58300</v>
      </c>
      <c r="J1163" s="74"/>
      <c r="K1163" s="74"/>
      <c r="L1163" s="31" t="s">
        <v>2115</v>
      </c>
      <c r="M1163" s="75">
        <v>1.0</v>
      </c>
      <c r="N1163" s="32"/>
      <c r="O1163" s="30"/>
      <c r="P1163" s="32"/>
      <c r="Q1163" s="32"/>
      <c r="R1163" s="32"/>
      <c r="S1163" s="32"/>
      <c r="T1163" s="74"/>
      <c r="U1163" s="34">
        <v>1.0</v>
      </c>
      <c r="V1163" s="74"/>
      <c r="W1163" s="34" t="s">
        <v>70</v>
      </c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  <c r="AI1163" s="74"/>
      <c r="AJ1163" s="74"/>
      <c r="AK1163" s="74"/>
      <c r="AL1163" s="74"/>
      <c r="AM1163" s="74"/>
      <c r="AN1163" s="74"/>
      <c r="AO1163" s="74"/>
      <c r="AP1163" s="32"/>
      <c r="AQ1163" s="32"/>
      <c r="AR1163" s="32"/>
      <c r="AS1163" s="32"/>
      <c r="AT1163" s="32"/>
      <c r="AU1163" s="32"/>
      <c r="AV1163" s="74"/>
      <c r="AW1163" s="74"/>
      <c r="AX1163" s="74"/>
      <c r="AY1163" s="74"/>
      <c r="AZ1163" s="74"/>
      <c r="BA1163" s="74"/>
      <c r="BB1163" s="74"/>
      <c r="BC1163" s="74"/>
      <c r="BD1163" s="74"/>
      <c r="BE1163" s="74"/>
      <c r="BF1163" s="74"/>
      <c r="BG1163" s="74"/>
      <c r="BH1163" s="32"/>
      <c r="BI1163" s="32"/>
      <c r="BJ1163" s="32"/>
      <c r="BK1163" s="32"/>
      <c r="BL1163" s="32"/>
      <c r="BM1163" s="74"/>
      <c r="BN1163" s="76"/>
      <c r="BO1163" s="74"/>
      <c r="BP1163" s="32"/>
      <c r="BQ1163" s="10"/>
    </row>
    <row r="1164">
      <c r="A1164" s="36">
        <v>2.0</v>
      </c>
      <c r="B1164" s="37" t="s">
        <v>2116</v>
      </c>
      <c r="C1164" s="38"/>
      <c r="D1164" s="38"/>
      <c r="E1164" s="38"/>
      <c r="F1164" s="38"/>
      <c r="G1164" s="38"/>
      <c r="H1164" s="38"/>
      <c r="I1164" s="39" t="str">
        <f t="shared" si="16"/>
        <v>58320</v>
      </c>
      <c r="J1164" s="40"/>
      <c r="K1164" s="40"/>
      <c r="L1164" s="39" t="s">
        <v>2117</v>
      </c>
      <c r="M1164" s="41">
        <v>1.0</v>
      </c>
      <c r="N1164" s="42"/>
      <c r="O1164" s="38"/>
      <c r="P1164" s="42"/>
      <c r="Q1164" s="42"/>
      <c r="R1164" s="42"/>
      <c r="S1164" s="42"/>
      <c r="T1164" s="40"/>
      <c r="U1164" s="43">
        <v>1.0</v>
      </c>
      <c r="V1164" s="40"/>
      <c r="W1164" s="43" t="s">
        <v>70</v>
      </c>
      <c r="X1164" s="40"/>
      <c r="Y1164" s="40"/>
      <c r="Z1164" s="40"/>
      <c r="AA1164" s="40"/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2"/>
      <c r="AQ1164" s="42"/>
      <c r="AR1164" s="42"/>
      <c r="AS1164" s="42"/>
      <c r="AT1164" s="42"/>
      <c r="AU1164" s="42"/>
      <c r="AV1164" s="40"/>
      <c r="AW1164" s="40"/>
      <c r="AX1164" s="40"/>
      <c r="AY1164" s="40"/>
      <c r="AZ1164" s="40"/>
      <c r="BA1164" s="40"/>
      <c r="BB1164" s="40"/>
      <c r="BC1164" s="40"/>
      <c r="BD1164" s="40"/>
      <c r="BE1164" s="40"/>
      <c r="BF1164" s="40"/>
      <c r="BG1164" s="40"/>
      <c r="BH1164" s="42"/>
      <c r="BI1164" s="42"/>
      <c r="BJ1164" s="42"/>
      <c r="BK1164" s="42"/>
      <c r="BL1164" s="42"/>
      <c r="BM1164" s="40"/>
      <c r="BN1164" s="44"/>
      <c r="BO1164" s="40"/>
      <c r="BP1164" s="42"/>
      <c r="BQ1164" s="10"/>
    </row>
    <row r="1165">
      <c r="A1165" s="45">
        <v>3.0</v>
      </c>
      <c r="B1165" s="46" t="s">
        <v>2118</v>
      </c>
      <c r="C1165" s="47"/>
      <c r="D1165" s="47"/>
      <c r="E1165" s="47"/>
      <c r="F1165" s="47"/>
      <c r="G1165" s="47"/>
      <c r="H1165" s="47"/>
      <c r="I1165" s="48" t="str">
        <f t="shared" si="16"/>
        <v>58321</v>
      </c>
      <c r="J1165" s="49"/>
      <c r="K1165" s="49"/>
      <c r="L1165" s="48" t="s">
        <v>2117</v>
      </c>
      <c r="M1165" s="50">
        <v>1.0</v>
      </c>
      <c r="N1165" s="51"/>
      <c r="O1165" s="47"/>
      <c r="P1165" s="51"/>
      <c r="Q1165" s="51"/>
      <c r="R1165" s="51"/>
      <c r="S1165" s="51"/>
      <c r="T1165" s="49"/>
      <c r="U1165" s="52">
        <v>1.0</v>
      </c>
      <c r="V1165" s="49"/>
      <c r="W1165" s="52" t="s">
        <v>70</v>
      </c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  <c r="AI1165" s="49"/>
      <c r="AJ1165" s="49"/>
      <c r="AK1165" s="49"/>
      <c r="AL1165" s="49"/>
      <c r="AM1165" s="49"/>
      <c r="AN1165" s="49"/>
      <c r="AO1165" s="49"/>
      <c r="AP1165" s="51"/>
      <c r="AQ1165" s="51"/>
      <c r="AR1165" s="51"/>
      <c r="AS1165" s="51"/>
      <c r="AT1165" s="51"/>
      <c r="AU1165" s="51"/>
      <c r="AV1165" s="49"/>
      <c r="AW1165" s="49"/>
      <c r="AX1165" s="49"/>
      <c r="AY1165" s="49"/>
      <c r="AZ1165" s="49"/>
      <c r="BA1165" s="49"/>
      <c r="BB1165" s="49"/>
      <c r="BC1165" s="49"/>
      <c r="BD1165" s="49"/>
      <c r="BE1165" s="49"/>
      <c r="BF1165" s="49"/>
      <c r="BG1165" s="49"/>
      <c r="BH1165" s="51"/>
      <c r="BI1165" s="51"/>
      <c r="BJ1165" s="51"/>
      <c r="BK1165" s="51"/>
      <c r="BL1165" s="51"/>
      <c r="BM1165" s="49"/>
      <c r="BN1165" s="53"/>
      <c r="BO1165" s="49"/>
      <c r="BP1165" s="51"/>
      <c r="BQ1165" s="10"/>
    </row>
    <row r="1166">
      <c r="A1166" s="61">
        <v>4.0</v>
      </c>
      <c r="B1166" s="77" t="s">
        <v>2118</v>
      </c>
      <c r="C1166" s="77" t="s">
        <v>127</v>
      </c>
      <c r="D1166" s="79"/>
      <c r="E1166" s="79"/>
      <c r="F1166" s="79"/>
      <c r="G1166" s="79"/>
      <c r="H1166" s="79"/>
      <c r="I1166" s="80" t="str">
        <f t="shared" si="16"/>
        <v>5832104</v>
      </c>
      <c r="J1166" s="79"/>
      <c r="K1166" s="79"/>
      <c r="L1166" s="59" t="s">
        <v>2119</v>
      </c>
      <c r="M1166" s="153">
        <v>1.0</v>
      </c>
      <c r="N1166" s="160" t="s">
        <v>2120</v>
      </c>
      <c r="O1166" s="58"/>
      <c r="P1166" s="58"/>
      <c r="Q1166" s="58"/>
      <c r="R1166" s="58"/>
      <c r="S1166" s="58"/>
      <c r="T1166" s="58"/>
      <c r="U1166" s="61">
        <v>1.0</v>
      </c>
      <c r="V1166" s="58"/>
      <c r="W1166" s="61" t="s">
        <v>78</v>
      </c>
      <c r="X1166" s="81"/>
      <c r="Y1166" s="81"/>
      <c r="Z1166" s="81"/>
      <c r="AA1166" s="134" t="s">
        <v>79</v>
      </c>
      <c r="AB1166" s="134" t="s">
        <v>79</v>
      </c>
      <c r="AC1166" s="81"/>
      <c r="AD1166" s="81"/>
      <c r="AE1166" s="81"/>
      <c r="AF1166" s="81"/>
      <c r="AG1166" s="81"/>
      <c r="AH1166" s="81"/>
      <c r="AI1166" s="81"/>
      <c r="AJ1166" s="81"/>
      <c r="AK1166" s="81"/>
      <c r="AL1166" s="81"/>
      <c r="AM1166" s="81"/>
      <c r="AN1166" s="81"/>
      <c r="AO1166" s="81"/>
      <c r="AP1166" s="82" t="s">
        <v>80</v>
      </c>
      <c r="AQ1166" s="82">
        <v>4155.0</v>
      </c>
      <c r="AR1166" s="82">
        <v>6550.0</v>
      </c>
      <c r="AS1166" s="82">
        <v>2640.0</v>
      </c>
      <c r="AT1166" s="82">
        <v>3150.0</v>
      </c>
      <c r="AU1166" s="81"/>
      <c r="AV1166" s="81"/>
      <c r="AW1166" s="81"/>
      <c r="AX1166" s="81"/>
      <c r="AY1166" s="81"/>
      <c r="AZ1166" s="81"/>
      <c r="BA1166" s="81"/>
      <c r="BB1166" s="81"/>
      <c r="BC1166" s="81"/>
      <c r="BD1166" s="81"/>
      <c r="BE1166" s="81"/>
      <c r="BF1166" s="81"/>
      <c r="BG1166" s="81"/>
      <c r="BH1166" s="80" t="s">
        <v>2121</v>
      </c>
      <c r="BI1166" s="82">
        <v>30.0</v>
      </c>
      <c r="BJ1166" s="80" t="s">
        <v>2122</v>
      </c>
      <c r="BK1166" s="81"/>
      <c r="BL1166" s="79"/>
      <c r="BM1166" s="81"/>
      <c r="BN1166" s="81"/>
      <c r="BO1166" s="83"/>
      <c r="BP1166" s="58"/>
      <c r="BQ1166" s="64"/>
    </row>
    <row r="1167">
      <c r="A1167" s="61">
        <v>5.0</v>
      </c>
      <c r="B1167" s="77" t="s">
        <v>2118</v>
      </c>
      <c r="C1167" s="77" t="s">
        <v>127</v>
      </c>
      <c r="D1167" s="161" t="s">
        <v>76</v>
      </c>
      <c r="E1167" s="79"/>
      <c r="F1167" s="79"/>
      <c r="G1167" s="79"/>
      <c r="H1167" s="79"/>
      <c r="I1167" s="80" t="str">
        <f t="shared" si="16"/>
        <v>583210401</v>
      </c>
      <c r="J1167" s="79"/>
      <c r="K1167" s="79"/>
      <c r="L1167" s="59" t="s">
        <v>92</v>
      </c>
      <c r="M1167" s="153">
        <v>2.0</v>
      </c>
      <c r="N1167" s="160" t="s">
        <v>2123</v>
      </c>
      <c r="O1167" s="58"/>
      <c r="P1167" s="58"/>
      <c r="Q1167" s="58"/>
      <c r="R1167" s="58"/>
      <c r="S1167" s="58"/>
      <c r="T1167" s="58"/>
      <c r="U1167" s="58"/>
      <c r="V1167" s="58"/>
      <c r="W1167" s="58"/>
      <c r="X1167" s="81"/>
      <c r="Y1167" s="81"/>
      <c r="Z1167" s="81"/>
      <c r="AA1167" s="79"/>
      <c r="AB1167" s="79"/>
      <c r="AC1167" s="81"/>
      <c r="AD1167" s="81"/>
      <c r="AE1167" s="81"/>
      <c r="AF1167" s="81"/>
      <c r="AG1167" s="81"/>
      <c r="AH1167" s="81"/>
      <c r="AI1167" s="81"/>
      <c r="AJ1167" s="81"/>
      <c r="AK1167" s="81"/>
      <c r="AL1167" s="81"/>
      <c r="AM1167" s="81"/>
      <c r="AN1167" s="81"/>
      <c r="AO1167" s="81"/>
      <c r="AP1167" s="81"/>
      <c r="AQ1167" s="81"/>
      <c r="AR1167" s="81"/>
      <c r="AS1167" s="81"/>
      <c r="AT1167" s="81"/>
      <c r="AU1167" s="81"/>
      <c r="AV1167" s="81"/>
      <c r="AW1167" s="81"/>
      <c r="AX1167" s="81"/>
      <c r="AY1167" s="81"/>
      <c r="AZ1167" s="81"/>
      <c r="BA1167" s="81"/>
      <c r="BB1167" s="81"/>
      <c r="BC1167" s="82" t="s">
        <v>2124</v>
      </c>
      <c r="BD1167" s="81"/>
      <c r="BE1167" s="81"/>
      <c r="BF1167" s="81"/>
      <c r="BG1167" s="81"/>
      <c r="BH1167" s="80" t="s">
        <v>2121</v>
      </c>
      <c r="BI1167" s="82">
        <v>25.0</v>
      </c>
      <c r="BJ1167" s="81"/>
      <c r="BK1167" s="81"/>
      <c r="BL1167" s="79"/>
      <c r="BM1167" s="81"/>
      <c r="BN1167" s="81"/>
      <c r="BO1167" s="83"/>
      <c r="BP1167" s="58"/>
      <c r="BQ1167" s="64"/>
    </row>
    <row r="1168">
      <c r="A1168" s="61">
        <v>5.0</v>
      </c>
      <c r="B1168" s="77" t="s">
        <v>2118</v>
      </c>
      <c r="C1168" s="77" t="s">
        <v>127</v>
      </c>
      <c r="D1168" s="161" t="s">
        <v>119</v>
      </c>
      <c r="E1168" s="79"/>
      <c r="F1168" s="79"/>
      <c r="G1168" s="79"/>
      <c r="H1168" s="79"/>
      <c r="I1168" s="80" t="str">
        <f t="shared" si="16"/>
        <v>583210402</v>
      </c>
      <c r="J1168" s="79"/>
      <c r="K1168" s="79"/>
      <c r="L1168" s="59" t="s">
        <v>2125</v>
      </c>
      <c r="M1168" s="153">
        <v>2.0</v>
      </c>
      <c r="N1168" s="160" t="s">
        <v>2126</v>
      </c>
      <c r="O1168" s="58"/>
      <c r="P1168" s="58"/>
      <c r="Q1168" s="58"/>
      <c r="R1168" s="58"/>
      <c r="S1168" s="58"/>
      <c r="T1168" s="58"/>
      <c r="U1168" s="58"/>
      <c r="V1168" s="58"/>
      <c r="W1168" s="61" t="s">
        <v>160</v>
      </c>
      <c r="X1168" s="81"/>
      <c r="Y1168" s="81"/>
      <c r="Z1168" s="81"/>
      <c r="AA1168" s="79"/>
      <c r="AB1168" s="79"/>
      <c r="AC1168" s="81"/>
      <c r="AD1168" s="81"/>
      <c r="AE1168" s="81"/>
      <c r="AF1168" s="81"/>
      <c r="AG1168" s="81"/>
      <c r="AH1168" s="81"/>
      <c r="AI1168" s="81"/>
      <c r="AJ1168" s="81"/>
      <c r="AK1168" s="81"/>
      <c r="AL1168" s="81"/>
      <c r="AM1168" s="81"/>
      <c r="AN1168" s="81"/>
      <c r="AO1168" s="81"/>
      <c r="AP1168" s="81"/>
      <c r="AQ1168" s="81"/>
      <c r="AR1168" s="81"/>
      <c r="AS1168" s="81"/>
      <c r="AT1168" s="81"/>
      <c r="AU1168" s="81"/>
      <c r="AV1168" s="81"/>
      <c r="AW1168" s="81"/>
      <c r="AX1168" s="81"/>
      <c r="AY1168" s="81"/>
      <c r="AZ1168" s="81"/>
      <c r="BA1168" s="81"/>
      <c r="BB1168" s="81"/>
      <c r="BC1168" s="81"/>
      <c r="BD1168" s="81"/>
      <c r="BE1168" s="81"/>
      <c r="BF1168" s="81"/>
      <c r="BG1168" s="81"/>
      <c r="BH1168" s="80" t="s">
        <v>2121</v>
      </c>
      <c r="BI1168" s="82">
        <v>25.0</v>
      </c>
      <c r="BJ1168" s="81"/>
      <c r="BK1168" s="81"/>
      <c r="BL1168" s="79"/>
      <c r="BM1168" s="81"/>
      <c r="BN1168" s="81"/>
      <c r="BO1168" s="83"/>
      <c r="BP1168" s="58"/>
      <c r="BQ1168" s="64"/>
    </row>
    <row r="1169">
      <c r="A1169" s="61">
        <v>5.0</v>
      </c>
      <c r="B1169" s="77" t="s">
        <v>2118</v>
      </c>
      <c r="C1169" s="77" t="s">
        <v>127</v>
      </c>
      <c r="D1169" s="161" t="s">
        <v>124</v>
      </c>
      <c r="E1169" s="79"/>
      <c r="F1169" s="79"/>
      <c r="G1169" s="79"/>
      <c r="H1169" s="79"/>
      <c r="I1169" s="80" t="str">
        <f t="shared" si="16"/>
        <v>583210403</v>
      </c>
      <c r="J1169" s="79"/>
      <c r="K1169" s="79"/>
      <c r="L1169" s="59" t="s">
        <v>2127</v>
      </c>
      <c r="M1169" s="153">
        <v>2.0</v>
      </c>
      <c r="N1169" s="160" t="s">
        <v>435</v>
      </c>
      <c r="O1169" s="58"/>
      <c r="P1169" s="58"/>
      <c r="Q1169" s="58"/>
      <c r="R1169" s="58"/>
      <c r="S1169" s="58"/>
      <c r="T1169" s="58"/>
      <c r="U1169" s="58"/>
      <c r="V1169" s="58"/>
      <c r="W1169" s="58"/>
      <c r="X1169" s="81"/>
      <c r="Y1169" s="81"/>
      <c r="Z1169" s="81"/>
      <c r="AA1169" s="79"/>
      <c r="AB1169" s="79"/>
      <c r="AC1169" s="81"/>
      <c r="AD1169" s="81"/>
      <c r="AE1169" s="81"/>
      <c r="AF1169" s="81"/>
      <c r="AG1169" s="81"/>
      <c r="AH1169" s="81"/>
      <c r="AI1169" s="81"/>
      <c r="AJ1169" s="81"/>
      <c r="AK1169" s="81"/>
      <c r="AL1169" s="81"/>
      <c r="AM1169" s="81"/>
      <c r="AN1169" s="81"/>
      <c r="AO1169" s="81"/>
      <c r="AP1169" s="81"/>
      <c r="AQ1169" s="81"/>
      <c r="AR1169" s="81"/>
      <c r="AS1169" s="81"/>
      <c r="AT1169" s="81"/>
      <c r="AU1169" s="81"/>
      <c r="AV1169" s="81"/>
      <c r="AW1169" s="81"/>
      <c r="AX1169" s="81"/>
      <c r="AY1169" s="81"/>
      <c r="AZ1169" s="81"/>
      <c r="BA1169" s="81"/>
      <c r="BB1169" s="81"/>
      <c r="BC1169" s="81"/>
      <c r="BD1169" s="81"/>
      <c r="BE1169" s="81"/>
      <c r="BF1169" s="81"/>
      <c r="BG1169" s="81"/>
      <c r="BH1169" s="80" t="s">
        <v>2121</v>
      </c>
      <c r="BI1169" s="82">
        <v>25.0</v>
      </c>
      <c r="BJ1169" s="81"/>
      <c r="BK1169" s="81"/>
      <c r="BL1169" s="79"/>
      <c r="BM1169" s="81"/>
      <c r="BN1169" s="81"/>
      <c r="BO1169" s="83"/>
      <c r="BP1169" s="58"/>
      <c r="BQ1169" s="64"/>
    </row>
    <row r="1170">
      <c r="A1170" s="61">
        <v>5.0</v>
      </c>
      <c r="B1170" s="77" t="s">
        <v>2118</v>
      </c>
      <c r="C1170" s="77" t="s">
        <v>127</v>
      </c>
      <c r="D1170" s="161" t="s">
        <v>127</v>
      </c>
      <c r="E1170" s="79"/>
      <c r="F1170" s="79"/>
      <c r="G1170" s="79"/>
      <c r="H1170" s="79"/>
      <c r="I1170" s="80" t="str">
        <f t="shared" si="16"/>
        <v>583210404</v>
      </c>
      <c r="J1170" s="79"/>
      <c r="K1170" s="79"/>
      <c r="L1170" s="59" t="s">
        <v>2128</v>
      </c>
      <c r="M1170" s="153">
        <v>2.0</v>
      </c>
      <c r="N1170" s="155"/>
      <c r="O1170" s="58"/>
      <c r="P1170" s="58"/>
      <c r="Q1170" s="58"/>
      <c r="R1170" s="58"/>
      <c r="S1170" s="58"/>
      <c r="T1170" s="58"/>
      <c r="U1170" s="58"/>
      <c r="V1170" s="58"/>
      <c r="W1170" s="58"/>
      <c r="X1170" s="81"/>
      <c r="Y1170" s="81"/>
      <c r="Z1170" s="81"/>
      <c r="AA1170" s="79"/>
      <c r="AB1170" s="79"/>
      <c r="AC1170" s="81"/>
      <c r="AD1170" s="81"/>
      <c r="AE1170" s="81"/>
      <c r="AF1170" s="81"/>
      <c r="AG1170" s="81"/>
      <c r="AH1170" s="81"/>
      <c r="AI1170" s="81"/>
      <c r="AJ1170" s="81"/>
      <c r="AK1170" s="81"/>
      <c r="AL1170" s="81"/>
      <c r="AM1170" s="81"/>
      <c r="AN1170" s="81"/>
      <c r="AO1170" s="81"/>
      <c r="AP1170" s="81"/>
      <c r="AQ1170" s="81"/>
      <c r="AR1170" s="81"/>
      <c r="AS1170" s="81"/>
      <c r="AT1170" s="81"/>
      <c r="AU1170" s="81"/>
      <c r="AV1170" s="81"/>
      <c r="AW1170" s="81"/>
      <c r="AX1170" s="81"/>
      <c r="AY1170" s="81"/>
      <c r="AZ1170" s="81"/>
      <c r="BA1170" s="81"/>
      <c r="BB1170" s="81"/>
      <c r="BC1170" s="81"/>
      <c r="BD1170" s="81"/>
      <c r="BE1170" s="81"/>
      <c r="BF1170" s="81"/>
      <c r="BG1170" s="81"/>
      <c r="BH1170" s="80" t="s">
        <v>2121</v>
      </c>
      <c r="BI1170" s="82">
        <v>25.0</v>
      </c>
      <c r="BJ1170" s="81"/>
      <c r="BK1170" s="81"/>
      <c r="BL1170" s="79"/>
      <c r="BM1170" s="81"/>
      <c r="BN1170" s="81"/>
      <c r="BO1170" s="83"/>
      <c r="BP1170" s="58"/>
      <c r="BQ1170" s="64"/>
    </row>
    <row r="1171">
      <c r="A1171" s="61">
        <v>5.0</v>
      </c>
      <c r="B1171" s="77" t="s">
        <v>2118</v>
      </c>
      <c r="C1171" s="77" t="s">
        <v>127</v>
      </c>
      <c r="D1171" s="161" t="s">
        <v>91</v>
      </c>
      <c r="E1171" s="79"/>
      <c r="F1171" s="79"/>
      <c r="G1171" s="79"/>
      <c r="H1171" s="79"/>
      <c r="I1171" s="80" t="str">
        <f t="shared" si="16"/>
        <v>583210405</v>
      </c>
      <c r="J1171" s="79"/>
      <c r="K1171" s="79"/>
      <c r="L1171" s="59" t="s">
        <v>2129</v>
      </c>
      <c r="M1171" s="153">
        <v>2.0</v>
      </c>
      <c r="N1171" s="155"/>
      <c r="O1171" s="58"/>
      <c r="P1171" s="58"/>
      <c r="Q1171" s="58"/>
      <c r="R1171" s="58"/>
      <c r="S1171" s="58"/>
      <c r="T1171" s="58"/>
      <c r="U1171" s="58"/>
      <c r="V1171" s="58"/>
      <c r="W1171" s="61" t="s">
        <v>304</v>
      </c>
      <c r="X1171" s="81"/>
      <c r="Y1171" s="81"/>
      <c r="Z1171" s="81"/>
      <c r="AA1171" s="79"/>
      <c r="AB1171" s="79"/>
      <c r="AC1171" s="81"/>
      <c r="AD1171" s="81"/>
      <c r="AE1171" s="81"/>
      <c r="AF1171" s="81"/>
      <c r="AG1171" s="81"/>
      <c r="AH1171" s="81"/>
      <c r="AI1171" s="81"/>
      <c r="AJ1171" s="81"/>
      <c r="AK1171" s="81"/>
      <c r="AL1171" s="81"/>
      <c r="AM1171" s="81"/>
      <c r="AN1171" s="81"/>
      <c r="AO1171" s="81"/>
      <c r="AP1171" s="81"/>
      <c r="AQ1171" s="81"/>
      <c r="AR1171" s="81"/>
      <c r="AS1171" s="81"/>
      <c r="AT1171" s="81"/>
      <c r="AU1171" s="81"/>
      <c r="AV1171" s="81"/>
      <c r="AW1171" s="81"/>
      <c r="AX1171" s="81"/>
      <c r="AY1171" s="81"/>
      <c r="AZ1171" s="81"/>
      <c r="BA1171" s="81"/>
      <c r="BB1171" s="81"/>
      <c r="BC1171" s="81"/>
      <c r="BD1171" s="81"/>
      <c r="BE1171" s="81"/>
      <c r="BF1171" s="81"/>
      <c r="BG1171" s="81"/>
      <c r="BH1171" s="80" t="s">
        <v>2121</v>
      </c>
      <c r="BI1171" s="82">
        <v>25.0</v>
      </c>
      <c r="BJ1171" s="81"/>
      <c r="BK1171" s="81"/>
      <c r="BL1171" s="79"/>
      <c r="BM1171" s="81"/>
      <c r="BN1171" s="81"/>
      <c r="BO1171" s="83"/>
      <c r="BP1171" s="58"/>
      <c r="BQ1171" s="64"/>
    </row>
    <row r="1172">
      <c r="A1172" s="61">
        <v>5.0</v>
      </c>
      <c r="B1172" s="77" t="s">
        <v>2118</v>
      </c>
      <c r="C1172" s="77" t="s">
        <v>127</v>
      </c>
      <c r="D1172" s="161" t="s">
        <v>133</v>
      </c>
      <c r="E1172" s="79"/>
      <c r="F1172" s="79"/>
      <c r="G1172" s="79"/>
      <c r="H1172" s="79"/>
      <c r="I1172" s="80" t="str">
        <f t="shared" si="16"/>
        <v>583210406</v>
      </c>
      <c r="J1172" s="79"/>
      <c r="K1172" s="79"/>
      <c r="L1172" s="59" t="s">
        <v>2130</v>
      </c>
      <c r="M1172" s="153">
        <v>2.0</v>
      </c>
      <c r="N1172" s="155"/>
      <c r="O1172" s="58"/>
      <c r="P1172" s="58"/>
      <c r="Q1172" s="58"/>
      <c r="R1172" s="58"/>
      <c r="S1172" s="58"/>
      <c r="T1172" s="58"/>
      <c r="U1172" s="58"/>
      <c r="V1172" s="58"/>
      <c r="W1172" s="58"/>
      <c r="X1172" s="81"/>
      <c r="Y1172" s="81"/>
      <c r="Z1172" s="81"/>
      <c r="AA1172" s="79"/>
      <c r="AB1172" s="79"/>
      <c r="AC1172" s="81"/>
      <c r="AD1172" s="81"/>
      <c r="AE1172" s="81"/>
      <c r="AF1172" s="81"/>
      <c r="AG1172" s="81"/>
      <c r="AH1172" s="81"/>
      <c r="AI1172" s="81"/>
      <c r="AJ1172" s="81"/>
      <c r="AK1172" s="81"/>
      <c r="AL1172" s="81"/>
      <c r="AM1172" s="81"/>
      <c r="AN1172" s="81"/>
      <c r="AO1172" s="81"/>
      <c r="AP1172" s="81"/>
      <c r="AQ1172" s="81"/>
      <c r="AR1172" s="81"/>
      <c r="AS1172" s="81"/>
      <c r="AT1172" s="81"/>
      <c r="AU1172" s="81"/>
      <c r="AV1172" s="81"/>
      <c r="AW1172" s="81"/>
      <c r="AX1172" s="81"/>
      <c r="AY1172" s="81"/>
      <c r="AZ1172" s="81"/>
      <c r="BA1172" s="81"/>
      <c r="BB1172" s="81"/>
      <c r="BC1172" s="81"/>
      <c r="BD1172" s="81"/>
      <c r="BE1172" s="81"/>
      <c r="BF1172" s="81"/>
      <c r="BG1172" s="81"/>
      <c r="BH1172" s="80" t="s">
        <v>2121</v>
      </c>
      <c r="BI1172" s="82">
        <v>25.0</v>
      </c>
      <c r="BJ1172" s="81"/>
      <c r="BK1172" s="81"/>
      <c r="BL1172" s="79"/>
      <c r="BM1172" s="81"/>
      <c r="BN1172" s="81"/>
      <c r="BO1172" s="83"/>
      <c r="BP1172" s="58"/>
      <c r="BQ1172" s="64"/>
    </row>
    <row r="1173">
      <c r="A1173" s="61">
        <v>5.0</v>
      </c>
      <c r="B1173" s="77" t="s">
        <v>2118</v>
      </c>
      <c r="C1173" s="77" t="s">
        <v>127</v>
      </c>
      <c r="D1173" s="161" t="s">
        <v>136</v>
      </c>
      <c r="E1173" s="79"/>
      <c r="F1173" s="79"/>
      <c r="G1173" s="79"/>
      <c r="H1173" s="79"/>
      <c r="I1173" s="80" t="str">
        <f t="shared" si="16"/>
        <v>583210407</v>
      </c>
      <c r="J1173" s="79"/>
      <c r="K1173" s="79"/>
      <c r="L1173" s="59" t="s">
        <v>2131</v>
      </c>
      <c r="M1173" s="153">
        <v>2.0</v>
      </c>
      <c r="N1173" s="155"/>
      <c r="O1173" s="58"/>
      <c r="P1173" s="58"/>
      <c r="Q1173" s="58"/>
      <c r="R1173" s="58"/>
      <c r="S1173" s="58"/>
      <c r="T1173" s="58"/>
      <c r="U1173" s="58"/>
      <c r="V1173" s="58"/>
      <c r="W1173" s="58"/>
      <c r="X1173" s="81"/>
      <c r="Y1173" s="81"/>
      <c r="Z1173" s="81"/>
      <c r="AA1173" s="79"/>
      <c r="AB1173" s="79"/>
      <c r="AC1173" s="81"/>
      <c r="AD1173" s="81"/>
      <c r="AE1173" s="81"/>
      <c r="AF1173" s="81"/>
      <c r="AG1173" s="81"/>
      <c r="AH1173" s="81"/>
      <c r="AI1173" s="81"/>
      <c r="AJ1173" s="81"/>
      <c r="AK1173" s="81"/>
      <c r="AL1173" s="81"/>
      <c r="AM1173" s="81"/>
      <c r="AN1173" s="81"/>
      <c r="AO1173" s="81"/>
      <c r="AP1173" s="81"/>
      <c r="AQ1173" s="81"/>
      <c r="AR1173" s="81"/>
      <c r="AS1173" s="81"/>
      <c r="AT1173" s="81"/>
      <c r="AU1173" s="82">
        <v>0.175</v>
      </c>
      <c r="AV1173" s="81"/>
      <c r="AW1173" s="81"/>
      <c r="AX1173" s="81"/>
      <c r="AY1173" s="81"/>
      <c r="AZ1173" s="81"/>
      <c r="BA1173" s="81"/>
      <c r="BB1173" s="81"/>
      <c r="BC1173" s="81"/>
      <c r="BD1173" s="81"/>
      <c r="BE1173" s="81"/>
      <c r="BF1173" s="81"/>
      <c r="BG1173" s="81"/>
      <c r="BH1173" s="80" t="s">
        <v>2121</v>
      </c>
      <c r="BI1173" s="82">
        <v>25.0</v>
      </c>
      <c r="BJ1173" s="81"/>
      <c r="BK1173" s="81"/>
      <c r="BL1173" s="79"/>
      <c r="BM1173" s="81"/>
      <c r="BN1173" s="81"/>
      <c r="BO1173" s="83"/>
      <c r="BP1173" s="58"/>
      <c r="BQ1173" s="64"/>
    </row>
    <row r="1174">
      <c r="A1174" s="61">
        <v>5.0</v>
      </c>
      <c r="B1174" s="77" t="s">
        <v>2118</v>
      </c>
      <c r="C1174" s="77" t="s">
        <v>127</v>
      </c>
      <c r="D1174" s="161" t="s">
        <v>138</v>
      </c>
      <c r="E1174" s="79"/>
      <c r="F1174" s="79"/>
      <c r="G1174" s="79"/>
      <c r="H1174" s="79"/>
      <c r="I1174" s="80" t="str">
        <f t="shared" si="16"/>
        <v>583210408</v>
      </c>
      <c r="J1174" s="79"/>
      <c r="K1174" s="79"/>
      <c r="L1174" s="59" t="s">
        <v>2132</v>
      </c>
      <c r="M1174" s="153">
        <v>2.0</v>
      </c>
      <c r="N1174" s="160" t="s">
        <v>2133</v>
      </c>
      <c r="O1174" s="58"/>
      <c r="P1174" s="58"/>
      <c r="Q1174" s="58"/>
      <c r="R1174" s="58"/>
      <c r="S1174" s="58"/>
      <c r="T1174" s="58"/>
      <c r="U1174" s="58"/>
      <c r="V1174" s="58"/>
      <c r="W1174" s="61" t="s">
        <v>304</v>
      </c>
      <c r="X1174" s="81"/>
      <c r="Y1174" s="81"/>
      <c r="Z1174" s="81"/>
      <c r="AA1174" s="79"/>
      <c r="AB1174" s="79"/>
      <c r="AC1174" s="81"/>
      <c r="AD1174" s="81"/>
      <c r="AE1174" s="81"/>
      <c r="AF1174" s="81"/>
      <c r="AG1174" s="81"/>
      <c r="AH1174" s="81"/>
      <c r="AI1174" s="81"/>
      <c r="AJ1174" s="81"/>
      <c r="AK1174" s="81"/>
      <c r="AL1174" s="81"/>
      <c r="AM1174" s="81"/>
      <c r="AN1174" s="81"/>
      <c r="AO1174" s="81"/>
      <c r="AP1174" s="81"/>
      <c r="AQ1174" s="81"/>
      <c r="AR1174" s="81"/>
      <c r="AS1174" s="81"/>
      <c r="AT1174" s="81"/>
      <c r="AU1174" s="81"/>
      <c r="AV1174" s="81"/>
      <c r="AW1174" s="81"/>
      <c r="AX1174" s="81"/>
      <c r="AY1174" s="81"/>
      <c r="AZ1174" s="81"/>
      <c r="BA1174" s="81"/>
      <c r="BB1174" s="81"/>
      <c r="BC1174" s="81"/>
      <c r="BD1174" s="81"/>
      <c r="BE1174" s="81"/>
      <c r="BF1174" s="81"/>
      <c r="BG1174" s="81"/>
      <c r="BH1174" s="80" t="s">
        <v>2121</v>
      </c>
      <c r="BI1174" s="82">
        <v>25.0</v>
      </c>
      <c r="BJ1174" s="81"/>
      <c r="BK1174" s="81"/>
      <c r="BL1174" s="79"/>
      <c r="BM1174" s="81"/>
      <c r="BN1174" s="81"/>
      <c r="BO1174" s="83"/>
      <c r="BP1174" s="58"/>
      <c r="BQ1174" s="64"/>
    </row>
    <row r="1175">
      <c r="A1175" s="61">
        <v>5.0</v>
      </c>
      <c r="B1175" s="77" t="s">
        <v>2118</v>
      </c>
      <c r="C1175" s="77" t="s">
        <v>127</v>
      </c>
      <c r="D1175" s="161" t="s">
        <v>142</v>
      </c>
      <c r="E1175" s="79"/>
      <c r="F1175" s="79"/>
      <c r="G1175" s="79"/>
      <c r="H1175" s="79"/>
      <c r="I1175" s="80" t="str">
        <f t="shared" si="16"/>
        <v>583210409</v>
      </c>
      <c r="J1175" s="79"/>
      <c r="K1175" s="79"/>
      <c r="L1175" s="59" t="s">
        <v>2134</v>
      </c>
      <c r="M1175" s="153">
        <v>2.0</v>
      </c>
      <c r="N1175" s="155"/>
      <c r="O1175" s="58"/>
      <c r="P1175" s="58"/>
      <c r="Q1175" s="58"/>
      <c r="R1175" s="58"/>
      <c r="S1175" s="58"/>
      <c r="T1175" s="58"/>
      <c r="U1175" s="58"/>
      <c r="V1175" s="58"/>
      <c r="W1175" s="58"/>
      <c r="X1175" s="81"/>
      <c r="Y1175" s="81"/>
      <c r="Z1175" s="81"/>
      <c r="AA1175" s="79"/>
      <c r="AB1175" s="79"/>
      <c r="AC1175" s="81"/>
      <c r="AD1175" s="81"/>
      <c r="AE1175" s="81"/>
      <c r="AF1175" s="81"/>
      <c r="AG1175" s="81"/>
      <c r="AH1175" s="81"/>
      <c r="AI1175" s="81"/>
      <c r="AJ1175" s="81"/>
      <c r="AK1175" s="81"/>
      <c r="AL1175" s="81"/>
      <c r="AM1175" s="81"/>
      <c r="AN1175" s="81"/>
      <c r="AO1175" s="81"/>
      <c r="AP1175" s="81"/>
      <c r="AQ1175" s="81"/>
      <c r="AR1175" s="81"/>
      <c r="AS1175" s="81"/>
      <c r="AT1175" s="81"/>
      <c r="AU1175" s="81"/>
      <c r="AV1175" s="81"/>
      <c r="AW1175" s="81"/>
      <c r="AX1175" s="81"/>
      <c r="AY1175" s="81"/>
      <c r="AZ1175" s="81"/>
      <c r="BA1175" s="81"/>
      <c r="BB1175" s="81"/>
      <c r="BC1175" s="81"/>
      <c r="BD1175" s="81"/>
      <c r="BE1175" s="81"/>
      <c r="BF1175" s="81"/>
      <c r="BG1175" s="81"/>
      <c r="BH1175" s="80" t="s">
        <v>2121</v>
      </c>
      <c r="BI1175" s="82">
        <v>25.0</v>
      </c>
      <c r="BJ1175" s="81"/>
      <c r="BK1175" s="81"/>
      <c r="BL1175" s="79"/>
      <c r="BM1175" s="81"/>
      <c r="BN1175" s="81"/>
      <c r="BO1175" s="83"/>
      <c r="BP1175" s="58"/>
      <c r="BQ1175" s="64"/>
    </row>
    <row r="1176">
      <c r="A1176" s="61">
        <v>5.0</v>
      </c>
      <c r="B1176" s="77" t="s">
        <v>2118</v>
      </c>
      <c r="C1176" s="77" t="s">
        <v>127</v>
      </c>
      <c r="D1176" s="161" t="s">
        <v>149</v>
      </c>
      <c r="E1176" s="79"/>
      <c r="F1176" s="79"/>
      <c r="G1176" s="79"/>
      <c r="H1176" s="79"/>
      <c r="I1176" s="80" t="str">
        <f t="shared" si="16"/>
        <v>58321040A</v>
      </c>
      <c r="J1176" s="79"/>
      <c r="K1176" s="79"/>
      <c r="L1176" s="59" t="s">
        <v>2135</v>
      </c>
      <c r="M1176" s="153">
        <v>2.0</v>
      </c>
      <c r="N1176" s="155"/>
      <c r="O1176" s="58"/>
      <c r="P1176" s="58"/>
      <c r="Q1176" s="58"/>
      <c r="R1176" s="58"/>
      <c r="S1176" s="58"/>
      <c r="T1176" s="58"/>
      <c r="U1176" s="58"/>
      <c r="V1176" s="58"/>
      <c r="W1176" s="58"/>
      <c r="X1176" s="81"/>
      <c r="Y1176" s="81"/>
      <c r="Z1176" s="81"/>
      <c r="AA1176" s="79"/>
      <c r="AB1176" s="79"/>
      <c r="AC1176" s="81"/>
      <c r="AD1176" s="81"/>
      <c r="AE1176" s="81"/>
      <c r="AF1176" s="81"/>
      <c r="AG1176" s="81"/>
      <c r="AH1176" s="81"/>
      <c r="AI1176" s="81"/>
      <c r="AJ1176" s="81"/>
      <c r="AK1176" s="81"/>
      <c r="AL1176" s="81"/>
      <c r="AM1176" s="81"/>
      <c r="AN1176" s="81"/>
      <c r="AO1176" s="81"/>
      <c r="AP1176" s="81"/>
      <c r="AQ1176" s="81"/>
      <c r="AR1176" s="81"/>
      <c r="AS1176" s="81"/>
      <c r="AT1176" s="81"/>
      <c r="AU1176" s="81"/>
      <c r="AV1176" s="82" t="s">
        <v>2136</v>
      </c>
      <c r="AW1176" s="81"/>
      <c r="AX1176" s="81"/>
      <c r="AY1176" s="81"/>
      <c r="AZ1176" s="81"/>
      <c r="BA1176" s="81"/>
      <c r="BB1176" s="81"/>
      <c r="BC1176" s="81"/>
      <c r="BD1176" s="81"/>
      <c r="BE1176" s="81"/>
      <c r="BF1176" s="81"/>
      <c r="BG1176" s="81"/>
      <c r="BH1176" s="80" t="s">
        <v>2121</v>
      </c>
      <c r="BI1176" s="82">
        <v>25.0</v>
      </c>
      <c r="BJ1176" s="81"/>
      <c r="BK1176" s="81"/>
      <c r="BL1176" s="79"/>
      <c r="BM1176" s="81"/>
      <c r="BN1176" s="81"/>
      <c r="BO1176" s="83"/>
      <c r="BP1176" s="58"/>
      <c r="BQ1176" s="64"/>
    </row>
    <row r="1177">
      <c r="A1177" s="61">
        <v>5.0</v>
      </c>
      <c r="B1177" s="77" t="s">
        <v>2118</v>
      </c>
      <c r="C1177" s="77" t="s">
        <v>127</v>
      </c>
      <c r="D1177" s="161" t="s">
        <v>151</v>
      </c>
      <c r="E1177" s="79"/>
      <c r="F1177" s="79"/>
      <c r="G1177" s="79"/>
      <c r="H1177" s="79"/>
      <c r="I1177" s="80" t="str">
        <f t="shared" si="16"/>
        <v>58321040B</v>
      </c>
      <c r="J1177" s="79"/>
      <c r="K1177" s="79"/>
      <c r="L1177" s="59" t="s">
        <v>2137</v>
      </c>
      <c r="M1177" s="153">
        <v>2.0</v>
      </c>
      <c r="N1177" s="155"/>
      <c r="O1177" s="58"/>
      <c r="P1177" s="58"/>
      <c r="Q1177" s="58"/>
      <c r="R1177" s="58"/>
      <c r="S1177" s="58"/>
      <c r="T1177" s="58"/>
      <c r="U1177" s="58"/>
      <c r="V1177" s="58"/>
      <c r="W1177" s="58"/>
      <c r="X1177" s="81"/>
      <c r="Y1177" s="81"/>
      <c r="Z1177" s="81"/>
      <c r="AA1177" s="79"/>
      <c r="AB1177" s="79"/>
      <c r="AC1177" s="81"/>
      <c r="AD1177" s="81"/>
      <c r="AE1177" s="81"/>
      <c r="AF1177" s="81"/>
      <c r="AG1177" s="81"/>
      <c r="AH1177" s="81"/>
      <c r="AI1177" s="81"/>
      <c r="AJ1177" s="81"/>
      <c r="AK1177" s="81"/>
      <c r="AL1177" s="81"/>
      <c r="AM1177" s="81"/>
      <c r="AN1177" s="81"/>
      <c r="AO1177" s="81"/>
      <c r="AP1177" s="81"/>
      <c r="AQ1177" s="81"/>
      <c r="AR1177" s="81"/>
      <c r="AS1177" s="81"/>
      <c r="AT1177" s="81"/>
      <c r="AU1177" s="81"/>
      <c r="AV1177" s="82" t="s">
        <v>2138</v>
      </c>
      <c r="AW1177" s="81"/>
      <c r="AX1177" s="81"/>
      <c r="AY1177" s="81"/>
      <c r="AZ1177" s="81"/>
      <c r="BA1177" s="81"/>
      <c r="BB1177" s="81"/>
      <c r="BC1177" s="81"/>
      <c r="BD1177" s="81"/>
      <c r="BE1177" s="81"/>
      <c r="BF1177" s="81"/>
      <c r="BG1177" s="81"/>
      <c r="BH1177" s="80" t="s">
        <v>2121</v>
      </c>
      <c r="BI1177" s="82">
        <v>25.0</v>
      </c>
      <c r="BJ1177" s="81"/>
      <c r="BK1177" s="81"/>
      <c r="BL1177" s="79"/>
      <c r="BM1177" s="81"/>
      <c r="BN1177" s="81"/>
      <c r="BO1177" s="83"/>
      <c r="BP1177" s="58"/>
      <c r="BQ1177" s="64"/>
    </row>
    <row r="1178">
      <c r="A1178" s="61">
        <v>5.0</v>
      </c>
      <c r="B1178" s="77" t="s">
        <v>2118</v>
      </c>
      <c r="C1178" s="77" t="s">
        <v>127</v>
      </c>
      <c r="D1178" s="161" t="s">
        <v>155</v>
      </c>
      <c r="E1178" s="79"/>
      <c r="F1178" s="79"/>
      <c r="G1178" s="79"/>
      <c r="H1178" s="79"/>
      <c r="I1178" s="80" t="str">
        <f t="shared" si="16"/>
        <v>58321040C</v>
      </c>
      <c r="J1178" s="79"/>
      <c r="K1178" s="79"/>
      <c r="L1178" s="59" t="s">
        <v>2139</v>
      </c>
      <c r="M1178" s="153">
        <v>2.0</v>
      </c>
      <c r="N1178" s="155"/>
      <c r="O1178" s="58"/>
      <c r="P1178" s="58"/>
      <c r="Q1178" s="58"/>
      <c r="R1178" s="58"/>
      <c r="S1178" s="58"/>
      <c r="T1178" s="58"/>
      <c r="U1178" s="58"/>
      <c r="V1178" s="58"/>
      <c r="W1178" s="58"/>
      <c r="X1178" s="81"/>
      <c r="Y1178" s="81"/>
      <c r="Z1178" s="81"/>
      <c r="AA1178" s="79"/>
      <c r="AB1178" s="79"/>
      <c r="AC1178" s="81"/>
      <c r="AD1178" s="81"/>
      <c r="AE1178" s="81"/>
      <c r="AF1178" s="81"/>
      <c r="AG1178" s="81"/>
      <c r="AH1178" s="81"/>
      <c r="AI1178" s="81"/>
      <c r="AJ1178" s="81"/>
      <c r="AK1178" s="81"/>
      <c r="AL1178" s="81"/>
      <c r="AM1178" s="81"/>
      <c r="AN1178" s="81"/>
      <c r="AO1178" s="81"/>
      <c r="AP1178" s="81"/>
      <c r="AQ1178" s="81"/>
      <c r="AR1178" s="81"/>
      <c r="AS1178" s="81"/>
      <c r="AT1178" s="81"/>
      <c r="AU1178" s="81"/>
      <c r="AV1178" s="82" t="s">
        <v>2138</v>
      </c>
      <c r="AW1178" s="81"/>
      <c r="AX1178" s="81"/>
      <c r="AY1178" s="81"/>
      <c r="AZ1178" s="81"/>
      <c r="BA1178" s="81"/>
      <c r="BB1178" s="81"/>
      <c r="BC1178" s="81"/>
      <c r="BD1178" s="81"/>
      <c r="BE1178" s="81"/>
      <c r="BF1178" s="81"/>
      <c r="BG1178" s="81"/>
      <c r="BH1178" s="80" t="s">
        <v>2121</v>
      </c>
      <c r="BI1178" s="82">
        <v>25.0</v>
      </c>
      <c r="BJ1178" s="81"/>
      <c r="BK1178" s="81"/>
      <c r="BL1178" s="79"/>
      <c r="BM1178" s="81"/>
      <c r="BN1178" s="81"/>
      <c r="BO1178" s="83"/>
      <c r="BP1178" s="58"/>
      <c r="BQ1178" s="64"/>
    </row>
    <row r="1179">
      <c r="A1179" s="61">
        <v>5.0</v>
      </c>
      <c r="B1179" s="77" t="s">
        <v>2118</v>
      </c>
      <c r="C1179" s="77" t="s">
        <v>127</v>
      </c>
      <c r="D1179" s="161" t="s">
        <v>158</v>
      </c>
      <c r="E1179" s="79"/>
      <c r="F1179" s="79"/>
      <c r="G1179" s="79"/>
      <c r="H1179" s="79"/>
      <c r="I1179" s="80" t="str">
        <f t="shared" si="16"/>
        <v>58321040D</v>
      </c>
      <c r="J1179" s="79"/>
      <c r="K1179" s="79"/>
      <c r="L1179" s="59" t="s">
        <v>2140</v>
      </c>
      <c r="M1179" s="153">
        <v>2.0</v>
      </c>
      <c r="N1179" s="155"/>
      <c r="O1179" s="58"/>
      <c r="P1179" s="58"/>
      <c r="Q1179" s="58"/>
      <c r="R1179" s="58"/>
      <c r="S1179" s="58"/>
      <c r="T1179" s="58"/>
      <c r="U1179" s="58"/>
      <c r="V1179" s="58"/>
      <c r="W1179" s="58"/>
      <c r="X1179" s="81"/>
      <c r="Y1179" s="81"/>
      <c r="Z1179" s="81"/>
      <c r="AA1179" s="79"/>
      <c r="AB1179" s="79"/>
      <c r="AC1179" s="81"/>
      <c r="AD1179" s="81"/>
      <c r="AE1179" s="81"/>
      <c r="AF1179" s="81"/>
      <c r="AG1179" s="81"/>
      <c r="AH1179" s="81"/>
      <c r="AI1179" s="81"/>
      <c r="AJ1179" s="81"/>
      <c r="AK1179" s="81"/>
      <c r="AL1179" s="81"/>
      <c r="AM1179" s="81"/>
      <c r="AN1179" s="81"/>
      <c r="AO1179" s="81"/>
      <c r="AP1179" s="81"/>
      <c r="AQ1179" s="81"/>
      <c r="AR1179" s="81"/>
      <c r="AS1179" s="81"/>
      <c r="AT1179" s="81"/>
      <c r="AU1179" s="81"/>
      <c r="AV1179" s="82" t="s">
        <v>2138</v>
      </c>
      <c r="AW1179" s="81"/>
      <c r="AX1179" s="81"/>
      <c r="AY1179" s="81"/>
      <c r="AZ1179" s="81"/>
      <c r="BA1179" s="81"/>
      <c r="BB1179" s="81"/>
      <c r="BC1179" s="81"/>
      <c r="BD1179" s="81"/>
      <c r="BE1179" s="81"/>
      <c r="BF1179" s="81"/>
      <c r="BG1179" s="81"/>
      <c r="BH1179" s="80" t="s">
        <v>2121</v>
      </c>
      <c r="BI1179" s="82">
        <v>25.0</v>
      </c>
      <c r="BJ1179" s="81"/>
      <c r="BK1179" s="81"/>
      <c r="BL1179" s="79"/>
      <c r="BM1179" s="81"/>
      <c r="BN1179" s="81"/>
      <c r="BO1179" s="83"/>
      <c r="BP1179" s="58"/>
      <c r="BQ1179" s="64"/>
    </row>
    <row r="1180">
      <c r="A1180" s="61">
        <v>5.0</v>
      </c>
      <c r="B1180" s="77" t="s">
        <v>2118</v>
      </c>
      <c r="C1180" s="77" t="s">
        <v>127</v>
      </c>
      <c r="D1180" s="161" t="s">
        <v>162</v>
      </c>
      <c r="E1180" s="79"/>
      <c r="F1180" s="79"/>
      <c r="G1180" s="79"/>
      <c r="H1180" s="79"/>
      <c r="I1180" s="80" t="str">
        <f t="shared" si="16"/>
        <v>58321040E</v>
      </c>
      <c r="J1180" s="79"/>
      <c r="K1180" s="79"/>
      <c r="L1180" s="59" t="s">
        <v>2141</v>
      </c>
      <c r="M1180" s="153">
        <v>2.0</v>
      </c>
      <c r="N1180" s="155"/>
      <c r="O1180" s="58"/>
      <c r="P1180" s="58"/>
      <c r="Q1180" s="58"/>
      <c r="R1180" s="58"/>
      <c r="S1180" s="58"/>
      <c r="T1180" s="58"/>
      <c r="U1180" s="58"/>
      <c r="V1180" s="58"/>
      <c r="W1180" s="58"/>
      <c r="X1180" s="81"/>
      <c r="Y1180" s="81"/>
      <c r="Z1180" s="81"/>
      <c r="AA1180" s="79"/>
      <c r="AB1180" s="79"/>
      <c r="AC1180" s="81"/>
      <c r="AD1180" s="81"/>
      <c r="AE1180" s="81"/>
      <c r="AF1180" s="81"/>
      <c r="AG1180" s="81"/>
      <c r="AH1180" s="81"/>
      <c r="AI1180" s="81"/>
      <c r="AJ1180" s="81"/>
      <c r="AK1180" s="81"/>
      <c r="AL1180" s="81"/>
      <c r="AM1180" s="81"/>
      <c r="AN1180" s="81"/>
      <c r="AO1180" s="81"/>
      <c r="AP1180" s="81"/>
      <c r="AQ1180" s="81"/>
      <c r="AR1180" s="81"/>
      <c r="AS1180" s="81"/>
      <c r="AT1180" s="81"/>
      <c r="AU1180" s="81"/>
      <c r="AV1180" s="81"/>
      <c r="AW1180" s="81"/>
      <c r="AX1180" s="81"/>
      <c r="AY1180" s="81"/>
      <c r="AZ1180" s="81"/>
      <c r="BA1180" s="81"/>
      <c r="BB1180" s="81"/>
      <c r="BC1180" s="81"/>
      <c r="BD1180" s="81"/>
      <c r="BE1180" s="81"/>
      <c r="BF1180" s="81"/>
      <c r="BG1180" s="81"/>
      <c r="BH1180" s="80" t="s">
        <v>2121</v>
      </c>
      <c r="BI1180" s="82">
        <v>25.0</v>
      </c>
      <c r="BJ1180" s="81"/>
      <c r="BK1180" s="81"/>
      <c r="BL1180" s="79"/>
      <c r="BM1180" s="81"/>
      <c r="BN1180" s="81"/>
      <c r="BO1180" s="83"/>
      <c r="BP1180" s="58"/>
      <c r="BQ1180" s="64"/>
    </row>
    <row r="1181">
      <c r="A1181" s="61">
        <v>5.0</v>
      </c>
      <c r="B1181" s="77" t="s">
        <v>2118</v>
      </c>
      <c r="C1181" s="77" t="s">
        <v>127</v>
      </c>
      <c r="D1181" s="161" t="s">
        <v>166</v>
      </c>
      <c r="E1181" s="79"/>
      <c r="F1181" s="79"/>
      <c r="G1181" s="79"/>
      <c r="H1181" s="79"/>
      <c r="I1181" s="80" t="str">
        <f t="shared" si="16"/>
        <v>58321040F</v>
      </c>
      <c r="J1181" s="79"/>
      <c r="K1181" s="79"/>
      <c r="L1181" s="59" t="s">
        <v>2142</v>
      </c>
      <c r="M1181" s="153">
        <v>2.0</v>
      </c>
      <c r="N1181" s="155"/>
      <c r="O1181" s="58"/>
      <c r="P1181" s="58"/>
      <c r="Q1181" s="58"/>
      <c r="R1181" s="58"/>
      <c r="S1181" s="58"/>
      <c r="T1181" s="58"/>
      <c r="U1181" s="58"/>
      <c r="V1181" s="58"/>
      <c r="W1181" s="58"/>
      <c r="X1181" s="81"/>
      <c r="Y1181" s="81"/>
      <c r="Z1181" s="81"/>
      <c r="AA1181" s="79"/>
      <c r="AB1181" s="79"/>
      <c r="AC1181" s="81"/>
      <c r="AD1181" s="81"/>
      <c r="AE1181" s="81"/>
      <c r="AF1181" s="81"/>
      <c r="AG1181" s="81"/>
      <c r="AH1181" s="81"/>
      <c r="AI1181" s="81"/>
      <c r="AJ1181" s="81"/>
      <c r="AK1181" s="81"/>
      <c r="AL1181" s="81"/>
      <c r="AM1181" s="81"/>
      <c r="AN1181" s="81"/>
      <c r="AO1181" s="81"/>
      <c r="AP1181" s="81"/>
      <c r="AQ1181" s="81"/>
      <c r="AR1181" s="81"/>
      <c r="AS1181" s="81"/>
      <c r="AT1181" s="81"/>
      <c r="AU1181" s="81"/>
      <c r="AV1181" s="82" t="s">
        <v>2138</v>
      </c>
      <c r="AW1181" s="81"/>
      <c r="AX1181" s="81"/>
      <c r="AY1181" s="81"/>
      <c r="AZ1181" s="81"/>
      <c r="BA1181" s="81"/>
      <c r="BB1181" s="81"/>
      <c r="BC1181" s="81"/>
      <c r="BD1181" s="81"/>
      <c r="BE1181" s="81"/>
      <c r="BF1181" s="81"/>
      <c r="BG1181" s="81"/>
      <c r="BH1181" s="80" t="s">
        <v>2121</v>
      </c>
      <c r="BI1181" s="82">
        <v>25.0</v>
      </c>
      <c r="BJ1181" s="81"/>
      <c r="BK1181" s="81"/>
      <c r="BL1181" s="79"/>
      <c r="BM1181" s="81"/>
      <c r="BN1181" s="81"/>
      <c r="BO1181" s="83"/>
      <c r="BP1181" s="58"/>
      <c r="BQ1181" s="64"/>
    </row>
    <row r="1182">
      <c r="A1182" s="61">
        <v>5.0</v>
      </c>
      <c r="B1182" s="77" t="s">
        <v>2118</v>
      </c>
      <c r="C1182" s="77" t="s">
        <v>127</v>
      </c>
      <c r="D1182" s="161" t="s">
        <v>170</v>
      </c>
      <c r="E1182" s="79"/>
      <c r="F1182" s="79"/>
      <c r="G1182" s="79"/>
      <c r="H1182" s="79"/>
      <c r="I1182" s="80" t="str">
        <f t="shared" si="16"/>
        <v>58321040G</v>
      </c>
      <c r="J1182" s="79"/>
      <c r="K1182" s="79"/>
      <c r="L1182" s="59" t="s">
        <v>2143</v>
      </c>
      <c r="M1182" s="153">
        <v>2.0</v>
      </c>
      <c r="N1182" s="155"/>
      <c r="O1182" s="58"/>
      <c r="P1182" s="58"/>
      <c r="Q1182" s="58"/>
      <c r="R1182" s="58"/>
      <c r="S1182" s="58"/>
      <c r="T1182" s="58"/>
      <c r="U1182" s="58"/>
      <c r="V1182" s="58"/>
      <c r="W1182" s="58"/>
      <c r="X1182" s="81"/>
      <c r="Y1182" s="81"/>
      <c r="Z1182" s="81"/>
      <c r="AA1182" s="79"/>
      <c r="AB1182" s="79"/>
      <c r="AC1182" s="81"/>
      <c r="AD1182" s="81"/>
      <c r="AE1182" s="81"/>
      <c r="AF1182" s="81"/>
      <c r="AG1182" s="81"/>
      <c r="AH1182" s="81"/>
      <c r="AI1182" s="81"/>
      <c r="AJ1182" s="81"/>
      <c r="AK1182" s="81"/>
      <c r="AL1182" s="81"/>
      <c r="AM1182" s="81"/>
      <c r="AN1182" s="81"/>
      <c r="AO1182" s="81"/>
      <c r="AP1182" s="81"/>
      <c r="AQ1182" s="81"/>
      <c r="AR1182" s="81"/>
      <c r="AS1182" s="81"/>
      <c r="AT1182" s="81"/>
      <c r="AU1182" s="81"/>
      <c r="AV1182" s="81"/>
      <c r="AW1182" s="81"/>
      <c r="AX1182" s="81"/>
      <c r="AY1182" s="81"/>
      <c r="AZ1182" s="81"/>
      <c r="BA1182" s="81"/>
      <c r="BB1182" s="81"/>
      <c r="BC1182" s="81"/>
      <c r="BD1182" s="81"/>
      <c r="BE1182" s="81"/>
      <c r="BF1182" s="81"/>
      <c r="BG1182" s="81"/>
      <c r="BH1182" s="80" t="s">
        <v>2121</v>
      </c>
      <c r="BI1182" s="82">
        <v>25.0</v>
      </c>
      <c r="BJ1182" s="81"/>
      <c r="BK1182" s="81"/>
      <c r="BL1182" s="79"/>
      <c r="BM1182" s="81"/>
      <c r="BN1182" s="81"/>
      <c r="BO1182" s="83"/>
      <c r="BP1182" s="58"/>
      <c r="BQ1182" s="64"/>
    </row>
    <row r="1183">
      <c r="A1183" s="61">
        <v>5.0</v>
      </c>
      <c r="B1183" s="77" t="s">
        <v>2118</v>
      </c>
      <c r="C1183" s="77" t="s">
        <v>127</v>
      </c>
      <c r="D1183" s="161" t="s">
        <v>173</v>
      </c>
      <c r="E1183" s="79"/>
      <c r="F1183" s="79"/>
      <c r="G1183" s="79"/>
      <c r="H1183" s="79"/>
      <c r="I1183" s="80" t="str">
        <f t="shared" si="16"/>
        <v>58321040H</v>
      </c>
      <c r="J1183" s="79"/>
      <c r="K1183" s="79"/>
      <c r="L1183" s="59" t="s">
        <v>2144</v>
      </c>
      <c r="M1183" s="153">
        <v>2.0</v>
      </c>
      <c r="N1183" s="155"/>
      <c r="O1183" s="58"/>
      <c r="P1183" s="58"/>
      <c r="Q1183" s="58"/>
      <c r="R1183" s="58"/>
      <c r="S1183" s="58"/>
      <c r="T1183" s="58"/>
      <c r="U1183" s="58"/>
      <c r="V1183" s="58"/>
      <c r="W1183" s="58"/>
      <c r="X1183" s="81"/>
      <c r="Y1183" s="81"/>
      <c r="Z1183" s="81"/>
      <c r="AA1183" s="79"/>
      <c r="AB1183" s="79"/>
      <c r="AC1183" s="81"/>
      <c r="AD1183" s="81"/>
      <c r="AE1183" s="81"/>
      <c r="AF1183" s="81"/>
      <c r="AG1183" s="81"/>
      <c r="AH1183" s="81"/>
      <c r="AI1183" s="81"/>
      <c r="AJ1183" s="81"/>
      <c r="AK1183" s="81"/>
      <c r="AL1183" s="81"/>
      <c r="AM1183" s="81"/>
      <c r="AN1183" s="81"/>
      <c r="AO1183" s="81"/>
      <c r="AP1183" s="81"/>
      <c r="AQ1183" s="81"/>
      <c r="AR1183" s="81"/>
      <c r="AS1183" s="81"/>
      <c r="AT1183" s="81"/>
      <c r="AU1183" s="81"/>
      <c r="AV1183" s="81"/>
      <c r="AW1183" s="81"/>
      <c r="AX1183" s="81"/>
      <c r="AY1183" s="81"/>
      <c r="AZ1183" s="81"/>
      <c r="BA1183" s="81"/>
      <c r="BB1183" s="81"/>
      <c r="BC1183" s="81"/>
      <c r="BD1183" s="81"/>
      <c r="BE1183" s="81"/>
      <c r="BF1183" s="81"/>
      <c r="BG1183" s="81"/>
      <c r="BH1183" s="80" t="s">
        <v>2121</v>
      </c>
      <c r="BI1183" s="82">
        <v>25.0</v>
      </c>
      <c r="BJ1183" s="81"/>
      <c r="BK1183" s="81"/>
      <c r="BL1183" s="79"/>
      <c r="BM1183" s="81"/>
      <c r="BN1183" s="81"/>
      <c r="BO1183" s="83"/>
      <c r="BP1183" s="58"/>
      <c r="BQ1183" s="64"/>
    </row>
    <row r="1184">
      <c r="A1184" s="61">
        <v>5.0</v>
      </c>
      <c r="B1184" s="77" t="s">
        <v>2118</v>
      </c>
      <c r="C1184" s="77" t="s">
        <v>127</v>
      </c>
      <c r="D1184" s="161" t="s">
        <v>179</v>
      </c>
      <c r="E1184" s="79"/>
      <c r="F1184" s="79"/>
      <c r="G1184" s="79"/>
      <c r="H1184" s="79"/>
      <c r="I1184" s="80" t="str">
        <f t="shared" si="16"/>
        <v>58321040J</v>
      </c>
      <c r="J1184" s="79"/>
      <c r="K1184" s="79"/>
      <c r="L1184" s="59" t="s">
        <v>2145</v>
      </c>
      <c r="M1184" s="153">
        <v>2.0</v>
      </c>
      <c r="N1184" s="155"/>
      <c r="O1184" s="58"/>
      <c r="P1184" s="58"/>
      <c r="Q1184" s="58"/>
      <c r="R1184" s="58"/>
      <c r="S1184" s="58"/>
      <c r="T1184" s="58"/>
      <c r="U1184" s="58"/>
      <c r="V1184" s="58"/>
      <c r="W1184" s="58"/>
      <c r="X1184" s="81"/>
      <c r="Y1184" s="81"/>
      <c r="Z1184" s="81"/>
      <c r="AA1184" s="79"/>
      <c r="AB1184" s="79"/>
      <c r="AC1184" s="81"/>
      <c r="AD1184" s="81"/>
      <c r="AE1184" s="81"/>
      <c r="AF1184" s="81"/>
      <c r="AG1184" s="81"/>
      <c r="AH1184" s="81"/>
      <c r="AI1184" s="81"/>
      <c r="AJ1184" s="81"/>
      <c r="AK1184" s="81"/>
      <c r="AL1184" s="81"/>
      <c r="AM1184" s="81"/>
      <c r="AN1184" s="81"/>
      <c r="AO1184" s="81"/>
      <c r="AP1184" s="81"/>
      <c r="AQ1184" s="81"/>
      <c r="AR1184" s="81"/>
      <c r="AS1184" s="81"/>
      <c r="AT1184" s="81"/>
      <c r="AU1184" s="81"/>
      <c r="AV1184" s="81"/>
      <c r="AW1184" s="81"/>
      <c r="AX1184" s="81"/>
      <c r="AY1184" s="81"/>
      <c r="AZ1184" s="81"/>
      <c r="BA1184" s="81"/>
      <c r="BB1184" s="81"/>
      <c r="BC1184" s="81"/>
      <c r="BD1184" s="81"/>
      <c r="BE1184" s="81"/>
      <c r="BF1184" s="81"/>
      <c r="BG1184" s="81"/>
      <c r="BH1184" s="80" t="s">
        <v>2121</v>
      </c>
      <c r="BI1184" s="82">
        <v>25.0</v>
      </c>
      <c r="BJ1184" s="81"/>
      <c r="BK1184" s="81"/>
      <c r="BL1184" s="79"/>
      <c r="BM1184" s="81"/>
      <c r="BN1184" s="81"/>
      <c r="BO1184" s="83"/>
      <c r="BP1184" s="58"/>
      <c r="BQ1184" s="64"/>
    </row>
    <row r="1185">
      <c r="A1185" s="61">
        <v>5.0</v>
      </c>
      <c r="B1185" s="77" t="s">
        <v>2118</v>
      </c>
      <c r="C1185" s="77" t="s">
        <v>127</v>
      </c>
      <c r="D1185" s="161" t="s">
        <v>183</v>
      </c>
      <c r="E1185" s="79"/>
      <c r="F1185" s="79"/>
      <c r="G1185" s="79"/>
      <c r="H1185" s="79"/>
      <c r="I1185" s="80" t="str">
        <f t="shared" si="16"/>
        <v>58321040K</v>
      </c>
      <c r="J1185" s="79"/>
      <c r="K1185" s="79"/>
      <c r="L1185" s="59" t="s">
        <v>2146</v>
      </c>
      <c r="M1185" s="153">
        <v>2.0</v>
      </c>
      <c r="N1185" s="155"/>
      <c r="O1185" s="58"/>
      <c r="P1185" s="58"/>
      <c r="Q1185" s="58"/>
      <c r="R1185" s="58"/>
      <c r="S1185" s="58"/>
      <c r="T1185" s="58"/>
      <c r="U1185" s="58"/>
      <c r="V1185" s="58"/>
      <c r="W1185" s="58"/>
      <c r="X1185" s="81"/>
      <c r="Y1185" s="81"/>
      <c r="Z1185" s="81"/>
      <c r="AA1185" s="79"/>
      <c r="AB1185" s="79"/>
      <c r="AC1185" s="81"/>
      <c r="AD1185" s="81"/>
      <c r="AE1185" s="81"/>
      <c r="AF1185" s="81"/>
      <c r="AG1185" s="81"/>
      <c r="AH1185" s="81"/>
      <c r="AI1185" s="81"/>
      <c r="AJ1185" s="81"/>
      <c r="AK1185" s="81"/>
      <c r="AL1185" s="81"/>
      <c r="AM1185" s="81"/>
      <c r="AN1185" s="81"/>
      <c r="AO1185" s="81"/>
      <c r="AP1185" s="81"/>
      <c r="AQ1185" s="81"/>
      <c r="AR1185" s="81"/>
      <c r="AS1185" s="81"/>
      <c r="AT1185" s="81"/>
      <c r="AU1185" s="81"/>
      <c r="AV1185" s="81"/>
      <c r="AW1185" s="81"/>
      <c r="AX1185" s="81"/>
      <c r="AY1185" s="81"/>
      <c r="AZ1185" s="81"/>
      <c r="BA1185" s="81"/>
      <c r="BB1185" s="81"/>
      <c r="BC1185" s="81"/>
      <c r="BD1185" s="81"/>
      <c r="BE1185" s="81"/>
      <c r="BF1185" s="81"/>
      <c r="BG1185" s="81"/>
      <c r="BH1185" s="80" t="s">
        <v>2121</v>
      </c>
      <c r="BI1185" s="82">
        <v>25.0</v>
      </c>
      <c r="BJ1185" s="81"/>
      <c r="BK1185" s="81"/>
      <c r="BL1185" s="79"/>
      <c r="BM1185" s="81"/>
      <c r="BN1185" s="81"/>
      <c r="BO1185" s="83"/>
      <c r="BP1185" s="58"/>
      <c r="BQ1185" s="64"/>
    </row>
    <row r="1186">
      <c r="A1186" s="61">
        <v>5.0</v>
      </c>
      <c r="B1186" s="77" t="s">
        <v>2118</v>
      </c>
      <c r="C1186" s="77" t="s">
        <v>127</v>
      </c>
      <c r="D1186" s="161" t="s">
        <v>187</v>
      </c>
      <c r="E1186" s="79"/>
      <c r="F1186" s="79"/>
      <c r="G1186" s="79"/>
      <c r="H1186" s="79"/>
      <c r="I1186" s="80" t="str">
        <f t="shared" si="16"/>
        <v>58321040L</v>
      </c>
      <c r="J1186" s="79"/>
      <c r="K1186" s="79"/>
      <c r="L1186" s="59" t="s">
        <v>2147</v>
      </c>
      <c r="M1186" s="153">
        <v>2.0</v>
      </c>
      <c r="N1186" s="155"/>
      <c r="O1186" s="58"/>
      <c r="P1186" s="58"/>
      <c r="Q1186" s="58"/>
      <c r="R1186" s="58"/>
      <c r="S1186" s="58"/>
      <c r="T1186" s="58"/>
      <c r="U1186" s="58"/>
      <c r="V1186" s="58"/>
      <c r="W1186" s="58"/>
      <c r="X1186" s="81"/>
      <c r="Y1186" s="81"/>
      <c r="Z1186" s="81"/>
      <c r="AA1186" s="79"/>
      <c r="AB1186" s="79"/>
      <c r="AC1186" s="81"/>
      <c r="AD1186" s="81"/>
      <c r="AE1186" s="81"/>
      <c r="AF1186" s="81"/>
      <c r="AG1186" s="81"/>
      <c r="AH1186" s="81"/>
      <c r="AI1186" s="81"/>
      <c r="AJ1186" s="81"/>
      <c r="AK1186" s="81"/>
      <c r="AL1186" s="81"/>
      <c r="AM1186" s="81"/>
      <c r="AN1186" s="81"/>
      <c r="AO1186" s="81"/>
      <c r="AP1186" s="81"/>
      <c r="AQ1186" s="81"/>
      <c r="AR1186" s="81"/>
      <c r="AS1186" s="81"/>
      <c r="AT1186" s="81"/>
      <c r="AU1186" s="81"/>
      <c r="AV1186" s="81"/>
      <c r="AW1186" s="81"/>
      <c r="AX1186" s="81"/>
      <c r="AY1186" s="81"/>
      <c r="AZ1186" s="81"/>
      <c r="BA1186" s="81"/>
      <c r="BB1186" s="81"/>
      <c r="BC1186" s="81"/>
      <c r="BD1186" s="81"/>
      <c r="BE1186" s="81"/>
      <c r="BF1186" s="81"/>
      <c r="BG1186" s="81"/>
      <c r="BH1186" s="80" t="s">
        <v>2121</v>
      </c>
      <c r="BI1186" s="82">
        <v>25.0</v>
      </c>
      <c r="BJ1186" s="81"/>
      <c r="BK1186" s="81"/>
      <c r="BL1186" s="79"/>
      <c r="BM1186" s="81"/>
      <c r="BN1186" s="81"/>
      <c r="BO1186" s="83"/>
      <c r="BP1186" s="58"/>
      <c r="BQ1186" s="64"/>
    </row>
    <row r="1187">
      <c r="A1187" s="61">
        <v>5.0</v>
      </c>
      <c r="B1187" s="77" t="s">
        <v>2118</v>
      </c>
      <c r="C1187" s="77" t="s">
        <v>127</v>
      </c>
      <c r="D1187" s="161" t="s">
        <v>191</v>
      </c>
      <c r="E1187" s="79"/>
      <c r="F1187" s="79"/>
      <c r="G1187" s="79"/>
      <c r="H1187" s="79"/>
      <c r="I1187" s="80" t="str">
        <f t="shared" si="16"/>
        <v>58321040M</v>
      </c>
      <c r="J1187" s="79"/>
      <c r="K1187" s="79"/>
      <c r="L1187" s="59" t="s">
        <v>2148</v>
      </c>
      <c r="M1187" s="153">
        <v>2.0</v>
      </c>
      <c r="N1187" s="155"/>
      <c r="O1187" s="58"/>
      <c r="P1187" s="58"/>
      <c r="Q1187" s="58"/>
      <c r="R1187" s="58"/>
      <c r="S1187" s="58"/>
      <c r="T1187" s="58"/>
      <c r="U1187" s="61" t="s">
        <v>2149</v>
      </c>
      <c r="V1187" s="58"/>
      <c r="W1187" s="58"/>
      <c r="X1187" s="81"/>
      <c r="Y1187" s="81"/>
      <c r="Z1187" s="81"/>
      <c r="AA1187" s="79"/>
      <c r="AB1187" s="79"/>
      <c r="AC1187" s="81"/>
      <c r="AD1187" s="81"/>
      <c r="AE1187" s="81"/>
      <c r="AF1187" s="81"/>
      <c r="AG1187" s="81"/>
      <c r="AH1187" s="81"/>
      <c r="AI1187" s="81"/>
      <c r="AJ1187" s="81"/>
      <c r="AK1187" s="81"/>
      <c r="AL1187" s="81"/>
      <c r="AM1187" s="81"/>
      <c r="AN1187" s="81"/>
      <c r="AO1187" s="81"/>
      <c r="AP1187" s="81"/>
      <c r="AQ1187" s="81"/>
      <c r="AR1187" s="81"/>
      <c r="AS1187" s="81"/>
      <c r="AT1187" s="81"/>
      <c r="AU1187" s="81"/>
      <c r="AV1187" s="81"/>
      <c r="AW1187" s="81"/>
      <c r="AX1187" s="81"/>
      <c r="AY1187" s="81"/>
      <c r="AZ1187" s="81"/>
      <c r="BA1187" s="81"/>
      <c r="BB1187" s="81"/>
      <c r="BC1187" s="81"/>
      <c r="BD1187" s="81"/>
      <c r="BE1187" s="81"/>
      <c r="BF1187" s="81"/>
      <c r="BG1187" s="81"/>
      <c r="BH1187" s="80" t="s">
        <v>2121</v>
      </c>
      <c r="BI1187" s="82">
        <v>25.0</v>
      </c>
      <c r="BJ1187" s="81"/>
      <c r="BK1187" s="81"/>
      <c r="BL1187" s="79"/>
      <c r="BM1187" s="81"/>
      <c r="BN1187" s="81"/>
      <c r="BO1187" s="83"/>
      <c r="BP1187" s="58"/>
      <c r="BQ1187" s="64"/>
    </row>
    <row r="1188">
      <c r="A1188" s="61">
        <v>5.0</v>
      </c>
      <c r="B1188" s="77" t="s">
        <v>2118</v>
      </c>
      <c r="C1188" s="77" t="s">
        <v>127</v>
      </c>
      <c r="D1188" s="161" t="s">
        <v>193</v>
      </c>
      <c r="E1188" s="79"/>
      <c r="F1188" s="79"/>
      <c r="G1188" s="79"/>
      <c r="H1188" s="79"/>
      <c r="I1188" s="80" t="str">
        <f t="shared" si="16"/>
        <v>58321040N</v>
      </c>
      <c r="J1188" s="79"/>
      <c r="K1188" s="79"/>
      <c r="L1188" s="59" t="s">
        <v>2150</v>
      </c>
      <c r="M1188" s="153">
        <v>2.0</v>
      </c>
      <c r="N1188" s="155"/>
      <c r="O1188" s="58"/>
      <c r="P1188" s="58"/>
      <c r="Q1188" s="58"/>
      <c r="R1188" s="58"/>
      <c r="S1188" s="58"/>
      <c r="T1188" s="58"/>
      <c r="U1188" s="58"/>
      <c r="V1188" s="58"/>
      <c r="W1188" s="58"/>
      <c r="X1188" s="81"/>
      <c r="Y1188" s="81"/>
      <c r="Z1188" s="81"/>
      <c r="AA1188" s="79"/>
      <c r="AB1188" s="79"/>
      <c r="AC1188" s="81"/>
      <c r="AD1188" s="81"/>
      <c r="AE1188" s="81"/>
      <c r="AF1188" s="81"/>
      <c r="AG1188" s="81"/>
      <c r="AH1188" s="81"/>
      <c r="AI1188" s="81"/>
      <c r="AJ1188" s="81"/>
      <c r="AK1188" s="81"/>
      <c r="AL1188" s="81"/>
      <c r="AM1188" s="81"/>
      <c r="AN1188" s="81"/>
      <c r="AO1188" s="81"/>
      <c r="AP1188" s="81"/>
      <c r="AQ1188" s="81"/>
      <c r="AR1188" s="81"/>
      <c r="AS1188" s="81"/>
      <c r="AT1188" s="81"/>
      <c r="AU1188" s="81"/>
      <c r="AV1188" s="81"/>
      <c r="AW1188" s="81"/>
      <c r="AX1188" s="81"/>
      <c r="AY1188" s="81"/>
      <c r="AZ1188" s="81"/>
      <c r="BA1188" s="81"/>
      <c r="BB1188" s="81"/>
      <c r="BC1188" s="81"/>
      <c r="BD1188" s="81"/>
      <c r="BE1188" s="81"/>
      <c r="BF1188" s="81"/>
      <c r="BG1188" s="81"/>
      <c r="BH1188" s="80" t="s">
        <v>2151</v>
      </c>
      <c r="BI1188" s="82">
        <v>62.0</v>
      </c>
      <c r="BJ1188" s="81"/>
      <c r="BK1188" s="81"/>
      <c r="BL1188" s="79"/>
      <c r="BM1188" s="81"/>
      <c r="BN1188" s="81"/>
      <c r="BO1188" s="83"/>
      <c r="BP1188" s="58"/>
      <c r="BQ1188" s="64"/>
    </row>
    <row r="1189">
      <c r="A1189" s="1">
        <v>4.0</v>
      </c>
      <c r="B1189" s="2" t="s">
        <v>2118</v>
      </c>
      <c r="C1189" s="2" t="s">
        <v>91</v>
      </c>
      <c r="D1189" s="93"/>
      <c r="E1189" s="93"/>
      <c r="F1189" s="93"/>
      <c r="G1189" s="93"/>
      <c r="H1189" s="93"/>
      <c r="I1189" s="3" t="str">
        <f t="shared" si="16"/>
        <v>5832105</v>
      </c>
      <c r="J1189" s="3"/>
      <c r="K1189" s="3"/>
      <c r="L1189" s="94" t="s">
        <v>2152</v>
      </c>
      <c r="M1189" s="4">
        <v>2.0</v>
      </c>
      <c r="N1189" s="3"/>
      <c r="O1189" s="93"/>
      <c r="P1189" s="3"/>
      <c r="Q1189" s="3"/>
      <c r="R1189" s="3"/>
      <c r="S1189" s="3"/>
      <c r="T1189" s="3"/>
      <c r="U1189" s="6">
        <v>1.0</v>
      </c>
      <c r="V1189" s="3"/>
      <c r="W1189" s="6" t="s">
        <v>435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97"/>
      <c r="BO1189" s="3"/>
      <c r="BP1189" s="3"/>
      <c r="BQ1189" s="10"/>
    </row>
    <row r="1190">
      <c r="A1190" s="1">
        <v>5.0</v>
      </c>
      <c r="B1190" s="2" t="s">
        <v>2118</v>
      </c>
      <c r="C1190" s="2" t="s">
        <v>91</v>
      </c>
      <c r="D1190" s="2" t="s">
        <v>76</v>
      </c>
      <c r="E1190" s="93"/>
      <c r="F1190" s="93"/>
      <c r="G1190" s="93"/>
      <c r="H1190" s="93"/>
      <c r="I1190" s="3" t="str">
        <f t="shared" si="16"/>
        <v>583210501</v>
      </c>
      <c r="J1190" s="3"/>
      <c r="K1190" s="3"/>
      <c r="L1190" s="94" t="s">
        <v>2153</v>
      </c>
      <c r="M1190" s="4">
        <v>2.0</v>
      </c>
      <c r="N1190" s="3"/>
      <c r="O1190" s="93"/>
      <c r="P1190" s="3"/>
      <c r="Q1190" s="3"/>
      <c r="R1190" s="3"/>
      <c r="S1190" s="3"/>
      <c r="T1190" s="3"/>
      <c r="U1190" s="6">
        <v>12.0</v>
      </c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97"/>
      <c r="BO1190" s="3"/>
      <c r="BP1190" s="3"/>
      <c r="BQ1190" s="10"/>
    </row>
    <row r="1191">
      <c r="A1191" s="1">
        <v>5.0</v>
      </c>
      <c r="B1191" s="2" t="s">
        <v>2118</v>
      </c>
      <c r="C1191" s="2" t="s">
        <v>91</v>
      </c>
      <c r="D1191" s="2" t="s">
        <v>119</v>
      </c>
      <c r="E1191" s="93"/>
      <c r="F1191" s="93"/>
      <c r="G1191" s="93"/>
      <c r="H1191" s="93"/>
      <c r="I1191" s="3" t="str">
        <f t="shared" si="16"/>
        <v>583210502</v>
      </c>
      <c r="J1191" s="3"/>
      <c r="K1191" s="3"/>
      <c r="L1191" s="94" t="s">
        <v>2154</v>
      </c>
      <c r="M1191" s="4">
        <v>2.0</v>
      </c>
      <c r="N1191" s="3"/>
      <c r="O1191" s="93"/>
      <c r="P1191" s="3"/>
      <c r="Q1191" s="3"/>
      <c r="R1191" s="3"/>
      <c r="S1191" s="3"/>
      <c r="T1191" s="3"/>
      <c r="U1191" s="6" t="s">
        <v>79</v>
      </c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97"/>
      <c r="BO1191" s="3"/>
      <c r="BP1191" s="3"/>
      <c r="BQ1191" s="10"/>
    </row>
    <row r="1192">
      <c r="A1192" s="1">
        <v>5.0</v>
      </c>
      <c r="B1192" s="2" t="s">
        <v>2118</v>
      </c>
      <c r="C1192" s="2" t="s">
        <v>91</v>
      </c>
      <c r="D1192" s="2" t="s">
        <v>124</v>
      </c>
      <c r="E1192" s="93"/>
      <c r="F1192" s="93"/>
      <c r="G1192" s="93"/>
      <c r="H1192" s="93"/>
      <c r="I1192" s="3" t="str">
        <f t="shared" si="16"/>
        <v>583210503</v>
      </c>
      <c r="J1192" s="3"/>
      <c r="K1192" s="3"/>
      <c r="L1192" s="94" t="s">
        <v>2155</v>
      </c>
      <c r="M1192" s="4">
        <v>2.0</v>
      </c>
      <c r="N1192" s="3"/>
      <c r="O1192" s="93"/>
      <c r="P1192" s="3"/>
      <c r="Q1192" s="3"/>
      <c r="R1192" s="3"/>
      <c r="S1192" s="3"/>
      <c r="T1192" s="3"/>
      <c r="U1192" s="6">
        <v>2.0</v>
      </c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97"/>
      <c r="BO1192" s="3"/>
      <c r="BP1192" s="3"/>
      <c r="BQ1192" s="10"/>
    </row>
    <row r="1193">
      <c r="A1193" s="1">
        <v>5.0</v>
      </c>
      <c r="B1193" s="2" t="s">
        <v>2118</v>
      </c>
      <c r="C1193" s="2" t="s">
        <v>91</v>
      </c>
      <c r="D1193" s="2" t="s">
        <v>127</v>
      </c>
      <c r="E1193" s="93"/>
      <c r="F1193" s="93"/>
      <c r="G1193" s="93"/>
      <c r="H1193" s="93"/>
      <c r="I1193" s="3" t="str">
        <f t="shared" si="16"/>
        <v>583210504</v>
      </c>
      <c r="J1193" s="3"/>
      <c r="K1193" s="3"/>
      <c r="L1193" s="94" t="s">
        <v>2156</v>
      </c>
      <c r="M1193" s="4">
        <v>2.0</v>
      </c>
      <c r="N1193" s="3"/>
      <c r="O1193" s="93"/>
      <c r="P1193" s="3"/>
      <c r="Q1193" s="3"/>
      <c r="R1193" s="3"/>
      <c r="S1193" s="3"/>
      <c r="T1193" s="3"/>
      <c r="U1193" s="6">
        <v>12.0</v>
      </c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97"/>
      <c r="BO1193" s="3"/>
      <c r="BP1193" s="3"/>
      <c r="BQ1193" s="10"/>
    </row>
    <row r="1194">
      <c r="A1194" s="1">
        <v>5.0</v>
      </c>
      <c r="B1194" s="2" t="s">
        <v>2118</v>
      </c>
      <c r="C1194" s="2" t="s">
        <v>91</v>
      </c>
      <c r="D1194" s="2" t="s">
        <v>91</v>
      </c>
      <c r="E1194" s="93"/>
      <c r="F1194" s="93"/>
      <c r="G1194" s="93"/>
      <c r="H1194" s="93"/>
      <c r="I1194" s="3" t="str">
        <f t="shared" si="16"/>
        <v>583210505</v>
      </c>
      <c r="J1194" s="3"/>
      <c r="K1194" s="3"/>
      <c r="L1194" s="94" t="s">
        <v>2157</v>
      </c>
      <c r="M1194" s="4">
        <v>2.0</v>
      </c>
      <c r="N1194" s="3"/>
      <c r="O1194" s="93"/>
      <c r="P1194" s="3"/>
      <c r="Q1194" s="3"/>
      <c r="R1194" s="3"/>
      <c r="S1194" s="3"/>
      <c r="T1194" s="3"/>
      <c r="U1194" s="6" t="s">
        <v>79</v>
      </c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97"/>
      <c r="BO1194" s="3"/>
      <c r="BP1194" s="3"/>
      <c r="BQ1194" s="10"/>
    </row>
    <row r="1195">
      <c r="A1195" s="1">
        <v>4.0</v>
      </c>
      <c r="B1195" s="2" t="s">
        <v>2118</v>
      </c>
      <c r="C1195" s="162" t="s">
        <v>91</v>
      </c>
      <c r="D1195" s="162" t="s">
        <v>133</v>
      </c>
      <c r="E1195" s="93"/>
      <c r="F1195" s="93"/>
      <c r="G1195" s="93"/>
      <c r="H1195" s="93"/>
      <c r="I1195" s="3" t="str">
        <f t="shared" si="16"/>
        <v>583210506</v>
      </c>
      <c r="J1195" s="3"/>
      <c r="K1195" s="3"/>
      <c r="L1195" s="94" t="s">
        <v>2158</v>
      </c>
      <c r="M1195" s="4">
        <v>2.0</v>
      </c>
      <c r="N1195" s="3"/>
      <c r="O1195" s="93"/>
      <c r="P1195" s="3"/>
      <c r="Q1195" s="3"/>
      <c r="R1195" s="3"/>
      <c r="S1195" s="3"/>
      <c r="T1195" s="3"/>
      <c r="U1195" s="6">
        <v>3.0</v>
      </c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97"/>
      <c r="BO1195" s="3"/>
      <c r="BP1195" s="3"/>
      <c r="BQ1195" s="10"/>
    </row>
    <row r="1196">
      <c r="A1196" s="1">
        <v>4.0</v>
      </c>
      <c r="B1196" s="2" t="s">
        <v>2118</v>
      </c>
      <c r="C1196" s="162" t="s">
        <v>91</v>
      </c>
      <c r="D1196" s="162" t="s">
        <v>136</v>
      </c>
      <c r="E1196" s="93"/>
      <c r="F1196" s="93"/>
      <c r="G1196" s="93"/>
      <c r="H1196" s="93"/>
      <c r="I1196" s="3" t="str">
        <f t="shared" si="16"/>
        <v>583210507</v>
      </c>
      <c r="J1196" s="3"/>
      <c r="K1196" s="3"/>
      <c r="L1196" s="94" t="s">
        <v>2159</v>
      </c>
      <c r="M1196" s="4">
        <v>2.0</v>
      </c>
      <c r="N1196" s="3"/>
      <c r="O1196" s="93"/>
      <c r="P1196" s="3"/>
      <c r="Q1196" s="3"/>
      <c r="R1196" s="3"/>
      <c r="S1196" s="3"/>
      <c r="T1196" s="3"/>
      <c r="U1196" s="6">
        <v>1.0</v>
      </c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97"/>
      <c r="BO1196" s="3"/>
      <c r="BP1196" s="3"/>
      <c r="BQ1196" s="10"/>
    </row>
    <row r="1197">
      <c r="A1197" s="1">
        <v>4.0</v>
      </c>
      <c r="B1197" s="2" t="s">
        <v>2118</v>
      </c>
      <c r="C1197" s="162" t="s">
        <v>91</v>
      </c>
      <c r="D1197" s="162" t="s">
        <v>138</v>
      </c>
      <c r="E1197" s="93"/>
      <c r="F1197" s="93"/>
      <c r="G1197" s="93"/>
      <c r="H1197" s="93"/>
      <c r="I1197" s="3" t="str">
        <f t="shared" si="16"/>
        <v>583210508</v>
      </c>
      <c r="J1197" s="3"/>
      <c r="K1197" s="3"/>
      <c r="L1197" s="94" t="s">
        <v>2160</v>
      </c>
      <c r="M1197" s="4">
        <v>2.0</v>
      </c>
      <c r="N1197" s="3"/>
      <c r="O1197" s="93"/>
      <c r="P1197" s="3"/>
      <c r="Q1197" s="3"/>
      <c r="R1197" s="3"/>
      <c r="S1197" s="3"/>
      <c r="T1197" s="3"/>
      <c r="U1197" s="6">
        <v>2.0</v>
      </c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97"/>
      <c r="BO1197" s="3"/>
      <c r="BP1197" s="3"/>
      <c r="BQ1197" s="10"/>
    </row>
    <row r="1198">
      <c r="A1198" s="61">
        <v>4.0</v>
      </c>
      <c r="B1198" s="77" t="s">
        <v>2118</v>
      </c>
      <c r="C1198" s="77" t="s">
        <v>133</v>
      </c>
      <c r="D1198" s="79"/>
      <c r="E1198" s="79"/>
      <c r="F1198" s="79"/>
      <c r="G1198" s="79"/>
      <c r="H1198" s="79"/>
      <c r="I1198" s="80" t="str">
        <f t="shared" si="16"/>
        <v>5832106</v>
      </c>
      <c r="J1198" s="79"/>
      <c r="K1198" s="79"/>
      <c r="L1198" s="59" t="s">
        <v>2161</v>
      </c>
      <c r="M1198" s="84">
        <v>1.0</v>
      </c>
      <c r="N1198" s="82" t="s">
        <v>2162</v>
      </c>
      <c r="O1198" s="58"/>
      <c r="P1198" s="58"/>
      <c r="Q1198" s="58"/>
      <c r="R1198" s="58"/>
      <c r="S1198" s="58"/>
      <c r="T1198" s="58"/>
      <c r="U1198" s="61">
        <v>1.0</v>
      </c>
      <c r="V1198" s="58"/>
      <c r="W1198" s="61" t="s">
        <v>78</v>
      </c>
      <c r="X1198" s="81"/>
      <c r="Y1198" s="81"/>
      <c r="Z1198" s="81"/>
      <c r="AA1198" s="134" t="s">
        <v>79</v>
      </c>
      <c r="AB1198" s="134" t="s">
        <v>79</v>
      </c>
      <c r="AC1198" s="81"/>
      <c r="AD1198" s="81"/>
      <c r="AE1198" s="81"/>
      <c r="AF1198" s="81"/>
      <c r="AG1198" s="81"/>
      <c r="AH1198" s="81"/>
      <c r="AI1198" s="81"/>
      <c r="AJ1198" s="81"/>
      <c r="AK1198" s="81"/>
      <c r="AL1198" s="81"/>
      <c r="AM1198" s="81"/>
      <c r="AN1198" s="81"/>
      <c r="AO1198" s="81"/>
      <c r="AP1198" s="82" t="s">
        <v>80</v>
      </c>
      <c r="AQ1198" s="82">
        <v>5000.0</v>
      </c>
      <c r="AR1198" s="81"/>
      <c r="AS1198" s="81"/>
      <c r="AT1198" s="81"/>
      <c r="AU1198" s="81"/>
      <c r="AV1198" s="82" t="s">
        <v>2163</v>
      </c>
      <c r="AW1198" s="81"/>
      <c r="AX1198" s="81"/>
      <c r="AY1198" s="81"/>
      <c r="AZ1198" s="81"/>
      <c r="BA1198" s="81"/>
      <c r="BB1198" s="81"/>
      <c r="BC1198" s="81"/>
      <c r="BD1198" s="81"/>
      <c r="BE1198" s="81"/>
      <c r="BF1198" s="81"/>
      <c r="BG1198" s="81"/>
      <c r="BH1198" s="80" t="s">
        <v>2121</v>
      </c>
      <c r="BI1198" s="82">
        <v>11.0</v>
      </c>
      <c r="BJ1198" s="80" t="s">
        <v>2164</v>
      </c>
      <c r="BK1198" s="81"/>
      <c r="BL1198" s="79"/>
      <c r="BM1198" s="81"/>
      <c r="BN1198" s="81"/>
      <c r="BO1198" s="83"/>
      <c r="BP1198" s="58"/>
      <c r="BQ1198" s="64"/>
    </row>
    <row r="1199">
      <c r="A1199" s="61">
        <v>5.0</v>
      </c>
      <c r="B1199" s="77" t="s">
        <v>2118</v>
      </c>
      <c r="C1199" s="77" t="s">
        <v>133</v>
      </c>
      <c r="D1199" s="161" t="s">
        <v>76</v>
      </c>
      <c r="E1199" s="79"/>
      <c r="F1199" s="79"/>
      <c r="G1199" s="79"/>
      <c r="H1199" s="79"/>
      <c r="I1199" s="80" t="str">
        <f t="shared" si="16"/>
        <v>583210601</v>
      </c>
      <c r="J1199" s="79"/>
      <c r="K1199" s="79"/>
      <c r="L1199" s="59" t="s">
        <v>2165</v>
      </c>
      <c r="M1199" s="153">
        <v>2.0</v>
      </c>
      <c r="N1199" s="160" t="s">
        <v>2166</v>
      </c>
      <c r="O1199" s="58"/>
      <c r="P1199" s="58"/>
      <c r="Q1199" s="58"/>
      <c r="R1199" s="58"/>
      <c r="S1199" s="58"/>
      <c r="T1199" s="58"/>
      <c r="U1199" s="58"/>
      <c r="V1199" s="58"/>
      <c r="W1199" s="58"/>
      <c r="X1199" s="81"/>
      <c r="Y1199" s="81"/>
      <c r="Z1199" s="81"/>
      <c r="AA1199" s="79"/>
      <c r="AB1199" s="79"/>
      <c r="AC1199" s="81"/>
      <c r="AD1199" s="81"/>
      <c r="AE1199" s="81"/>
      <c r="AF1199" s="81"/>
      <c r="AG1199" s="81"/>
      <c r="AH1199" s="81"/>
      <c r="AI1199" s="81"/>
      <c r="AJ1199" s="81"/>
      <c r="AK1199" s="81"/>
      <c r="AL1199" s="81"/>
      <c r="AM1199" s="81"/>
      <c r="AN1199" s="81"/>
      <c r="AO1199" s="81"/>
      <c r="AP1199" s="81"/>
      <c r="AQ1199" s="81"/>
      <c r="AR1199" s="81"/>
      <c r="AS1199" s="81"/>
      <c r="AT1199" s="81"/>
      <c r="AU1199" s="81"/>
      <c r="AV1199" s="81"/>
      <c r="AW1199" s="81"/>
      <c r="AX1199" s="81"/>
      <c r="AY1199" s="81"/>
      <c r="AZ1199" s="81"/>
      <c r="BA1199" s="81"/>
      <c r="BB1199" s="81"/>
      <c r="BC1199" s="81"/>
      <c r="BD1199" s="81"/>
      <c r="BE1199" s="81"/>
      <c r="BF1199" s="81"/>
      <c r="BG1199" s="81"/>
      <c r="BH1199" s="80" t="s">
        <v>2121</v>
      </c>
      <c r="BI1199" s="82">
        <v>7.0</v>
      </c>
      <c r="BJ1199" s="64"/>
      <c r="BK1199" s="81"/>
      <c r="BL1199" s="79"/>
      <c r="BM1199" s="81"/>
      <c r="BN1199" s="81"/>
      <c r="BO1199" s="83"/>
      <c r="BP1199" s="58"/>
      <c r="BQ1199" s="64"/>
    </row>
    <row r="1200">
      <c r="A1200" s="61">
        <v>5.0</v>
      </c>
      <c r="B1200" s="77" t="s">
        <v>2118</v>
      </c>
      <c r="C1200" s="77" t="s">
        <v>133</v>
      </c>
      <c r="D1200" s="161" t="s">
        <v>119</v>
      </c>
      <c r="E1200" s="79"/>
      <c r="F1200" s="79"/>
      <c r="G1200" s="79"/>
      <c r="H1200" s="79"/>
      <c r="I1200" s="80" t="str">
        <f t="shared" si="16"/>
        <v>583210602</v>
      </c>
      <c r="J1200" s="79"/>
      <c r="K1200" s="79"/>
      <c r="L1200" s="59" t="s">
        <v>2135</v>
      </c>
      <c r="M1200" s="153">
        <v>2.0</v>
      </c>
      <c r="N1200" s="160" t="s">
        <v>2167</v>
      </c>
      <c r="O1200" s="58"/>
      <c r="P1200" s="58"/>
      <c r="Q1200" s="58"/>
      <c r="R1200" s="58"/>
      <c r="S1200" s="58"/>
      <c r="T1200" s="58"/>
      <c r="U1200" s="58"/>
      <c r="V1200" s="58"/>
      <c r="W1200" s="58"/>
      <c r="X1200" s="81"/>
      <c r="Y1200" s="81"/>
      <c r="Z1200" s="81"/>
      <c r="AA1200" s="79"/>
      <c r="AB1200" s="79"/>
      <c r="AC1200" s="81"/>
      <c r="AD1200" s="81"/>
      <c r="AE1200" s="81"/>
      <c r="AF1200" s="81"/>
      <c r="AG1200" s="81"/>
      <c r="AH1200" s="81"/>
      <c r="AI1200" s="81"/>
      <c r="AJ1200" s="81"/>
      <c r="AK1200" s="81"/>
      <c r="AL1200" s="81"/>
      <c r="AM1200" s="81"/>
      <c r="AN1200" s="81"/>
      <c r="AO1200" s="81"/>
      <c r="AP1200" s="81"/>
      <c r="AQ1200" s="81"/>
      <c r="AR1200" s="81"/>
      <c r="AS1200" s="81"/>
      <c r="AT1200" s="81"/>
      <c r="AU1200" s="81"/>
      <c r="AV1200" s="81"/>
      <c r="AW1200" s="81"/>
      <c r="AX1200" s="81"/>
      <c r="AY1200" s="81"/>
      <c r="AZ1200" s="81"/>
      <c r="BA1200" s="81"/>
      <c r="BB1200" s="81"/>
      <c r="BC1200" s="81"/>
      <c r="BD1200" s="82" t="s">
        <v>2168</v>
      </c>
      <c r="BE1200" s="81"/>
      <c r="BF1200" s="81"/>
      <c r="BG1200" s="81"/>
      <c r="BH1200" s="80" t="s">
        <v>2121</v>
      </c>
      <c r="BI1200" s="82">
        <v>7.0</v>
      </c>
      <c r="BJ1200" s="81"/>
      <c r="BK1200" s="81"/>
      <c r="BL1200" s="79"/>
      <c r="BM1200" s="81"/>
      <c r="BN1200" s="81"/>
      <c r="BO1200" s="83"/>
      <c r="BP1200" s="58"/>
      <c r="BQ1200" s="64"/>
    </row>
    <row r="1201">
      <c r="A1201" s="61">
        <v>5.0</v>
      </c>
      <c r="B1201" s="77" t="s">
        <v>2118</v>
      </c>
      <c r="C1201" s="77" t="s">
        <v>133</v>
      </c>
      <c r="D1201" s="161" t="s">
        <v>124</v>
      </c>
      <c r="E1201" s="79"/>
      <c r="F1201" s="79"/>
      <c r="G1201" s="79"/>
      <c r="H1201" s="79"/>
      <c r="I1201" s="80" t="str">
        <f t="shared" si="16"/>
        <v>583210603</v>
      </c>
      <c r="J1201" s="79"/>
      <c r="K1201" s="79"/>
      <c r="L1201" s="59" t="s">
        <v>2169</v>
      </c>
      <c r="M1201" s="153">
        <v>2.0</v>
      </c>
      <c r="N1201" s="155"/>
      <c r="O1201" s="58"/>
      <c r="P1201" s="58"/>
      <c r="Q1201" s="58"/>
      <c r="R1201" s="58"/>
      <c r="S1201" s="58"/>
      <c r="T1201" s="58"/>
      <c r="U1201" s="58"/>
      <c r="V1201" s="58"/>
      <c r="W1201" s="58"/>
      <c r="X1201" s="81"/>
      <c r="Y1201" s="81"/>
      <c r="Z1201" s="81"/>
      <c r="AA1201" s="79"/>
      <c r="AB1201" s="79"/>
      <c r="AC1201" s="81"/>
      <c r="AD1201" s="81"/>
      <c r="AE1201" s="81"/>
      <c r="AF1201" s="81"/>
      <c r="AG1201" s="81"/>
      <c r="AH1201" s="81"/>
      <c r="AI1201" s="81"/>
      <c r="AJ1201" s="81"/>
      <c r="AK1201" s="81"/>
      <c r="AL1201" s="81"/>
      <c r="AM1201" s="81"/>
      <c r="AN1201" s="81"/>
      <c r="AO1201" s="81"/>
      <c r="AP1201" s="81"/>
      <c r="AQ1201" s="82">
        <v>110.0</v>
      </c>
      <c r="AR1201" s="82">
        <v>750.0</v>
      </c>
      <c r="AS1201" s="82">
        <v>500.0</v>
      </c>
      <c r="AT1201" s="82">
        <v>959.0</v>
      </c>
      <c r="AU1201" s="82">
        <v>0.12</v>
      </c>
      <c r="AV1201" s="81"/>
      <c r="AW1201" s="81"/>
      <c r="AX1201" s="81"/>
      <c r="AY1201" s="81"/>
      <c r="AZ1201" s="81"/>
      <c r="BA1201" s="81"/>
      <c r="BB1201" s="81"/>
      <c r="BC1201" s="81"/>
      <c r="BD1201" s="81"/>
      <c r="BE1201" s="81"/>
      <c r="BF1201" s="81"/>
      <c r="BG1201" s="81"/>
      <c r="BH1201" s="80" t="s">
        <v>2121</v>
      </c>
      <c r="BI1201" s="82">
        <v>14.0</v>
      </c>
      <c r="BJ1201" s="80" t="s">
        <v>2170</v>
      </c>
      <c r="BK1201" s="81"/>
      <c r="BL1201" s="79"/>
      <c r="BM1201" s="81"/>
      <c r="BN1201" s="81"/>
      <c r="BO1201" s="83"/>
      <c r="BP1201" s="58"/>
      <c r="BQ1201" s="64"/>
    </row>
    <row r="1202">
      <c r="A1202" s="61">
        <v>5.0</v>
      </c>
      <c r="B1202" s="77" t="s">
        <v>2118</v>
      </c>
      <c r="C1202" s="77" t="s">
        <v>133</v>
      </c>
      <c r="D1202" s="161" t="s">
        <v>127</v>
      </c>
      <c r="E1202" s="79"/>
      <c r="F1202" s="79"/>
      <c r="G1202" s="79"/>
      <c r="H1202" s="79"/>
      <c r="I1202" s="80" t="str">
        <f t="shared" si="16"/>
        <v>583210604</v>
      </c>
      <c r="J1202" s="79"/>
      <c r="K1202" s="79"/>
      <c r="L1202" s="59" t="s">
        <v>2005</v>
      </c>
      <c r="M1202" s="153">
        <v>2.0</v>
      </c>
      <c r="N1202" s="160" t="s">
        <v>2171</v>
      </c>
      <c r="O1202" s="58"/>
      <c r="P1202" s="58"/>
      <c r="Q1202" s="58"/>
      <c r="R1202" s="58"/>
      <c r="S1202" s="58"/>
      <c r="T1202" s="58"/>
      <c r="U1202" s="58"/>
      <c r="V1202" s="58"/>
      <c r="W1202" s="58"/>
      <c r="X1202" s="81"/>
      <c r="Y1202" s="81"/>
      <c r="Z1202" s="81"/>
      <c r="AA1202" s="79"/>
      <c r="AB1202" s="79"/>
      <c r="AC1202" s="81"/>
      <c r="AD1202" s="81"/>
      <c r="AE1202" s="81"/>
      <c r="AF1202" s="81"/>
      <c r="AG1202" s="81"/>
      <c r="AH1202" s="81"/>
      <c r="AI1202" s="81"/>
      <c r="AJ1202" s="81"/>
      <c r="AK1202" s="81"/>
      <c r="AL1202" s="81"/>
      <c r="AM1202" s="81"/>
      <c r="AN1202" s="81"/>
      <c r="AO1202" s="81"/>
      <c r="AP1202" s="81"/>
      <c r="AQ1202" s="81"/>
      <c r="AR1202" s="81"/>
      <c r="AS1202" s="81"/>
      <c r="AT1202" s="81"/>
      <c r="AU1202" s="81"/>
      <c r="AV1202" s="81"/>
      <c r="AW1202" s="81"/>
      <c r="AX1202" s="81"/>
      <c r="AY1202" s="81"/>
      <c r="AZ1202" s="81"/>
      <c r="BA1202" s="81"/>
      <c r="BB1202" s="81"/>
      <c r="BC1202" s="81"/>
      <c r="BD1202" s="81"/>
      <c r="BE1202" s="81"/>
      <c r="BF1202" s="82">
        <v>0.48</v>
      </c>
      <c r="BG1202" s="82">
        <v>230.0</v>
      </c>
      <c r="BH1202" s="80" t="s">
        <v>2121</v>
      </c>
      <c r="BI1202" s="82">
        <v>14.0</v>
      </c>
      <c r="BJ1202" s="80" t="s">
        <v>2170</v>
      </c>
      <c r="BK1202" s="81"/>
      <c r="BL1202" s="79"/>
      <c r="BM1202" s="81"/>
      <c r="BN1202" s="81"/>
      <c r="BO1202" s="83"/>
      <c r="BP1202" s="58"/>
      <c r="BQ1202" s="64"/>
    </row>
    <row r="1203">
      <c r="A1203" s="61">
        <v>5.0</v>
      </c>
      <c r="B1203" s="77" t="s">
        <v>2118</v>
      </c>
      <c r="C1203" s="77" t="s">
        <v>133</v>
      </c>
      <c r="D1203" s="161" t="s">
        <v>91</v>
      </c>
      <c r="E1203" s="79"/>
      <c r="F1203" s="79"/>
      <c r="G1203" s="79"/>
      <c r="H1203" s="79"/>
      <c r="I1203" s="80" t="str">
        <f t="shared" si="16"/>
        <v>583210605</v>
      </c>
      <c r="J1203" s="79"/>
      <c r="K1203" s="79"/>
      <c r="L1203" s="59" t="s">
        <v>2172</v>
      </c>
      <c r="M1203" s="153">
        <v>2.0</v>
      </c>
      <c r="N1203" s="160" t="s">
        <v>2173</v>
      </c>
      <c r="O1203" s="58"/>
      <c r="P1203" s="58"/>
      <c r="Q1203" s="58"/>
      <c r="R1203" s="58"/>
      <c r="S1203" s="58"/>
      <c r="T1203" s="58"/>
      <c r="U1203" s="58"/>
      <c r="V1203" s="58"/>
      <c r="W1203" s="58"/>
      <c r="X1203" s="81"/>
      <c r="Y1203" s="81"/>
      <c r="Z1203" s="81"/>
      <c r="AA1203" s="79"/>
      <c r="AB1203" s="79"/>
      <c r="AC1203" s="81"/>
      <c r="AD1203" s="81"/>
      <c r="AE1203" s="81"/>
      <c r="AF1203" s="81"/>
      <c r="AG1203" s="81"/>
      <c r="AH1203" s="81"/>
      <c r="AI1203" s="81"/>
      <c r="AJ1203" s="81"/>
      <c r="AK1203" s="81"/>
      <c r="AL1203" s="81"/>
      <c r="AM1203" s="81"/>
      <c r="AN1203" s="81"/>
      <c r="AO1203" s="81"/>
      <c r="AP1203" s="81"/>
      <c r="AQ1203" s="81"/>
      <c r="AR1203" s="81"/>
      <c r="AS1203" s="81"/>
      <c r="AT1203" s="81"/>
      <c r="AU1203" s="81"/>
      <c r="AV1203" s="81"/>
      <c r="AW1203" s="81"/>
      <c r="AX1203" s="81"/>
      <c r="AY1203" s="81"/>
      <c r="AZ1203" s="81"/>
      <c r="BA1203" s="81"/>
      <c r="BB1203" s="81"/>
      <c r="BC1203" s="81"/>
      <c r="BD1203" s="81"/>
      <c r="BE1203" s="81"/>
      <c r="BF1203" s="81"/>
      <c r="BG1203" s="81"/>
      <c r="BH1203" s="80" t="s">
        <v>2121</v>
      </c>
      <c r="BI1203" s="82">
        <v>14.0</v>
      </c>
      <c r="BJ1203" s="80" t="s">
        <v>2170</v>
      </c>
      <c r="BK1203" s="81"/>
      <c r="BL1203" s="79"/>
      <c r="BM1203" s="81"/>
      <c r="BN1203" s="81"/>
      <c r="BO1203" s="83"/>
      <c r="BP1203" s="58"/>
      <c r="BQ1203" s="64"/>
    </row>
    <row r="1204">
      <c r="A1204" s="61">
        <v>5.0</v>
      </c>
      <c r="B1204" s="77" t="s">
        <v>2118</v>
      </c>
      <c r="C1204" s="77" t="s">
        <v>133</v>
      </c>
      <c r="D1204" s="161" t="s">
        <v>133</v>
      </c>
      <c r="E1204" s="79"/>
      <c r="F1204" s="79"/>
      <c r="G1204" s="79"/>
      <c r="H1204" s="79"/>
      <c r="I1204" s="80" t="str">
        <f t="shared" si="16"/>
        <v>583210606</v>
      </c>
      <c r="J1204" s="79"/>
      <c r="K1204" s="79"/>
      <c r="L1204" s="59" t="s">
        <v>371</v>
      </c>
      <c r="M1204" s="153">
        <v>2.0</v>
      </c>
      <c r="N1204" s="155"/>
      <c r="O1204" s="58"/>
      <c r="P1204" s="58"/>
      <c r="Q1204" s="58"/>
      <c r="R1204" s="58"/>
      <c r="S1204" s="58"/>
      <c r="T1204" s="58"/>
      <c r="U1204" s="58"/>
      <c r="V1204" s="58"/>
      <c r="W1204" s="58"/>
      <c r="X1204" s="81"/>
      <c r="Y1204" s="81"/>
      <c r="Z1204" s="81"/>
      <c r="AA1204" s="79"/>
      <c r="AB1204" s="79"/>
      <c r="AC1204" s="81"/>
      <c r="AD1204" s="81"/>
      <c r="AE1204" s="81"/>
      <c r="AF1204" s="81"/>
      <c r="AG1204" s="81"/>
      <c r="AH1204" s="81"/>
      <c r="AI1204" s="81"/>
      <c r="AJ1204" s="81"/>
      <c r="AK1204" s="81"/>
      <c r="AL1204" s="81"/>
      <c r="AM1204" s="81"/>
      <c r="AN1204" s="81"/>
      <c r="AO1204" s="81"/>
      <c r="AP1204" s="81"/>
      <c r="AQ1204" s="81"/>
      <c r="AR1204" s="81"/>
      <c r="AS1204" s="81"/>
      <c r="AT1204" s="81"/>
      <c r="AU1204" s="82">
        <v>0.15</v>
      </c>
      <c r="AV1204" s="81"/>
      <c r="AW1204" s="81"/>
      <c r="AX1204" s="81"/>
      <c r="AY1204" s="81"/>
      <c r="AZ1204" s="81"/>
      <c r="BA1204" s="81"/>
      <c r="BB1204" s="81"/>
      <c r="BC1204" s="81"/>
      <c r="BD1204" s="81"/>
      <c r="BE1204" s="81"/>
      <c r="BF1204" s="81"/>
      <c r="BG1204" s="81"/>
      <c r="BH1204" s="80" t="s">
        <v>2121</v>
      </c>
      <c r="BI1204" s="82">
        <v>14.0</v>
      </c>
      <c r="BJ1204" s="80" t="s">
        <v>2170</v>
      </c>
      <c r="BK1204" s="81"/>
      <c r="BL1204" s="79"/>
      <c r="BM1204" s="81"/>
      <c r="BN1204" s="81"/>
      <c r="BO1204" s="83"/>
      <c r="BP1204" s="58"/>
      <c r="BQ1204" s="64"/>
    </row>
    <row r="1205">
      <c r="A1205" s="61">
        <v>5.0</v>
      </c>
      <c r="B1205" s="77" t="s">
        <v>2118</v>
      </c>
      <c r="C1205" s="77" t="s">
        <v>133</v>
      </c>
      <c r="D1205" s="161" t="s">
        <v>136</v>
      </c>
      <c r="E1205" s="79"/>
      <c r="F1205" s="79"/>
      <c r="G1205" s="79"/>
      <c r="H1205" s="79"/>
      <c r="I1205" s="80" t="str">
        <f t="shared" si="16"/>
        <v>583210607</v>
      </c>
      <c r="J1205" s="79"/>
      <c r="K1205" s="79"/>
      <c r="L1205" s="59" t="s">
        <v>2174</v>
      </c>
      <c r="M1205" s="153">
        <v>2.0</v>
      </c>
      <c r="N1205" s="160" t="s">
        <v>2175</v>
      </c>
      <c r="O1205" s="58"/>
      <c r="P1205" s="58"/>
      <c r="Q1205" s="58"/>
      <c r="R1205" s="58"/>
      <c r="S1205" s="58"/>
      <c r="T1205" s="58"/>
      <c r="U1205" s="58"/>
      <c r="V1205" s="58"/>
      <c r="W1205" s="61" t="s">
        <v>160</v>
      </c>
      <c r="X1205" s="81"/>
      <c r="Y1205" s="81"/>
      <c r="Z1205" s="81"/>
      <c r="AA1205" s="79"/>
      <c r="AB1205" s="79"/>
      <c r="AC1205" s="81"/>
      <c r="AD1205" s="81"/>
      <c r="AE1205" s="81"/>
      <c r="AF1205" s="81"/>
      <c r="AG1205" s="81"/>
      <c r="AH1205" s="81"/>
      <c r="AI1205" s="81"/>
      <c r="AJ1205" s="81"/>
      <c r="AK1205" s="81"/>
      <c r="AL1205" s="81"/>
      <c r="AM1205" s="81"/>
      <c r="AN1205" s="81"/>
      <c r="AO1205" s="81"/>
      <c r="AP1205" s="81"/>
      <c r="AQ1205" s="81"/>
      <c r="AR1205" s="81"/>
      <c r="AS1205" s="81"/>
      <c r="AT1205" s="81"/>
      <c r="AU1205" s="81"/>
      <c r="AV1205" s="81"/>
      <c r="AW1205" s="81"/>
      <c r="AX1205" s="81"/>
      <c r="AY1205" s="81"/>
      <c r="AZ1205" s="81"/>
      <c r="BA1205" s="81"/>
      <c r="BB1205" s="81"/>
      <c r="BC1205" s="81"/>
      <c r="BD1205" s="81"/>
      <c r="BE1205" s="81"/>
      <c r="BF1205" s="81"/>
      <c r="BG1205" s="81"/>
      <c r="BH1205" s="80" t="s">
        <v>2121</v>
      </c>
      <c r="BI1205" s="82">
        <v>14.0</v>
      </c>
      <c r="BJ1205" s="80" t="s">
        <v>2170</v>
      </c>
      <c r="BK1205" s="81"/>
      <c r="BL1205" s="79"/>
      <c r="BM1205" s="81"/>
      <c r="BN1205" s="81"/>
      <c r="BO1205" s="83"/>
      <c r="BP1205" s="58"/>
      <c r="BQ1205" s="64"/>
    </row>
    <row r="1206">
      <c r="A1206" s="61">
        <v>5.0</v>
      </c>
      <c r="B1206" s="77" t="s">
        <v>2118</v>
      </c>
      <c r="C1206" s="77" t="s">
        <v>133</v>
      </c>
      <c r="D1206" s="161" t="s">
        <v>138</v>
      </c>
      <c r="E1206" s="79"/>
      <c r="F1206" s="79"/>
      <c r="G1206" s="79"/>
      <c r="H1206" s="79"/>
      <c r="I1206" s="80" t="str">
        <f t="shared" si="16"/>
        <v>583210608</v>
      </c>
      <c r="J1206" s="79"/>
      <c r="K1206" s="79"/>
      <c r="L1206" s="59" t="s">
        <v>2176</v>
      </c>
      <c r="M1206" s="153">
        <v>2.0</v>
      </c>
      <c r="N1206" s="160" t="s">
        <v>2177</v>
      </c>
      <c r="O1206" s="58"/>
      <c r="P1206" s="58"/>
      <c r="Q1206" s="58"/>
      <c r="R1206" s="58"/>
      <c r="S1206" s="58"/>
      <c r="T1206" s="58"/>
      <c r="U1206" s="58"/>
      <c r="V1206" s="58"/>
      <c r="W1206" s="61" t="s">
        <v>160</v>
      </c>
      <c r="X1206" s="81"/>
      <c r="Y1206" s="81"/>
      <c r="Z1206" s="81"/>
      <c r="AA1206" s="79"/>
      <c r="AB1206" s="79"/>
      <c r="AC1206" s="81"/>
      <c r="AD1206" s="81"/>
      <c r="AE1206" s="81"/>
      <c r="AF1206" s="81"/>
      <c r="AG1206" s="81"/>
      <c r="AH1206" s="81"/>
      <c r="AI1206" s="81"/>
      <c r="AJ1206" s="81"/>
      <c r="AK1206" s="81"/>
      <c r="AL1206" s="81"/>
      <c r="AM1206" s="81"/>
      <c r="AN1206" s="81"/>
      <c r="AO1206" s="81"/>
      <c r="AP1206" s="81"/>
      <c r="AQ1206" s="81"/>
      <c r="AR1206" s="81"/>
      <c r="AS1206" s="81"/>
      <c r="AT1206" s="81"/>
      <c r="AU1206" s="81"/>
      <c r="AV1206" s="81"/>
      <c r="AW1206" s="81"/>
      <c r="AX1206" s="81"/>
      <c r="AY1206" s="81"/>
      <c r="AZ1206" s="81"/>
      <c r="BA1206" s="81"/>
      <c r="BB1206" s="81"/>
      <c r="BC1206" s="81"/>
      <c r="BD1206" s="81"/>
      <c r="BE1206" s="81"/>
      <c r="BF1206" s="81"/>
      <c r="BG1206" s="81"/>
      <c r="BH1206" s="80" t="s">
        <v>2121</v>
      </c>
      <c r="BI1206" s="82">
        <v>14.0</v>
      </c>
      <c r="BJ1206" s="80" t="s">
        <v>2170</v>
      </c>
      <c r="BK1206" s="81"/>
      <c r="BL1206" s="79"/>
      <c r="BM1206" s="81"/>
      <c r="BN1206" s="81"/>
      <c r="BO1206" s="83"/>
      <c r="BP1206" s="58"/>
      <c r="BQ1206" s="64"/>
    </row>
    <row r="1207">
      <c r="A1207" s="61">
        <v>5.0</v>
      </c>
      <c r="B1207" s="77" t="s">
        <v>2118</v>
      </c>
      <c r="C1207" s="77" t="s">
        <v>133</v>
      </c>
      <c r="D1207" s="161" t="s">
        <v>142</v>
      </c>
      <c r="E1207" s="79"/>
      <c r="F1207" s="79"/>
      <c r="G1207" s="79"/>
      <c r="H1207" s="79"/>
      <c r="I1207" s="80" t="str">
        <f t="shared" si="16"/>
        <v>583210609</v>
      </c>
      <c r="J1207" s="79"/>
      <c r="K1207" s="79"/>
      <c r="L1207" s="59" t="s">
        <v>2178</v>
      </c>
      <c r="M1207" s="153">
        <v>2.0</v>
      </c>
      <c r="N1207" s="160" t="s">
        <v>2179</v>
      </c>
      <c r="O1207" s="58"/>
      <c r="P1207" s="58"/>
      <c r="Q1207" s="58"/>
      <c r="R1207" s="58"/>
      <c r="S1207" s="58"/>
      <c r="T1207" s="58"/>
      <c r="U1207" s="58"/>
      <c r="V1207" s="58"/>
      <c r="W1207" s="58"/>
      <c r="X1207" s="81"/>
      <c r="Y1207" s="81"/>
      <c r="Z1207" s="81"/>
      <c r="AA1207" s="79"/>
      <c r="AB1207" s="79"/>
      <c r="AC1207" s="81"/>
      <c r="AD1207" s="81"/>
      <c r="AE1207" s="81"/>
      <c r="AF1207" s="81"/>
      <c r="AG1207" s="81"/>
      <c r="AH1207" s="81"/>
      <c r="AI1207" s="81"/>
      <c r="AJ1207" s="81"/>
      <c r="AK1207" s="81"/>
      <c r="AL1207" s="81"/>
      <c r="AM1207" s="81"/>
      <c r="AN1207" s="81"/>
      <c r="AO1207" s="81"/>
      <c r="AP1207" s="81"/>
      <c r="AQ1207" s="81"/>
      <c r="AR1207" s="81"/>
      <c r="AS1207" s="81"/>
      <c r="AT1207" s="81"/>
      <c r="AU1207" s="81"/>
      <c r="AV1207" s="81"/>
      <c r="AW1207" s="81"/>
      <c r="AX1207" s="81"/>
      <c r="AY1207" s="81"/>
      <c r="AZ1207" s="81"/>
      <c r="BA1207" s="81"/>
      <c r="BB1207" s="81"/>
      <c r="BC1207" s="81"/>
      <c r="BD1207" s="81"/>
      <c r="BE1207" s="81"/>
      <c r="BF1207" s="81"/>
      <c r="BG1207" s="81"/>
      <c r="BH1207" s="80" t="s">
        <v>2121</v>
      </c>
      <c r="BI1207" s="82">
        <v>7.0</v>
      </c>
      <c r="BJ1207" s="81"/>
      <c r="BK1207" s="81"/>
      <c r="BL1207" s="79"/>
      <c r="BM1207" s="81"/>
      <c r="BN1207" s="81"/>
      <c r="BO1207" s="83"/>
      <c r="BP1207" s="58"/>
      <c r="BQ1207" s="64"/>
    </row>
    <row r="1208">
      <c r="A1208" s="61">
        <v>5.0</v>
      </c>
      <c r="B1208" s="77" t="s">
        <v>2118</v>
      </c>
      <c r="C1208" s="77" t="s">
        <v>133</v>
      </c>
      <c r="D1208" s="161" t="s">
        <v>149</v>
      </c>
      <c r="E1208" s="79"/>
      <c r="F1208" s="79"/>
      <c r="G1208" s="79"/>
      <c r="H1208" s="79"/>
      <c r="I1208" s="80" t="str">
        <f t="shared" si="16"/>
        <v>58321060A</v>
      </c>
      <c r="J1208" s="79"/>
      <c r="K1208" s="79"/>
      <c r="L1208" s="59" t="s">
        <v>2180</v>
      </c>
      <c r="M1208" s="153">
        <v>2.0</v>
      </c>
      <c r="N1208" s="155"/>
      <c r="O1208" s="58"/>
      <c r="P1208" s="61">
        <v>1102403.0</v>
      </c>
      <c r="Q1208" s="58"/>
      <c r="R1208" s="58"/>
      <c r="S1208" s="59" t="s">
        <v>2181</v>
      </c>
      <c r="T1208" s="58"/>
      <c r="U1208" s="58"/>
      <c r="V1208" s="58"/>
      <c r="W1208" s="58"/>
      <c r="X1208" s="81"/>
      <c r="Y1208" s="81"/>
      <c r="Z1208" s="81"/>
      <c r="AA1208" s="79"/>
      <c r="AB1208" s="79"/>
      <c r="AC1208" s="81"/>
      <c r="AD1208" s="81"/>
      <c r="AE1208" s="81"/>
      <c r="AF1208" s="81"/>
      <c r="AG1208" s="81"/>
      <c r="AH1208" s="81"/>
      <c r="AI1208" s="81"/>
      <c r="AJ1208" s="81"/>
      <c r="AK1208" s="81"/>
      <c r="AL1208" s="81"/>
      <c r="AM1208" s="81"/>
      <c r="AN1208" s="81"/>
      <c r="AO1208" s="81"/>
      <c r="AP1208" s="81"/>
      <c r="AQ1208" s="82">
        <v>55.0</v>
      </c>
      <c r="AR1208" s="82">
        <v>600.0</v>
      </c>
      <c r="AS1208" s="82">
        <v>600.0</v>
      </c>
      <c r="AT1208" s="82">
        <v>260.0</v>
      </c>
      <c r="AU1208" s="81"/>
      <c r="AV1208" s="81"/>
      <c r="AW1208" s="81"/>
      <c r="AX1208" s="81"/>
      <c r="AY1208" s="81"/>
      <c r="AZ1208" s="81"/>
      <c r="BA1208" s="81"/>
      <c r="BB1208" s="81"/>
      <c r="BC1208" s="81"/>
      <c r="BD1208" s="81"/>
      <c r="BE1208" s="81"/>
      <c r="BF1208" s="81"/>
      <c r="BG1208" s="81"/>
      <c r="BH1208" s="80" t="s">
        <v>2121</v>
      </c>
      <c r="BI1208" s="82">
        <v>21.0</v>
      </c>
      <c r="BJ1208" s="80" t="s">
        <v>2182</v>
      </c>
      <c r="BK1208" s="81"/>
      <c r="BL1208" s="79"/>
      <c r="BM1208" s="81"/>
      <c r="BN1208" s="81"/>
      <c r="BO1208" s="83"/>
      <c r="BP1208" s="58"/>
      <c r="BQ1208" s="64"/>
    </row>
    <row r="1209">
      <c r="A1209" s="61">
        <v>5.0</v>
      </c>
      <c r="B1209" s="77" t="s">
        <v>2118</v>
      </c>
      <c r="C1209" s="77" t="s">
        <v>133</v>
      </c>
      <c r="D1209" s="161" t="s">
        <v>151</v>
      </c>
      <c r="E1209" s="79"/>
      <c r="F1209" s="79"/>
      <c r="G1209" s="79"/>
      <c r="H1209" s="79"/>
      <c r="I1209" s="80" t="str">
        <f t="shared" si="16"/>
        <v>58321060B</v>
      </c>
      <c r="J1209" s="79"/>
      <c r="K1209" s="79"/>
      <c r="L1209" s="59" t="s">
        <v>2183</v>
      </c>
      <c r="M1209" s="153">
        <v>2.0</v>
      </c>
      <c r="N1209" s="155"/>
      <c r="O1209" s="58"/>
      <c r="P1209" s="61">
        <v>1103242.0</v>
      </c>
      <c r="Q1209" s="58"/>
      <c r="R1209" s="58"/>
      <c r="S1209" s="59" t="s">
        <v>2184</v>
      </c>
      <c r="T1209" s="58"/>
      <c r="U1209" s="58"/>
      <c r="V1209" s="58"/>
      <c r="W1209" s="58"/>
      <c r="X1209" s="81"/>
      <c r="Y1209" s="81"/>
      <c r="Z1209" s="81"/>
      <c r="AA1209" s="79"/>
      <c r="AB1209" s="79"/>
      <c r="AC1209" s="81"/>
      <c r="AD1209" s="81"/>
      <c r="AE1209" s="81"/>
      <c r="AF1209" s="81"/>
      <c r="AG1209" s="81"/>
      <c r="AH1209" s="81"/>
      <c r="AI1209" s="81"/>
      <c r="AJ1209" s="81"/>
      <c r="AK1209" s="81"/>
      <c r="AL1209" s="81"/>
      <c r="AM1209" s="81"/>
      <c r="AN1209" s="81"/>
      <c r="AO1209" s="81"/>
      <c r="AP1209" s="81"/>
      <c r="AQ1209" s="81"/>
      <c r="AR1209" s="82">
        <v>78.0</v>
      </c>
      <c r="AS1209" s="82">
        <v>233.0</v>
      </c>
      <c r="AT1209" s="82">
        <v>60.0</v>
      </c>
      <c r="AU1209" s="81"/>
      <c r="AV1209" s="81"/>
      <c r="AW1209" s="81"/>
      <c r="AX1209" s="81"/>
      <c r="AY1209" s="81"/>
      <c r="AZ1209" s="81"/>
      <c r="BA1209" s="81"/>
      <c r="BB1209" s="81"/>
      <c r="BC1209" s="81"/>
      <c r="BD1209" s="81"/>
      <c r="BE1209" s="81"/>
      <c r="BF1209" s="81"/>
      <c r="BG1209" s="81"/>
      <c r="BH1209" s="80" t="s">
        <v>2121</v>
      </c>
      <c r="BI1209" s="82">
        <v>22.0</v>
      </c>
      <c r="BJ1209" s="80" t="s">
        <v>2185</v>
      </c>
      <c r="BK1209" s="81"/>
      <c r="BL1209" s="79"/>
      <c r="BM1209" s="81"/>
      <c r="BN1209" s="81"/>
      <c r="BO1209" s="83"/>
      <c r="BP1209" s="58"/>
      <c r="BQ1209" s="64"/>
    </row>
    <row r="1210">
      <c r="A1210" s="61">
        <v>4.0</v>
      </c>
      <c r="B1210" s="77" t="s">
        <v>2118</v>
      </c>
      <c r="C1210" s="77" t="s">
        <v>136</v>
      </c>
      <c r="D1210" s="79"/>
      <c r="E1210" s="79"/>
      <c r="F1210" s="79"/>
      <c r="G1210" s="79"/>
      <c r="H1210" s="79"/>
      <c r="I1210" s="80" t="str">
        <f t="shared" si="16"/>
        <v>5832107</v>
      </c>
      <c r="J1210" s="79"/>
      <c r="K1210" s="79"/>
      <c r="L1210" s="59" t="s">
        <v>2186</v>
      </c>
      <c r="M1210" s="153">
        <v>1.0</v>
      </c>
      <c r="N1210" s="160" t="s">
        <v>2187</v>
      </c>
      <c r="O1210" s="58"/>
      <c r="P1210" s="58"/>
      <c r="Q1210" s="58"/>
      <c r="R1210" s="58"/>
      <c r="S1210" s="58"/>
      <c r="T1210" s="58"/>
      <c r="U1210" s="61">
        <v>1.0</v>
      </c>
      <c r="V1210" s="58"/>
      <c r="W1210" s="61" t="s">
        <v>78</v>
      </c>
      <c r="X1210" s="81"/>
      <c r="Y1210" s="81"/>
      <c r="Z1210" s="81"/>
      <c r="AA1210" s="134" t="s">
        <v>79</v>
      </c>
      <c r="AB1210" s="134" t="s">
        <v>79</v>
      </c>
      <c r="AC1210" s="81"/>
      <c r="AD1210" s="81"/>
      <c r="AE1210" s="81"/>
      <c r="AF1210" s="81"/>
      <c r="AG1210" s="81"/>
      <c r="AH1210" s="81"/>
      <c r="AI1210" s="81"/>
      <c r="AJ1210" s="81"/>
      <c r="AK1210" s="81"/>
      <c r="AL1210" s="81"/>
      <c r="AM1210" s="81"/>
      <c r="AN1210" s="81"/>
      <c r="AO1210" s="81"/>
      <c r="AP1210" s="82" t="s">
        <v>80</v>
      </c>
      <c r="AQ1210" s="82">
        <v>505.0</v>
      </c>
      <c r="AR1210" s="82">
        <v>4500.0</v>
      </c>
      <c r="AS1210" s="82">
        <v>1960.0</v>
      </c>
      <c r="AT1210" s="82">
        <v>1960.0</v>
      </c>
      <c r="AU1210" s="81"/>
      <c r="AV1210" s="81"/>
      <c r="AW1210" s="81"/>
      <c r="AX1210" s="81"/>
      <c r="AY1210" s="81"/>
      <c r="AZ1210" s="81"/>
      <c r="BA1210" s="81"/>
      <c r="BB1210" s="81"/>
      <c r="BC1210" s="81"/>
      <c r="BD1210" s="81"/>
      <c r="BE1210" s="81"/>
      <c r="BF1210" s="81"/>
      <c r="BG1210" s="81"/>
      <c r="BH1210" s="80" t="s">
        <v>2121</v>
      </c>
      <c r="BI1210" s="82">
        <v>39.0</v>
      </c>
      <c r="BJ1210" s="80" t="s">
        <v>2188</v>
      </c>
      <c r="BK1210" s="81"/>
      <c r="BL1210" s="79"/>
      <c r="BM1210" s="81"/>
      <c r="BN1210" s="81"/>
      <c r="BO1210" s="83"/>
      <c r="BP1210" s="58"/>
      <c r="BQ1210" s="64"/>
    </row>
    <row r="1211">
      <c r="A1211" s="61">
        <v>5.0</v>
      </c>
      <c r="B1211" s="77" t="s">
        <v>2118</v>
      </c>
      <c r="C1211" s="77" t="s">
        <v>136</v>
      </c>
      <c r="D1211" s="161" t="s">
        <v>76</v>
      </c>
      <c r="E1211" s="79"/>
      <c r="F1211" s="79"/>
      <c r="G1211" s="79"/>
      <c r="H1211" s="79"/>
      <c r="I1211" s="80" t="str">
        <f t="shared" si="16"/>
        <v>583210701</v>
      </c>
      <c r="J1211" s="79"/>
      <c r="K1211" s="79"/>
      <c r="L1211" s="59" t="s">
        <v>2189</v>
      </c>
      <c r="M1211" s="153">
        <v>2.0</v>
      </c>
      <c r="N1211" s="160" t="s">
        <v>2190</v>
      </c>
      <c r="O1211" s="58"/>
      <c r="P1211" s="58"/>
      <c r="Q1211" s="58"/>
      <c r="R1211" s="58"/>
      <c r="S1211" s="58"/>
      <c r="T1211" s="58"/>
      <c r="U1211" s="58"/>
      <c r="V1211" s="58"/>
      <c r="W1211" s="58"/>
      <c r="X1211" s="81"/>
      <c r="Y1211" s="81"/>
      <c r="Z1211" s="81"/>
      <c r="AA1211" s="79"/>
      <c r="AB1211" s="79"/>
      <c r="AC1211" s="81"/>
      <c r="AD1211" s="81"/>
      <c r="AE1211" s="81"/>
      <c r="AF1211" s="81"/>
      <c r="AG1211" s="81"/>
      <c r="AH1211" s="81"/>
      <c r="AI1211" s="81"/>
      <c r="AJ1211" s="81"/>
      <c r="AK1211" s="81"/>
      <c r="AL1211" s="81"/>
      <c r="AM1211" s="81"/>
      <c r="AN1211" s="81"/>
      <c r="AO1211" s="81"/>
      <c r="AP1211" s="81"/>
      <c r="AQ1211" s="81"/>
      <c r="AR1211" s="81"/>
      <c r="AS1211" s="81"/>
      <c r="AT1211" s="81"/>
      <c r="AU1211" s="81"/>
      <c r="AV1211" s="81"/>
      <c r="AW1211" s="81"/>
      <c r="AX1211" s="81"/>
      <c r="AY1211" s="81"/>
      <c r="AZ1211" s="81"/>
      <c r="BA1211" s="81"/>
      <c r="BB1211" s="81"/>
      <c r="BC1211" s="81"/>
      <c r="BD1211" s="81"/>
      <c r="BE1211" s="81"/>
      <c r="BF1211" s="81"/>
      <c r="BG1211" s="81"/>
      <c r="BH1211" s="80" t="s">
        <v>2121</v>
      </c>
      <c r="BI1211" s="82">
        <v>35.0</v>
      </c>
      <c r="BJ1211" s="81"/>
      <c r="BK1211" s="81"/>
      <c r="BL1211" s="79"/>
      <c r="BM1211" s="81"/>
      <c r="BN1211" s="81"/>
      <c r="BO1211" s="83"/>
      <c r="BP1211" s="58"/>
      <c r="BQ1211" s="64"/>
    </row>
    <row r="1212">
      <c r="A1212" s="61">
        <v>5.0</v>
      </c>
      <c r="B1212" s="77" t="s">
        <v>2118</v>
      </c>
      <c r="C1212" s="77" t="s">
        <v>136</v>
      </c>
      <c r="D1212" s="161" t="s">
        <v>119</v>
      </c>
      <c r="E1212" s="79"/>
      <c r="F1212" s="79"/>
      <c r="G1212" s="79"/>
      <c r="H1212" s="79"/>
      <c r="I1212" s="80" t="str">
        <f t="shared" si="16"/>
        <v>583210702</v>
      </c>
      <c r="J1212" s="79"/>
      <c r="K1212" s="79"/>
      <c r="L1212" s="59" t="s">
        <v>2191</v>
      </c>
      <c r="M1212" s="153">
        <v>2.0</v>
      </c>
      <c r="N1212" s="155"/>
      <c r="O1212" s="58"/>
      <c r="P1212" s="58"/>
      <c r="Q1212" s="58"/>
      <c r="R1212" s="58"/>
      <c r="S1212" s="58"/>
      <c r="T1212" s="58"/>
      <c r="U1212" s="58"/>
      <c r="V1212" s="58"/>
      <c r="W1212" s="58"/>
      <c r="X1212" s="81"/>
      <c r="Y1212" s="81"/>
      <c r="Z1212" s="81"/>
      <c r="AA1212" s="79"/>
      <c r="AB1212" s="79"/>
      <c r="AC1212" s="81"/>
      <c r="AD1212" s="81"/>
      <c r="AE1212" s="81"/>
      <c r="AF1212" s="81"/>
      <c r="AG1212" s="81"/>
      <c r="AH1212" s="81"/>
      <c r="AI1212" s="81"/>
      <c r="AJ1212" s="81"/>
      <c r="AK1212" s="81"/>
      <c r="AL1212" s="81"/>
      <c r="AM1212" s="81"/>
      <c r="AN1212" s="81"/>
      <c r="AO1212" s="81"/>
      <c r="AP1212" s="81"/>
      <c r="AQ1212" s="81"/>
      <c r="AR1212" s="81"/>
      <c r="AS1212" s="81"/>
      <c r="AT1212" s="81"/>
      <c r="AU1212" s="81"/>
      <c r="AV1212" s="81"/>
      <c r="AW1212" s="81"/>
      <c r="AX1212" s="81"/>
      <c r="AY1212" s="81"/>
      <c r="AZ1212" s="81"/>
      <c r="BA1212" s="81"/>
      <c r="BB1212" s="81"/>
      <c r="BC1212" s="81"/>
      <c r="BD1212" s="81"/>
      <c r="BE1212" s="81"/>
      <c r="BF1212" s="81"/>
      <c r="BG1212" s="81"/>
      <c r="BH1212" s="80" t="s">
        <v>2121</v>
      </c>
      <c r="BI1212" s="82">
        <v>35.0</v>
      </c>
      <c r="BJ1212" s="81"/>
      <c r="BK1212" s="81"/>
      <c r="BL1212" s="79"/>
      <c r="BM1212" s="81"/>
      <c r="BN1212" s="81"/>
      <c r="BO1212" s="83"/>
      <c r="BP1212" s="58"/>
      <c r="BQ1212" s="64"/>
    </row>
    <row r="1213">
      <c r="A1213" s="61">
        <v>5.0</v>
      </c>
      <c r="B1213" s="77" t="s">
        <v>2118</v>
      </c>
      <c r="C1213" s="77" t="s">
        <v>136</v>
      </c>
      <c r="D1213" s="161" t="s">
        <v>124</v>
      </c>
      <c r="E1213" s="79"/>
      <c r="F1213" s="79"/>
      <c r="G1213" s="79"/>
      <c r="H1213" s="79"/>
      <c r="I1213" s="80" t="str">
        <f t="shared" si="16"/>
        <v>583210703</v>
      </c>
      <c r="J1213" s="79"/>
      <c r="K1213" s="79"/>
      <c r="L1213" s="59" t="s">
        <v>2131</v>
      </c>
      <c r="M1213" s="153">
        <v>2.0</v>
      </c>
      <c r="N1213" s="155"/>
      <c r="O1213" s="81"/>
      <c r="P1213" s="81"/>
      <c r="Q1213" s="81"/>
      <c r="R1213" s="81"/>
      <c r="S1213" s="81"/>
      <c r="T1213" s="81"/>
      <c r="U1213" s="58"/>
      <c r="V1213" s="81"/>
      <c r="W1213" s="81"/>
      <c r="X1213" s="81"/>
      <c r="Y1213" s="81"/>
      <c r="Z1213" s="81"/>
      <c r="AA1213" s="79"/>
      <c r="AB1213" s="79"/>
      <c r="AC1213" s="81"/>
      <c r="AD1213" s="81"/>
      <c r="AE1213" s="81"/>
      <c r="AF1213" s="81"/>
      <c r="AG1213" s="81"/>
      <c r="AH1213" s="81"/>
      <c r="AI1213" s="81"/>
      <c r="AJ1213" s="81"/>
      <c r="AK1213" s="81"/>
      <c r="AL1213" s="81"/>
      <c r="AM1213" s="81"/>
      <c r="AN1213" s="81"/>
      <c r="AO1213" s="81"/>
      <c r="AP1213" s="81"/>
      <c r="AQ1213" s="81"/>
      <c r="AR1213" s="81"/>
      <c r="AS1213" s="81"/>
      <c r="AT1213" s="81"/>
      <c r="AU1213" s="82">
        <v>0.05</v>
      </c>
      <c r="AV1213" s="81"/>
      <c r="AW1213" s="81"/>
      <c r="AX1213" s="81"/>
      <c r="AY1213" s="81"/>
      <c r="AZ1213" s="81"/>
      <c r="BA1213" s="81"/>
      <c r="BB1213" s="81"/>
      <c r="BC1213" s="81"/>
      <c r="BD1213" s="81"/>
      <c r="BE1213" s="81"/>
      <c r="BF1213" s="81"/>
      <c r="BG1213" s="81"/>
      <c r="BH1213" s="80" t="s">
        <v>2121</v>
      </c>
      <c r="BI1213" s="82">
        <v>35.0</v>
      </c>
      <c r="BJ1213" s="81"/>
      <c r="BK1213" s="81"/>
      <c r="BL1213" s="79"/>
      <c r="BM1213" s="81"/>
      <c r="BN1213" s="81"/>
      <c r="BO1213" s="83"/>
      <c r="BP1213" s="58"/>
      <c r="BQ1213" s="64"/>
    </row>
    <row r="1214">
      <c r="A1214" s="61">
        <v>5.0</v>
      </c>
      <c r="B1214" s="77" t="s">
        <v>2118</v>
      </c>
      <c r="C1214" s="77" t="s">
        <v>136</v>
      </c>
      <c r="D1214" s="161" t="s">
        <v>127</v>
      </c>
      <c r="E1214" s="79"/>
      <c r="F1214" s="79"/>
      <c r="G1214" s="79"/>
      <c r="H1214" s="79"/>
      <c r="I1214" s="80" t="str">
        <f t="shared" si="16"/>
        <v>583210704</v>
      </c>
      <c r="J1214" s="79"/>
      <c r="K1214" s="79"/>
      <c r="L1214" s="59" t="s">
        <v>2192</v>
      </c>
      <c r="M1214" s="153">
        <v>2.0</v>
      </c>
      <c r="N1214" s="155"/>
      <c r="O1214" s="81"/>
      <c r="P1214" s="81"/>
      <c r="Q1214" s="81"/>
      <c r="R1214" s="81"/>
      <c r="S1214" s="81"/>
      <c r="T1214" s="81"/>
      <c r="U1214" s="58"/>
      <c r="V1214" s="81"/>
      <c r="W1214" s="81"/>
      <c r="X1214" s="81"/>
      <c r="Y1214" s="81"/>
      <c r="Z1214" s="81"/>
      <c r="AA1214" s="79"/>
      <c r="AB1214" s="79"/>
      <c r="AC1214" s="81"/>
      <c r="AD1214" s="81"/>
      <c r="AE1214" s="81"/>
      <c r="AF1214" s="81"/>
      <c r="AG1214" s="81"/>
      <c r="AH1214" s="81"/>
      <c r="AI1214" s="81"/>
      <c r="AJ1214" s="81"/>
      <c r="AK1214" s="81"/>
      <c r="AL1214" s="81"/>
      <c r="AM1214" s="81"/>
      <c r="AN1214" s="81"/>
      <c r="AO1214" s="81"/>
      <c r="AP1214" s="81"/>
      <c r="AQ1214" s="81"/>
      <c r="AR1214" s="81"/>
      <c r="AS1214" s="81"/>
      <c r="AT1214" s="81"/>
      <c r="AU1214" s="81"/>
      <c r="AV1214" s="81"/>
      <c r="AW1214" s="81"/>
      <c r="AX1214" s="81"/>
      <c r="AY1214" s="81"/>
      <c r="AZ1214" s="81"/>
      <c r="BA1214" s="81"/>
      <c r="BB1214" s="81"/>
      <c r="BC1214" s="81"/>
      <c r="BD1214" s="81"/>
      <c r="BE1214" s="81"/>
      <c r="BF1214" s="81"/>
      <c r="BG1214" s="81"/>
      <c r="BH1214" s="80" t="s">
        <v>2121</v>
      </c>
      <c r="BI1214" s="82">
        <v>35.0</v>
      </c>
      <c r="BJ1214" s="81"/>
      <c r="BK1214" s="81"/>
      <c r="BL1214" s="79"/>
      <c r="BM1214" s="81"/>
      <c r="BN1214" s="81"/>
      <c r="BO1214" s="83"/>
      <c r="BP1214" s="58"/>
      <c r="BQ1214" s="64"/>
    </row>
    <row r="1215">
      <c r="A1215" s="61">
        <v>5.0</v>
      </c>
      <c r="B1215" s="77" t="s">
        <v>2118</v>
      </c>
      <c r="C1215" s="77" t="s">
        <v>136</v>
      </c>
      <c r="D1215" s="161" t="s">
        <v>91</v>
      </c>
      <c r="E1215" s="79"/>
      <c r="F1215" s="79"/>
      <c r="G1215" s="79"/>
      <c r="H1215" s="79"/>
      <c r="I1215" s="80" t="str">
        <f t="shared" si="16"/>
        <v>583210705</v>
      </c>
      <c r="J1215" s="79"/>
      <c r="K1215" s="79"/>
      <c r="L1215" s="59" t="s">
        <v>2193</v>
      </c>
      <c r="M1215" s="153">
        <v>2.0</v>
      </c>
      <c r="N1215" s="155"/>
      <c r="O1215" s="81"/>
      <c r="P1215" s="81"/>
      <c r="Q1215" s="81"/>
      <c r="R1215" s="81"/>
      <c r="S1215" s="81"/>
      <c r="T1215" s="81"/>
      <c r="U1215" s="58"/>
      <c r="V1215" s="81"/>
      <c r="W1215" s="81"/>
      <c r="X1215" s="81"/>
      <c r="Y1215" s="81"/>
      <c r="Z1215" s="81"/>
      <c r="AA1215" s="79"/>
      <c r="AB1215" s="79"/>
      <c r="AC1215" s="81"/>
      <c r="AD1215" s="81"/>
      <c r="AE1215" s="81"/>
      <c r="AF1215" s="81"/>
      <c r="AG1215" s="81"/>
      <c r="AH1215" s="81"/>
      <c r="AI1215" s="81"/>
      <c r="AJ1215" s="81"/>
      <c r="AK1215" s="81"/>
      <c r="AL1215" s="81"/>
      <c r="AM1215" s="81"/>
      <c r="AN1215" s="81"/>
      <c r="AO1215" s="81"/>
      <c r="AP1215" s="81"/>
      <c r="AQ1215" s="81"/>
      <c r="AR1215" s="81"/>
      <c r="AS1215" s="81"/>
      <c r="AT1215" s="81"/>
      <c r="AU1215" s="81"/>
      <c r="AV1215" s="81"/>
      <c r="AW1215" s="81"/>
      <c r="AX1215" s="81"/>
      <c r="AY1215" s="81"/>
      <c r="AZ1215" s="81"/>
      <c r="BA1215" s="81"/>
      <c r="BB1215" s="81"/>
      <c r="BC1215" s="81"/>
      <c r="BD1215" s="81"/>
      <c r="BE1215" s="81"/>
      <c r="BF1215" s="81"/>
      <c r="BG1215" s="81"/>
      <c r="BH1215" s="80" t="s">
        <v>2121</v>
      </c>
      <c r="BI1215" s="82">
        <v>35.0</v>
      </c>
      <c r="BJ1215" s="81"/>
      <c r="BK1215" s="81"/>
      <c r="BL1215" s="79"/>
      <c r="BM1215" s="81"/>
      <c r="BN1215" s="81"/>
      <c r="BO1215" s="83"/>
      <c r="BP1215" s="58"/>
      <c r="BQ1215" s="64"/>
    </row>
    <row r="1216">
      <c r="A1216" s="61">
        <v>5.0</v>
      </c>
      <c r="B1216" s="77" t="s">
        <v>2118</v>
      </c>
      <c r="C1216" s="77" t="s">
        <v>136</v>
      </c>
      <c r="D1216" s="161" t="s">
        <v>133</v>
      </c>
      <c r="E1216" s="79"/>
      <c r="F1216" s="79"/>
      <c r="G1216" s="79"/>
      <c r="H1216" s="79"/>
      <c r="I1216" s="80" t="str">
        <f t="shared" si="16"/>
        <v>583210706</v>
      </c>
      <c r="J1216" s="79"/>
      <c r="K1216" s="79"/>
      <c r="L1216" s="59" t="s">
        <v>2135</v>
      </c>
      <c r="M1216" s="153">
        <v>2.0</v>
      </c>
      <c r="N1216" s="155"/>
      <c r="O1216" s="81"/>
      <c r="P1216" s="81"/>
      <c r="Q1216" s="81"/>
      <c r="R1216" s="81"/>
      <c r="S1216" s="81"/>
      <c r="T1216" s="81"/>
      <c r="U1216" s="58"/>
      <c r="V1216" s="81"/>
      <c r="W1216" s="81"/>
      <c r="X1216" s="81"/>
      <c r="Y1216" s="81"/>
      <c r="Z1216" s="81"/>
      <c r="AA1216" s="79"/>
      <c r="AB1216" s="79"/>
      <c r="AC1216" s="81"/>
      <c r="AD1216" s="81"/>
      <c r="AE1216" s="81"/>
      <c r="AF1216" s="81"/>
      <c r="AG1216" s="81"/>
      <c r="AH1216" s="81"/>
      <c r="AI1216" s="81"/>
      <c r="AJ1216" s="81"/>
      <c r="AK1216" s="81"/>
      <c r="AL1216" s="81"/>
      <c r="AM1216" s="81"/>
      <c r="AN1216" s="81"/>
      <c r="AO1216" s="81"/>
      <c r="AP1216" s="81"/>
      <c r="AQ1216" s="81"/>
      <c r="AR1216" s="81"/>
      <c r="AS1216" s="81"/>
      <c r="AT1216" s="81"/>
      <c r="AU1216" s="81"/>
      <c r="AV1216" s="82" t="s">
        <v>2138</v>
      </c>
      <c r="AW1216" s="81"/>
      <c r="AX1216" s="81"/>
      <c r="AY1216" s="81"/>
      <c r="AZ1216" s="81"/>
      <c r="BA1216" s="81"/>
      <c r="BB1216" s="81"/>
      <c r="BC1216" s="81"/>
      <c r="BD1216" s="81"/>
      <c r="BE1216" s="81"/>
      <c r="BF1216" s="81"/>
      <c r="BG1216" s="81"/>
      <c r="BH1216" s="80" t="s">
        <v>2121</v>
      </c>
      <c r="BI1216" s="82">
        <v>35.0</v>
      </c>
      <c r="BJ1216" s="81"/>
      <c r="BK1216" s="81"/>
      <c r="BL1216" s="79"/>
      <c r="BM1216" s="81"/>
      <c r="BN1216" s="81"/>
      <c r="BO1216" s="83"/>
      <c r="BP1216" s="58"/>
      <c r="BQ1216" s="64"/>
    </row>
    <row r="1217">
      <c r="A1217" s="61">
        <v>5.0</v>
      </c>
      <c r="B1217" s="77" t="s">
        <v>2118</v>
      </c>
      <c r="C1217" s="77" t="s">
        <v>136</v>
      </c>
      <c r="D1217" s="161" t="s">
        <v>136</v>
      </c>
      <c r="E1217" s="79"/>
      <c r="F1217" s="79"/>
      <c r="G1217" s="79"/>
      <c r="H1217" s="79"/>
      <c r="I1217" s="80" t="str">
        <f t="shared" si="16"/>
        <v>583210707</v>
      </c>
      <c r="J1217" s="79"/>
      <c r="K1217" s="79"/>
      <c r="L1217" s="59" t="s">
        <v>2194</v>
      </c>
      <c r="M1217" s="153">
        <v>2.0</v>
      </c>
      <c r="N1217" s="155"/>
      <c r="O1217" s="81"/>
      <c r="P1217" s="81"/>
      <c r="Q1217" s="81"/>
      <c r="R1217" s="81"/>
      <c r="S1217" s="81"/>
      <c r="T1217" s="81"/>
      <c r="U1217" s="58"/>
      <c r="V1217" s="81"/>
      <c r="W1217" s="81"/>
      <c r="X1217" s="81"/>
      <c r="Y1217" s="81"/>
      <c r="Z1217" s="81"/>
      <c r="AA1217" s="79"/>
      <c r="AB1217" s="79"/>
      <c r="AC1217" s="81"/>
      <c r="AD1217" s="81"/>
      <c r="AE1217" s="81"/>
      <c r="AF1217" s="81"/>
      <c r="AG1217" s="81"/>
      <c r="AH1217" s="81"/>
      <c r="AI1217" s="81"/>
      <c r="AJ1217" s="81"/>
      <c r="AK1217" s="81"/>
      <c r="AL1217" s="81"/>
      <c r="AM1217" s="81"/>
      <c r="AN1217" s="81"/>
      <c r="AO1217" s="81"/>
      <c r="AP1217" s="81"/>
      <c r="AQ1217" s="81"/>
      <c r="AR1217" s="81"/>
      <c r="AS1217" s="81"/>
      <c r="AT1217" s="81"/>
      <c r="AU1217" s="81"/>
      <c r="AV1217" s="81"/>
      <c r="AW1217" s="81"/>
      <c r="AX1217" s="81"/>
      <c r="AY1217" s="81"/>
      <c r="AZ1217" s="81"/>
      <c r="BA1217" s="81"/>
      <c r="BB1217" s="81"/>
      <c r="BC1217" s="81"/>
      <c r="BD1217" s="81"/>
      <c r="BE1217" s="81"/>
      <c r="BF1217" s="81"/>
      <c r="BG1217" s="81"/>
      <c r="BH1217" s="80" t="s">
        <v>2121</v>
      </c>
      <c r="BI1217" s="82">
        <v>35.0</v>
      </c>
      <c r="BJ1217" s="81"/>
      <c r="BK1217" s="81"/>
      <c r="BL1217" s="79"/>
      <c r="BM1217" s="81"/>
      <c r="BN1217" s="81"/>
      <c r="BO1217" s="83"/>
      <c r="BP1217" s="58"/>
      <c r="BQ1217" s="64"/>
    </row>
    <row r="1218">
      <c r="A1218" s="61">
        <v>5.0</v>
      </c>
      <c r="B1218" s="77" t="s">
        <v>2118</v>
      </c>
      <c r="C1218" s="77" t="s">
        <v>136</v>
      </c>
      <c r="D1218" s="161" t="s">
        <v>138</v>
      </c>
      <c r="E1218" s="79"/>
      <c r="F1218" s="79"/>
      <c r="G1218" s="79"/>
      <c r="H1218" s="79"/>
      <c r="I1218" s="80" t="str">
        <f t="shared" si="16"/>
        <v>583210708</v>
      </c>
      <c r="J1218" s="79"/>
      <c r="K1218" s="79"/>
      <c r="L1218" s="59" t="s">
        <v>2195</v>
      </c>
      <c r="M1218" s="153">
        <v>2.0</v>
      </c>
      <c r="N1218" s="155"/>
      <c r="O1218" s="81"/>
      <c r="P1218" s="81"/>
      <c r="Q1218" s="81"/>
      <c r="R1218" s="81"/>
      <c r="S1218" s="81"/>
      <c r="T1218" s="81"/>
      <c r="U1218" s="58"/>
      <c r="V1218" s="81"/>
      <c r="W1218" s="81"/>
      <c r="X1218" s="81"/>
      <c r="Y1218" s="81"/>
      <c r="Z1218" s="81"/>
      <c r="AA1218" s="79"/>
      <c r="AB1218" s="79"/>
      <c r="AC1218" s="81"/>
      <c r="AD1218" s="81"/>
      <c r="AE1218" s="81"/>
      <c r="AF1218" s="81"/>
      <c r="AG1218" s="81"/>
      <c r="AH1218" s="81"/>
      <c r="AI1218" s="81"/>
      <c r="AJ1218" s="81"/>
      <c r="AK1218" s="81"/>
      <c r="AL1218" s="81"/>
      <c r="AM1218" s="81"/>
      <c r="AN1218" s="81"/>
      <c r="AO1218" s="81"/>
      <c r="AP1218" s="81"/>
      <c r="AQ1218" s="81"/>
      <c r="AR1218" s="81"/>
      <c r="AS1218" s="81"/>
      <c r="AT1218" s="81"/>
      <c r="AU1218" s="81"/>
      <c r="AV1218" s="82" t="s">
        <v>2138</v>
      </c>
      <c r="AW1218" s="81"/>
      <c r="AX1218" s="81"/>
      <c r="AY1218" s="81"/>
      <c r="AZ1218" s="81"/>
      <c r="BA1218" s="81"/>
      <c r="BB1218" s="81"/>
      <c r="BC1218" s="81"/>
      <c r="BD1218" s="81"/>
      <c r="BE1218" s="81"/>
      <c r="BF1218" s="81"/>
      <c r="BG1218" s="81"/>
      <c r="BH1218" s="80" t="s">
        <v>2121</v>
      </c>
      <c r="BI1218" s="82">
        <v>35.0</v>
      </c>
      <c r="BJ1218" s="81"/>
      <c r="BK1218" s="81"/>
      <c r="BL1218" s="79"/>
      <c r="BM1218" s="81"/>
      <c r="BN1218" s="81"/>
      <c r="BO1218" s="83"/>
      <c r="BP1218" s="58"/>
      <c r="BQ1218" s="64"/>
    </row>
    <row r="1219">
      <c r="A1219" s="61">
        <v>5.0</v>
      </c>
      <c r="B1219" s="77" t="s">
        <v>2118</v>
      </c>
      <c r="C1219" s="77" t="s">
        <v>136</v>
      </c>
      <c r="D1219" s="161" t="s">
        <v>142</v>
      </c>
      <c r="E1219" s="79"/>
      <c r="F1219" s="79"/>
      <c r="G1219" s="79"/>
      <c r="H1219" s="79"/>
      <c r="I1219" s="80" t="str">
        <f t="shared" si="16"/>
        <v>583210709</v>
      </c>
      <c r="J1219" s="79"/>
      <c r="K1219" s="79"/>
      <c r="L1219" s="59" t="s">
        <v>2139</v>
      </c>
      <c r="M1219" s="153">
        <v>2.0</v>
      </c>
      <c r="N1219" s="155"/>
      <c r="O1219" s="81"/>
      <c r="P1219" s="81"/>
      <c r="Q1219" s="81"/>
      <c r="R1219" s="81"/>
      <c r="S1219" s="81"/>
      <c r="T1219" s="81"/>
      <c r="U1219" s="58"/>
      <c r="V1219" s="81"/>
      <c r="W1219" s="81"/>
      <c r="X1219" s="81"/>
      <c r="Y1219" s="81"/>
      <c r="Z1219" s="81"/>
      <c r="AA1219" s="79"/>
      <c r="AB1219" s="79"/>
      <c r="AC1219" s="81"/>
      <c r="AD1219" s="81"/>
      <c r="AE1219" s="81"/>
      <c r="AF1219" s="81"/>
      <c r="AG1219" s="81"/>
      <c r="AH1219" s="81"/>
      <c r="AI1219" s="81"/>
      <c r="AJ1219" s="81"/>
      <c r="AK1219" s="81"/>
      <c r="AL1219" s="81"/>
      <c r="AM1219" s="81"/>
      <c r="AN1219" s="81"/>
      <c r="AO1219" s="81"/>
      <c r="AP1219" s="81"/>
      <c r="AQ1219" s="81"/>
      <c r="AR1219" s="81"/>
      <c r="AS1219" s="81"/>
      <c r="AT1219" s="81"/>
      <c r="AU1219" s="81"/>
      <c r="AV1219" s="82" t="s">
        <v>2138</v>
      </c>
      <c r="AW1219" s="81"/>
      <c r="AX1219" s="81"/>
      <c r="AY1219" s="81"/>
      <c r="AZ1219" s="81"/>
      <c r="BA1219" s="81"/>
      <c r="BB1219" s="81"/>
      <c r="BC1219" s="81"/>
      <c r="BD1219" s="81"/>
      <c r="BE1219" s="81"/>
      <c r="BF1219" s="81"/>
      <c r="BG1219" s="81"/>
      <c r="BH1219" s="80" t="s">
        <v>2121</v>
      </c>
      <c r="BI1219" s="82">
        <v>35.0</v>
      </c>
      <c r="BJ1219" s="81"/>
      <c r="BK1219" s="81"/>
      <c r="BL1219" s="79"/>
      <c r="BM1219" s="81"/>
      <c r="BN1219" s="81"/>
      <c r="BO1219" s="83"/>
      <c r="BP1219" s="58"/>
      <c r="BQ1219" s="64"/>
    </row>
    <row r="1220">
      <c r="A1220" s="61">
        <v>5.0</v>
      </c>
      <c r="B1220" s="77" t="s">
        <v>2118</v>
      </c>
      <c r="C1220" s="77" t="s">
        <v>136</v>
      </c>
      <c r="D1220" s="161" t="s">
        <v>149</v>
      </c>
      <c r="E1220" s="79"/>
      <c r="F1220" s="79"/>
      <c r="G1220" s="79"/>
      <c r="H1220" s="79"/>
      <c r="I1220" s="80" t="str">
        <f t="shared" si="16"/>
        <v>58321070A</v>
      </c>
      <c r="J1220" s="79"/>
      <c r="K1220" s="79"/>
      <c r="L1220" s="59" t="s">
        <v>2196</v>
      </c>
      <c r="M1220" s="153">
        <v>2.0</v>
      </c>
      <c r="N1220" s="155"/>
      <c r="O1220" s="81"/>
      <c r="P1220" s="81"/>
      <c r="Q1220" s="81"/>
      <c r="R1220" s="81"/>
      <c r="S1220" s="81"/>
      <c r="T1220" s="81"/>
      <c r="U1220" s="58"/>
      <c r="V1220" s="81"/>
      <c r="W1220" s="81"/>
      <c r="X1220" s="81"/>
      <c r="Y1220" s="81"/>
      <c r="Z1220" s="81"/>
      <c r="AA1220" s="79"/>
      <c r="AB1220" s="79"/>
      <c r="AC1220" s="81"/>
      <c r="AD1220" s="81"/>
      <c r="AE1220" s="81"/>
      <c r="AF1220" s="81"/>
      <c r="AG1220" s="81"/>
      <c r="AH1220" s="81"/>
      <c r="AI1220" s="81"/>
      <c r="AJ1220" s="81"/>
      <c r="AK1220" s="81"/>
      <c r="AL1220" s="81"/>
      <c r="AM1220" s="81"/>
      <c r="AN1220" s="81"/>
      <c r="AO1220" s="81"/>
      <c r="AP1220" s="81"/>
      <c r="AQ1220" s="81"/>
      <c r="AR1220" s="81"/>
      <c r="AS1220" s="81"/>
      <c r="AT1220" s="81"/>
      <c r="AU1220" s="81"/>
      <c r="AV1220" s="82" t="s">
        <v>2138</v>
      </c>
      <c r="AW1220" s="81"/>
      <c r="AX1220" s="81"/>
      <c r="AY1220" s="81"/>
      <c r="AZ1220" s="81"/>
      <c r="BA1220" s="81"/>
      <c r="BB1220" s="81"/>
      <c r="BC1220" s="81"/>
      <c r="BD1220" s="81"/>
      <c r="BE1220" s="81"/>
      <c r="BF1220" s="81"/>
      <c r="BG1220" s="81"/>
      <c r="BH1220" s="80" t="s">
        <v>2121</v>
      </c>
      <c r="BI1220" s="82">
        <v>35.0</v>
      </c>
      <c r="BJ1220" s="81"/>
      <c r="BK1220" s="81"/>
      <c r="BL1220" s="79"/>
      <c r="BM1220" s="81"/>
      <c r="BN1220" s="81"/>
      <c r="BO1220" s="83"/>
      <c r="BP1220" s="58"/>
      <c r="BQ1220" s="64"/>
    </row>
    <row r="1221">
      <c r="A1221" s="61">
        <v>5.0</v>
      </c>
      <c r="B1221" s="77" t="s">
        <v>2118</v>
      </c>
      <c r="C1221" s="77" t="s">
        <v>136</v>
      </c>
      <c r="D1221" s="161" t="s">
        <v>151</v>
      </c>
      <c r="E1221" s="79"/>
      <c r="F1221" s="79"/>
      <c r="G1221" s="79"/>
      <c r="H1221" s="79"/>
      <c r="I1221" s="80" t="str">
        <f t="shared" si="16"/>
        <v>58321070B</v>
      </c>
      <c r="J1221" s="79"/>
      <c r="K1221" s="79"/>
      <c r="L1221" s="59" t="s">
        <v>2132</v>
      </c>
      <c r="M1221" s="153">
        <v>2.0</v>
      </c>
      <c r="N1221" s="160" t="s">
        <v>2197</v>
      </c>
      <c r="O1221" s="81"/>
      <c r="P1221" s="81"/>
      <c r="Q1221" s="81"/>
      <c r="R1221" s="81"/>
      <c r="S1221" s="81"/>
      <c r="T1221" s="81"/>
      <c r="U1221" s="58"/>
      <c r="V1221" s="81"/>
      <c r="W1221" s="61" t="s">
        <v>304</v>
      </c>
      <c r="X1221" s="81"/>
      <c r="Y1221" s="81"/>
      <c r="Z1221" s="81"/>
      <c r="AA1221" s="79"/>
      <c r="AB1221" s="79"/>
      <c r="AC1221" s="81"/>
      <c r="AD1221" s="81"/>
      <c r="AE1221" s="81"/>
      <c r="AF1221" s="81"/>
      <c r="AG1221" s="81"/>
      <c r="AH1221" s="81"/>
      <c r="AI1221" s="81"/>
      <c r="AJ1221" s="81"/>
      <c r="AK1221" s="81"/>
      <c r="AL1221" s="81"/>
      <c r="AM1221" s="81"/>
      <c r="AN1221" s="81"/>
      <c r="AO1221" s="81"/>
      <c r="AP1221" s="81"/>
      <c r="AQ1221" s="81"/>
      <c r="AR1221" s="81"/>
      <c r="AS1221" s="81"/>
      <c r="AT1221" s="81"/>
      <c r="AU1221" s="81"/>
      <c r="AV1221" s="81"/>
      <c r="AW1221" s="81"/>
      <c r="AX1221" s="81"/>
      <c r="AY1221" s="81"/>
      <c r="AZ1221" s="81"/>
      <c r="BA1221" s="81"/>
      <c r="BB1221" s="81"/>
      <c r="BC1221" s="81"/>
      <c r="BD1221" s="81"/>
      <c r="BE1221" s="81"/>
      <c r="BF1221" s="81"/>
      <c r="BG1221" s="81"/>
      <c r="BH1221" s="80" t="s">
        <v>2121</v>
      </c>
      <c r="BI1221" s="82">
        <v>35.0</v>
      </c>
      <c r="BJ1221" s="81"/>
      <c r="BK1221" s="81"/>
      <c r="BL1221" s="79"/>
      <c r="BM1221" s="81"/>
      <c r="BN1221" s="81"/>
      <c r="BO1221" s="83"/>
      <c r="BP1221" s="58"/>
      <c r="BQ1221" s="64"/>
    </row>
    <row r="1222">
      <c r="A1222" s="61">
        <v>5.0</v>
      </c>
      <c r="B1222" s="77" t="s">
        <v>2118</v>
      </c>
      <c r="C1222" s="77" t="s">
        <v>136</v>
      </c>
      <c r="D1222" s="161" t="s">
        <v>155</v>
      </c>
      <c r="E1222" s="79"/>
      <c r="F1222" s="79"/>
      <c r="G1222" s="79"/>
      <c r="H1222" s="79"/>
      <c r="I1222" s="80" t="str">
        <f t="shared" si="16"/>
        <v>58321070C</v>
      </c>
      <c r="J1222" s="79"/>
      <c r="K1222" s="79"/>
      <c r="L1222" s="59" t="s">
        <v>2198</v>
      </c>
      <c r="M1222" s="153">
        <v>2.0</v>
      </c>
      <c r="N1222" s="155"/>
      <c r="O1222" s="81"/>
      <c r="P1222" s="81"/>
      <c r="Q1222" s="81"/>
      <c r="R1222" s="81"/>
      <c r="S1222" s="81"/>
      <c r="T1222" s="81"/>
      <c r="U1222" s="58"/>
      <c r="V1222" s="81"/>
      <c r="W1222" s="81"/>
      <c r="X1222" s="81"/>
      <c r="Y1222" s="81"/>
      <c r="Z1222" s="81"/>
      <c r="AA1222" s="79"/>
      <c r="AB1222" s="79"/>
      <c r="AC1222" s="81"/>
      <c r="AD1222" s="81"/>
      <c r="AE1222" s="81"/>
      <c r="AF1222" s="81"/>
      <c r="AG1222" s="81"/>
      <c r="AH1222" s="81"/>
      <c r="AI1222" s="81"/>
      <c r="AJ1222" s="81"/>
      <c r="AK1222" s="81"/>
      <c r="AL1222" s="81"/>
      <c r="AM1222" s="81"/>
      <c r="AN1222" s="81"/>
      <c r="AO1222" s="81"/>
      <c r="AP1222" s="81"/>
      <c r="AQ1222" s="81"/>
      <c r="AR1222" s="81"/>
      <c r="AS1222" s="81"/>
      <c r="AT1222" s="81"/>
      <c r="AU1222" s="81"/>
      <c r="AV1222" s="81"/>
      <c r="AW1222" s="81"/>
      <c r="AX1222" s="81"/>
      <c r="AY1222" s="81"/>
      <c r="AZ1222" s="81"/>
      <c r="BA1222" s="81"/>
      <c r="BB1222" s="81"/>
      <c r="BC1222" s="81"/>
      <c r="BD1222" s="81"/>
      <c r="BE1222" s="81"/>
      <c r="BF1222" s="81"/>
      <c r="BG1222" s="81"/>
      <c r="BH1222" s="80" t="s">
        <v>2199</v>
      </c>
      <c r="BI1222" s="82">
        <v>24.0</v>
      </c>
      <c r="BJ1222" s="81"/>
      <c r="BK1222" s="81"/>
      <c r="BL1222" s="79"/>
      <c r="BM1222" s="81"/>
      <c r="BN1222" s="81"/>
      <c r="BO1222" s="83"/>
      <c r="BP1222" s="58"/>
      <c r="BQ1222" s="64"/>
    </row>
    <row r="1223">
      <c r="A1223" s="82">
        <v>4.0</v>
      </c>
      <c r="B1223" s="77" t="s">
        <v>2118</v>
      </c>
      <c r="C1223" s="161" t="s">
        <v>138</v>
      </c>
      <c r="D1223" s="79"/>
      <c r="E1223" s="79"/>
      <c r="F1223" s="79"/>
      <c r="G1223" s="79"/>
      <c r="H1223" s="79"/>
      <c r="I1223" s="80" t="str">
        <f t="shared" si="16"/>
        <v>5832108</v>
      </c>
      <c r="J1223" s="79"/>
      <c r="K1223" s="79"/>
      <c r="L1223" s="59" t="s">
        <v>2200</v>
      </c>
      <c r="M1223" s="153">
        <v>1.0</v>
      </c>
      <c r="N1223" s="160" t="s">
        <v>2201</v>
      </c>
      <c r="O1223" s="81"/>
      <c r="P1223" s="81"/>
      <c r="Q1223" s="81"/>
      <c r="R1223" s="81"/>
      <c r="S1223" s="81"/>
      <c r="T1223" s="81"/>
      <c r="U1223" s="61">
        <v>1.0</v>
      </c>
      <c r="V1223" s="81"/>
      <c r="W1223" s="61" t="s">
        <v>78</v>
      </c>
      <c r="X1223" s="81"/>
      <c r="Y1223" s="81"/>
      <c r="Z1223" s="81"/>
      <c r="AA1223" s="134" t="s">
        <v>79</v>
      </c>
      <c r="AB1223" s="134" t="s">
        <v>79</v>
      </c>
      <c r="AC1223" s="81"/>
      <c r="AD1223" s="81"/>
      <c r="AE1223" s="81"/>
      <c r="AF1223" s="81"/>
      <c r="AG1223" s="81"/>
      <c r="AH1223" s="81"/>
      <c r="AI1223" s="81"/>
      <c r="AJ1223" s="81"/>
      <c r="AK1223" s="81"/>
      <c r="AL1223" s="81"/>
      <c r="AM1223" s="81"/>
      <c r="AN1223" s="81"/>
      <c r="AO1223" s="81"/>
      <c r="AP1223" s="82" t="s">
        <v>80</v>
      </c>
      <c r="AQ1223" s="81"/>
      <c r="AR1223" s="81"/>
      <c r="AS1223" s="81"/>
      <c r="AT1223" s="81"/>
      <c r="AU1223" s="81"/>
      <c r="AV1223" s="81"/>
      <c r="AW1223" s="81"/>
      <c r="AX1223" s="81"/>
      <c r="AY1223" s="81"/>
      <c r="AZ1223" s="81"/>
      <c r="BA1223" s="81"/>
      <c r="BB1223" s="81"/>
      <c r="BC1223" s="81"/>
      <c r="BD1223" s="81"/>
      <c r="BE1223" s="81"/>
      <c r="BF1223" s="81"/>
      <c r="BG1223" s="81"/>
      <c r="BH1223" s="80" t="s">
        <v>2202</v>
      </c>
      <c r="BI1223" s="82">
        <v>1.0</v>
      </c>
      <c r="BJ1223" s="81"/>
      <c r="BK1223" s="81"/>
      <c r="BL1223" s="79"/>
      <c r="BM1223" s="81"/>
      <c r="BN1223" s="81"/>
      <c r="BO1223" s="83"/>
      <c r="BP1223" s="58"/>
      <c r="BQ1223" s="64"/>
    </row>
    <row r="1224">
      <c r="A1224" s="82">
        <v>4.0</v>
      </c>
      <c r="B1224" s="77" t="s">
        <v>2118</v>
      </c>
      <c r="C1224" s="161" t="s">
        <v>142</v>
      </c>
      <c r="D1224" s="79"/>
      <c r="E1224" s="79"/>
      <c r="F1224" s="79"/>
      <c r="G1224" s="79"/>
      <c r="H1224" s="79"/>
      <c r="I1224" s="80" t="str">
        <f t="shared" si="16"/>
        <v>5832109</v>
      </c>
      <c r="J1224" s="79"/>
      <c r="K1224" s="79"/>
      <c r="L1224" s="80" t="s">
        <v>2203</v>
      </c>
      <c r="M1224" s="153">
        <v>2.0</v>
      </c>
      <c r="N1224" s="160" t="s">
        <v>2204</v>
      </c>
      <c r="O1224" s="81"/>
      <c r="P1224" s="81"/>
      <c r="Q1224" s="81"/>
      <c r="R1224" s="81"/>
      <c r="S1224" s="81"/>
      <c r="T1224" s="81"/>
      <c r="U1224" s="61">
        <v>1.0</v>
      </c>
      <c r="V1224" s="81"/>
      <c r="W1224" s="61" t="s">
        <v>160</v>
      </c>
      <c r="X1224" s="81"/>
      <c r="Y1224" s="81"/>
      <c r="Z1224" s="81"/>
      <c r="AA1224" s="79"/>
      <c r="AB1224" s="79"/>
      <c r="AC1224" s="81"/>
      <c r="AD1224" s="81"/>
      <c r="AE1224" s="81"/>
      <c r="AF1224" s="81"/>
      <c r="AG1224" s="81"/>
      <c r="AH1224" s="81"/>
      <c r="AI1224" s="81"/>
      <c r="AJ1224" s="81"/>
      <c r="AK1224" s="81"/>
      <c r="AL1224" s="81"/>
      <c r="AM1224" s="81"/>
      <c r="AN1224" s="81"/>
      <c r="AO1224" s="81"/>
      <c r="AP1224" s="81"/>
      <c r="AQ1224" s="81"/>
      <c r="AR1224" s="81"/>
      <c r="AS1224" s="81"/>
      <c r="AT1224" s="81"/>
      <c r="AU1224" s="81"/>
      <c r="AV1224" s="81"/>
      <c r="AW1224" s="81"/>
      <c r="AX1224" s="81"/>
      <c r="AY1224" s="81"/>
      <c r="AZ1224" s="81"/>
      <c r="BA1224" s="81"/>
      <c r="BB1224" s="81"/>
      <c r="BC1224" s="81"/>
      <c r="BD1224" s="81"/>
      <c r="BE1224" s="81"/>
      <c r="BF1224" s="81"/>
      <c r="BG1224" s="81"/>
      <c r="BH1224" s="80" t="s">
        <v>2205</v>
      </c>
      <c r="BI1224" s="82">
        <v>1.0</v>
      </c>
      <c r="BJ1224" s="81"/>
      <c r="BK1224" s="81"/>
      <c r="BL1224" s="79"/>
      <c r="BM1224" s="81"/>
      <c r="BN1224" s="81"/>
      <c r="BO1224" s="83"/>
      <c r="BP1224" s="58"/>
      <c r="BQ1224" s="64"/>
    </row>
    <row r="1225">
      <c r="A1225" s="61">
        <v>5.0</v>
      </c>
      <c r="B1225" s="77" t="s">
        <v>2118</v>
      </c>
      <c r="C1225" s="77" t="s">
        <v>149</v>
      </c>
      <c r="D1225" s="79"/>
      <c r="E1225" s="79"/>
      <c r="F1225" s="79"/>
      <c r="G1225" s="79"/>
      <c r="H1225" s="79"/>
      <c r="I1225" s="80" t="str">
        <f t="shared" si="16"/>
        <v>583210A</v>
      </c>
      <c r="J1225" s="79"/>
      <c r="K1225" s="79"/>
      <c r="L1225" s="59" t="s">
        <v>2206</v>
      </c>
      <c r="M1225" s="153">
        <v>2.0</v>
      </c>
      <c r="N1225" s="155"/>
      <c r="O1225" s="81"/>
      <c r="P1225" s="81"/>
      <c r="Q1225" s="81"/>
      <c r="R1225" s="81"/>
      <c r="S1225" s="81"/>
      <c r="T1225" s="81"/>
      <c r="U1225" s="61">
        <v>1.0</v>
      </c>
      <c r="V1225" s="81"/>
      <c r="W1225" s="81"/>
      <c r="X1225" s="81"/>
      <c r="Y1225" s="81"/>
      <c r="Z1225" s="81"/>
      <c r="AA1225" s="79"/>
      <c r="AB1225" s="79"/>
      <c r="AC1225" s="81"/>
      <c r="AD1225" s="81"/>
      <c r="AE1225" s="81"/>
      <c r="AF1225" s="81"/>
      <c r="AG1225" s="81"/>
      <c r="AH1225" s="81"/>
      <c r="AI1225" s="81"/>
      <c r="AJ1225" s="81"/>
      <c r="AK1225" s="81"/>
      <c r="AL1225" s="81"/>
      <c r="AM1225" s="81"/>
      <c r="AN1225" s="81"/>
      <c r="AO1225" s="81"/>
      <c r="AP1225" s="81"/>
      <c r="AQ1225" s="81"/>
      <c r="AR1225" s="81"/>
      <c r="AS1225" s="81"/>
      <c r="AT1225" s="81"/>
      <c r="AU1225" s="81"/>
      <c r="AV1225" s="81"/>
      <c r="AW1225" s="81"/>
      <c r="AX1225" s="81"/>
      <c r="AY1225" s="81"/>
      <c r="AZ1225" s="81"/>
      <c r="BA1225" s="81"/>
      <c r="BB1225" s="81"/>
      <c r="BC1225" s="81"/>
      <c r="BD1225" s="81"/>
      <c r="BE1225" s="81"/>
      <c r="BF1225" s="81"/>
      <c r="BG1225" s="81"/>
      <c r="BH1225" s="81"/>
      <c r="BI1225" s="81"/>
      <c r="BJ1225" s="81"/>
      <c r="BK1225" s="81"/>
      <c r="BL1225" s="79"/>
      <c r="BM1225" s="81"/>
      <c r="BN1225" s="81"/>
      <c r="BO1225" s="83"/>
      <c r="BP1225" s="58"/>
      <c r="BQ1225" s="64"/>
    </row>
    <row r="1226">
      <c r="A1226" s="61">
        <v>5.0</v>
      </c>
      <c r="B1226" s="77" t="s">
        <v>2118</v>
      </c>
      <c r="C1226" s="77" t="s">
        <v>151</v>
      </c>
      <c r="D1226" s="79"/>
      <c r="E1226" s="79"/>
      <c r="F1226" s="79"/>
      <c r="G1226" s="79"/>
      <c r="H1226" s="79"/>
      <c r="I1226" s="80" t="str">
        <f t="shared" si="16"/>
        <v>583210B</v>
      </c>
      <c r="J1226" s="79"/>
      <c r="K1226" s="79"/>
      <c r="L1226" s="59" t="s">
        <v>2207</v>
      </c>
      <c r="M1226" s="153">
        <v>2.0</v>
      </c>
      <c r="N1226" s="155"/>
      <c r="O1226" s="81"/>
      <c r="P1226" s="81"/>
      <c r="Q1226" s="81"/>
      <c r="R1226" s="81"/>
      <c r="S1226" s="81"/>
      <c r="T1226" s="81"/>
      <c r="U1226" s="61">
        <v>1.0</v>
      </c>
      <c r="V1226" s="81"/>
      <c r="W1226" s="81"/>
      <c r="X1226" s="81"/>
      <c r="Y1226" s="81"/>
      <c r="Z1226" s="81"/>
      <c r="AA1226" s="79"/>
      <c r="AB1226" s="79"/>
      <c r="AC1226" s="81"/>
      <c r="AD1226" s="81"/>
      <c r="AE1226" s="81"/>
      <c r="AF1226" s="81"/>
      <c r="AG1226" s="81"/>
      <c r="AH1226" s="81"/>
      <c r="AI1226" s="81"/>
      <c r="AJ1226" s="81"/>
      <c r="AK1226" s="81"/>
      <c r="AL1226" s="81"/>
      <c r="AM1226" s="81"/>
      <c r="AN1226" s="81"/>
      <c r="AO1226" s="81"/>
      <c r="AP1226" s="81"/>
      <c r="AQ1226" s="81"/>
      <c r="AR1226" s="81"/>
      <c r="AS1226" s="81"/>
      <c r="AT1226" s="81"/>
      <c r="AU1226" s="81"/>
      <c r="AV1226" s="81"/>
      <c r="AW1226" s="81"/>
      <c r="AX1226" s="81"/>
      <c r="AY1226" s="81"/>
      <c r="AZ1226" s="81"/>
      <c r="BA1226" s="81"/>
      <c r="BB1226" s="81"/>
      <c r="BC1226" s="81"/>
      <c r="BD1226" s="81"/>
      <c r="BE1226" s="81"/>
      <c r="BF1226" s="81"/>
      <c r="BG1226" s="81"/>
      <c r="BH1226" s="81"/>
      <c r="BI1226" s="81"/>
      <c r="BJ1226" s="81"/>
      <c r="BK1226" s="81"/>
      <c r="BL1226" s="79"/>
      <c r="BM1226" s="81"/>
      <c r="BN1226" s="81"/>
      <c r="BO1226" s="83"/>
      <c r="BP1226" s="58"/>
      <c r="BQ1226" s="64"/>
    </row>
    <row r="1227">
      <c r="A1227" s="36">
        <v>2.0</v>
      </c>
      <c r="B1227" s="37" t="s">
        <v>2208</v>
      </c>
      <c r="C1227" s="38"/>
      <c r="D1227" s="38"/>
      <c r="E1227" s="38"/>
      <c r="F1227" s="38"/>
      <c r="G1227" s="38"/>
      <c r="H1227" s="38"/>
      <c r="I1227" s="39" t="str">
        <f t="shared" si="16"/>
        <v>58330</v>
      </c>
      <c r="J1227" s="40"/>
      <c r="K1227" s="40"/>
      <c r="L1227" s="39" t="s">
        <v>2209</v>
      </c>
      <c r="M1227" s="41">
        <v>1.0</v>
      </c>
      <c r="N1227" s="42"/>
      <c r="O1227" s="38"/>
      <c r="P1227" s="42"/>
      <c r="Q1227" s="42"/>
      <c r="R1227" s="42"/>
      <c r="S1227" s="42"/>
      <c r="T1227" s="40"/>
      <c r="U1227" s="43">
        <v>1.0</v>
      </c>
      <c r="V1227" s="40"/>
      <c r="W1227" s="43" t="s">
        <v>70</v>
      </c>
      <c r="X1227" s="40"/>
      <c r="Y1227" s="40"/>
      <c r="Z1227" s="40"/>
      <c r="AA1227" s="40"/>
      <c r="AB1227" s="40"/>
      <c r="AC1227" s="40"/>
      <c r="AD1227" s="40"/>
      <c r="AE1227" s="40"/>
      <c r="AF1227" s="40"/>
      <c r="AG1227" s="40"/>
      <c r="AH1227" s="40"/>
      <c r="AI1227" s="40"/>
      <c r="AJ1227" s="40"/>
      <c r="AK1227" s="40"/>
      <c r="AL1227" s="40"/>
      <c r="AM1227" s="40"/>
      <c r="AN1227" s="40"/>
      <c r="AO1227" s="40"/>
      <c r="AP1227" s="42"/>
      <c r="AQ1227" s="42"/>
      <c r="AR1227" s="42"/>
      <c r="AS1227" s="42"/>
      <c r="AT1227" s="42"/>
      <c r="AU1227" s="42"/>
      <c r="AV1227" s="40"/>
      <c r="AW1227" s="40"/>
      <c r="AX1227" s="40"/>
      <c r="AY1227" s="40"/>
      <c r="AZ1227" s="40"/>
      <c r="BA1227" s="40"/>
      <c r="BB1227" s="40"/>
      <c r="BC1227" s="40"/>
      <c r="BD1227" s="40"/>
      <c r="BE1227" s="40"/>
      <c r="BF1227" s="40"/>
      <c r="BG1227" s="40"/>
      <c r="BH1227" s="42"/>
      <c r="BI1227" s="42"/>
      <c r="BJ1227" s="42"/>
      <c r="BK1227" s="42"/>
      <c r="BL1227" s="42"/>
      <c r="BM1227" s="40"/>
      <c r="BN1227" s="44"/>
      <c r="BO1227" s="40"/>
      <c r="BP1227" s="42"/>
      <c r="BQ1227" s="10"/>
    </row>
    <row r="1228">
      <c r="A1228" s="45">
        <v>3.0</v>
      </c>
      <c r="B1228" s="46" t="s">
        <v>2210</v>
      </c>
      <c r="C1228" s="47"/>
      <c r="D1228" s="47"/>
      <c r="E1228" s="47"/>
      <c r="F1228" s="47"/>
      <c r="G1228" s="47"/>
      <c r="H1228" s="47"/>
      <c r="I1228" s="48" t="str">
        <f t="shared" si="16"/>
        <v>58331</v>
      </c>
      <c r="J1228" s="49"/>
      <c r="K1228" s="49"/>
      <c r="L1228" s="48" t="s">
        <v>2209</v>
      </c>
      <c r="M1228" s="50">
        <v>1.0</v>
      </c>
      <c r="N1228" s="51"/>
      <c r="O1228" s="47"/>
      <c r="P1228" s="51"/>
      <c r="Q1228" s="51"/>
      <c r="R1228" s="51"/>
      <c r="S1228" s="51"/>
      <c r="T1228" s="49"/>
      <c r="U1228" s="52">
        <v>1.0</v>
      </c>
      <c r="V1228" s="49"/>
      <c r="W1228" s="52" t="s">
        <v>70</v>
      </c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/>
      <c r="AI1228" s="49"/>
      <c r="AJ1228" s="49"/>
      <c r="AK1228" s="49"/>
      <c r="AL1228" s="49"/>
      <c r="AM1228" s="49"/>
      <c r="AN1228" s="49"/>
      <c r="AO1228" s="49"/>
      <c r="AP1228" s="51"/>
      <c r="AQ1228" s="51"/>
      <c r="AR1228" s="51"/>
      <c r="AS1228" s="51"/>
      <c r="AT1228" s="51"/>
      <c r="AU1228" s="51"/>
      <c r="AV1228" s="49"/>
      <c r="AW1228" s="49"/>
      <c r="AX1228" s="49"/>
      <c r="AY1228" s="49"/>
      <c r="AZ1228" s="49"/>
      <c r="BA1228" s="49"/>
      <c r="BB1228" s="49"/>
      <c r="BC1228" s="49"/>
      <c r="BD1228" s="49"/>
      <c r="BE1228" s="49"/>
      <c r="BF1228" s="49"/>
      <c r="BG1228" s="49"/>
      <c r="BH1228" s="51"/>
      <c r="BI1228" s="51"/>
      <c r="BJ1228" s="51"/>
      <c r="BK1228" s="51"/>
      <c r="BL1228" s="51"/>
      <c r="BM1228" s="49"/>
      <c r="BN1228" s="53"/>
      <c r="BO1228" s="49"/>
      <c r="BP1228" s="51"/>
      <c r="BQ1228" s="10"/>
    </row>
    <row r="1229">
      <c r="A1229" s="1">
        <v>4.0</v>
      </c>
      <c r="B1229" s="2" t="s">
        <v>2210</v>
      </c>
      <c r="C1229" s="2" t="s">
        <v>76</v>
      </c>
      <c r="D1229" s="93"/>
      <c r="E1229" s="93"/>
      <c r="F1229" s="93"/>
      <c r="G1229" s="93"/>
      <c r="H1229" s="93"/>
      <c r="I1229" s="3" t="str">
        <f t="shared" si="16"/>
        <v>5833101</v>
      </c>
      <c r="J1229" s="3"/>
      <c r="K1229" s="3"/>
      <c r="L1229" s="94" t="s">
        <v>2211</v>
      </c>
      <c r="M1229" s="4">
        <v>1.0</v>
      </c>
      <c r="N1229" s="3"/>
      <c r="O1229" s="93"/>
      <c r="P1229" s="3"/>
      <c r="Q1229" s="3"/>
      <c r="R1229" s="3"/>
      <c r="S1229" s="3"/>
      <c r="T1229" s="3"/>
      <c r="U1229" s="6">
        <v>1.0</v>
      </c>
      <c r="V1229" s="3"/>
      <c r="W1229" s="6" t="s">
        <v>78</v>
      </c>
      <c r="X1229" s="3"/>
      <c r="Y1229" s="3"/>
      <c r="Z1229" s="3"/>
      <c r="AA1229" s="96" t="s">
        <v>79</v>
      </c>
      <c r="AB1229" s="96" t="s">
        <v>79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6" t="s">
        <v>80</v>
      </c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97"/>
      <c r="BO1229" s="3"/>
      <c r="BP1229" s="3"/>
      <c r="BQ1229" s="10"/>
    </row>
    <row r="1230">
      <c r="A1230" s="1">
        <v>5.0</v>
      </c>
      <c r="B1230" s="2" t="s">
        <v>2210</v>
      </c>
      <c r="C1230" s="2" t="s">
        <v>76</v>
      </c>
      <c r="D1230" s="2" t="s">
        <v>76</v>
      </c>
      <c r="E1230" s="93"/>
      <c r="F1230" s="93"/>
      <c r="G1230" s="93"/>
      <c r="H1230" s="93"/>
      <c r="I1230" s="3" t="str">
        <f t="shared" si="16"/>
        <v>583310101</v>
      </c>
      <c r="J1230" s="3"/>
      <c r="K1230" s="3"/>
      <c r="L1230" s="94" t="s">
        <v>2212</v>
      </c>
      <c r="M1230" s="4">
        <v>2.0</v>
      </c>
      <c r="N1230" s="3"/>
      <c r="O1230" s="93"/>
      <c r="P1230" s="3"/>
      <c r="Q1230" s="3"/>
      <c r="R1230" s="3"/>
      <c r="S1230" s="3"/>
      <c r="T1230" s="3"/>
      <c r="U1230" s="6">
        <v>1.0</v>
      </c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97"/>
      <c r="BO1230" s="3"/>
      <c r="BP1230" s="3"/>
      <c r="BQ1230" s="10"/>
    </row>
    <row r="1231">
      <c r="A1231" s="1">
        <v>5.0</v>
      </c>
      <c r="B1231" s="2" t="s">
        <v>2210</v>
      </c>
      <c r="C1231" s="2" t="s">
        <v>76</v>
      </c>
      <c r="D1231" s="2" t="s">
        <v>119</v>
      </c>
      <c r="E1231" s="93"/>
      <c r="F1231" s="93"/>
      <c r="G1231" s="93"/>
      <c r="H1231" s="93"/>
      <c r="I1231" s="3" t="str">
        <f t="shared" si="16"/>
        <v>583310102</v>
      </c>
      <c r="J1231" s="3"/>
      <c r="K1231" s="3"/>
      <c r="L1231" s="94" t="s">
        <v>2213</v>
      </c>
      <c r="M1231" s="4">
        <v>2.0</v>
      </c>
      <c r="N1231" s="3"/>
      <c r="O1231" s="93"/>
      <c r="P1231" s="3"/>
      <c r="Q1231" s="3"/>
      <c r="R1231" s="3"/>
      <c r="S1231" s="3"/>
      <c r="T1231" s="3"/>
      <c r="U1231" s="6">
        <v>1.0</v>
      </c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97"/>
      <c r="BO1231" s="3"/>
      <c r="BP1231" s="3"/>
      <c r="BQ1231" s="10"/>
    </row>
    <row r="1232">
      <c r="A1232" s="1">
        <v>5.0</v>
      </c>
      <c r="B1232" s="2" t="s">
        <v>2210</v>
      </c>
      <c r="C1232" s="2" t="s">
        <v>76</v>
      </c>
      <c r="D1232" s="2" t="s">
        <v>124</v>
      </c>
      <c r="E1232" s="93"/>
      <c r="F1232" s="93"/>
      <c r="G1232" s="93"/>
      <c r="H1232" s="93"/>
      <c r="I1232" s="3" t="str">
        <f t="shared" si="16"/>
        <v>583310103</v>
      </c>
      <c r="J1232" s="3"/>
      <c r="K1232" s="3"/>
      <c r="L1232" s="94" t="s">
        <v>2214</v>
      </c>
      <c r="M1232" s="4">
        <v>2.0</v>
      </c>
      <c r="N1232" s="3"/>
      <c r="O1232" s="93"/>
      <c r="P1232" s="3"/>
      <c r="Q1232" s="3"/>
      <c r="R1232" s="3"/>
      <c r="S1232" s="3"/>
      <c r="T1232" s="3"/>
      <c r="U1232" s="6" t="s">
        <v>79</v>
      </c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97"/>
      <c r="BO1232" s="3"/>
      <c r="BP1232" s="3"/>
      <c r="BQ1232" s="10"/>
    </row>
    <row r="1233">
      <c r="A1233" s="1">
        <v>5.0</v>
      </c>
      <c r="B1233" s="2" t="s">
        <v>2210</v>
      </c>
      <c r="C1233" s="2" t="s">
        <v>76</v>
      </c>
      <c r="D1233" s="2" t="s">
        <v>127</v>
      </c>
      <c r="E1233" s="93"/>
      <c r="F1233" s="93"/>
      <c r="G1233" s="93"/>
      <c r="H1233" s="93"/>
      <c r="I1233" s="3" t="str">
        <f t="shared" si="16"/>
        <v>583310104</v>
      </c>
      <c r="J1233" s="3"/>
      <c r="K1233" s="3"/>
      <c r="L1233" s="94" t="s">
        <v>2215</v>
      </c>
      <c r="M1233" s="4">
        <v>2.0</v>
      </c>
      <c r="N1233" s="3"/>
      <c r="O1233" s="93"/>
      <c r="P1233" s="3"/>
      <c r="Q1233" s="3"/>
      <c r="R1233" s="3"/>
      <c r="S1233" s="3"/>
      <c r="T1233" s="3"/>
      <c r="U1233" s="6">
        <v>1.0</v>
      </c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97"/>
      <c r="BO1233" s="3"/>
      <c r="BP1233" s="3"/>
      <c r="BQ1233" s="10"/>
    </row>
    <row r="1234">
      <c r="A1234" s="1">
        <v>4.0</v>
      </c>
      <c r="B1234" s="2" t="s">
        <v>2210</v>
      </c>
      <c r="C1234" s="2" t="s">
        <v>119</v>
      </c>
      <c r="D1234" s="93"/>
      <c r="E1234" s="93"/>
      <c r="F1234" s="93"/>
      <c r="G1234" s="93"/>
      <c r="H1234" s="93"/>
      <c r="I1234" s="3" t="str">
        <f t="shared" si="16"/>
        <v>5833102</v>
      </c>
      <c r="J1234" s="3"/>
      <c r="K1234" s="3"/>
      <c r="L1234" s="94" t="s">
        <v>2216</v>
      </c>
      <c r="M1234" s="4">
        <v>1.0</v>
      </c>
      <c r="N1234" s="3"/>
      <c r="O1234" s="93"/>
      <c r="P1234" s="3"/>
      <c r="Q1234" s="3"/>
      <c r="R1234" s="3"/>
      <c r="S1234" s="3"/>
      <c r="T1234" s="3"/>
      <c r="U1234" s="6">
        <v>2.0</v>
      </c>
      <c r="V1234" s="3"/>
      <c r="W1234" s="6" t="s">
        <v>78</v>
      </c>
      <c r="X1234" s="3"/>
      <c r="Y1234" s="3"/>
      <c r="Z1234" s="3"/>
      <c r="AA1234" s="96" t="s">
        <v>79</v>
      </c>
      <c r="AB1234" s="96" t="s">
        <v>79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6" t="s">
        <v>80</v>
      </c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97"/>
      <c r="BO1234" s="3"/>
      <c r="BP1234" s="3"/>
      <c r="BQ1234" s="10"/>
    </row>
    <row r="1235">
      <c r="A1235" s="20">
        <v>1.0</v>
      </c>
      <c r="B1235" s="21" t="s">
        <v>2217</v>
      </c>
      <c r="C1235" s="22"/>
      <c r="D1235" s="22"/>
      <c r="E1235" s="22"/>
      <c r="F1235" s="22"/>
      <c r="G1235" s="22"/>
      <c r="H1235" s="22"/>
      <c r="I1235" s="23" t="str">
        <f t="shared" si="16"/>
        <v>59000</v>
      </c>
      <c r="J1235" s="24"/>
      <c r="K1235" s="24"/>
      <c r="L1235" s="23" t="s">
        <v>69</v>
      </c>
      <c r="M1235" s="25">
        <v>1.0</v>
      </c>
      <c r="N1235" s="24"/>
      <c r="O1235" s="22"/>
      <c r="P1235" s="24"/>
      <c r="Q1235" s="24"/>
      <c r="R1235" s="24"/>
      <c r="S1235" s="24"/>
      <c r="T1235" s="24"/>
      <c r="U1235" s="26">
        <v>1.0</v>
      </c>
      <c r="V1235" s="24"/>
      <c r="W1235" s="26" t="s">
        <v>70</v>
      </c>
      <c r="X1235" s="24"/>
      <c r="Y1235" s="24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M1235" s="24"/>
      <c r="BN1235" s="27"/>
      <c r="BO1235" s="24"/>
      <c r="BP1235" s="24"/>
      <c r="BQ1235" s="10"/>
    </row>
    <row r="1236">
      <c r="A1236" s="28">
        <v>1.0</v>
      </c>
      <c r="B1236" s="29" t="s">
        <v>2218</v>
      </c>
      <c r="C1236" s="30"/>
      <c r="D1236" s="30"/>
      <c r="E1236" s="30"/>
      <c r="F1236" s="30"/>
      <c r="G1236" s="30"/>
      <c r="H1236" s="30"/>
      <c r="I1236" s="31" t="str">
        <f t="shared" si="16"/>
        <v>59300</v>
      </c>
      <c r="J1236" s="74"/>
      <c r="K1236" s="74"/>
      <c r="L1236" s="31" t="s">
        <v>2219</v>
      </c>
      <c r="M1236" s="75">
        <v>1.0</v>
      </c>
      <c r="N1236" s="32"/>
      <c r="O1236" s="30"/>
      <c r="P1236" s="32"/>
      <c r="Q1236" s="32"/>
      <c r="R1236" s="32"/>
      <c r="S1236" s="32"/>
      <c r="T1236" s="74"/>
      <c r="U1236" s="34">
        <v>1.0</v>
      </c>
      <c r="V1236" s="74"/>
      <c r="W1236" s="34" t="s">
        <v>70</v>
      </c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  <c r="AH1236" s="74"/>
      <c r="AI1236" s="74"/>
      <c r="AJ1236" s="74"/>
      <c r="AK1236" s="74"/>
      <c r="AL1236" s="74"/>
      <c r="AM1236" s="74"/>
      <c r="AN1236" s="74"/>
      <c r="AO1236" s="74"/>
      <c r="AP1236" s="32"/>
      <c r="AQ1236" s="32"/>
      <c r="AR1236" s="32"/>
      <c r="AS1236" s="32"/>
      <c r="AT1236" s="32"/>
      <c r="AU1236" s="32"/>
      <c r="AV1236" s="74"/>
      <c r="AW1236" s="74"/>
      <c r="AX1236" s="74"/>
      <c r="AY1236" s="74"/>
      <c r="AZ1236" s="74"/>
      <c r="BA1236" s="74"/>
      <c r="BB1236" s="74"/>
      <c r="BC1236" s="74"/>
      <c r="BD1236" s="74"/>
      <c r="BE1236" s="74"/>
      <c r="BF1236" s="74"/>
      <c r="BG1236" s="74"/>
      <c r="BH1236" s="32"/>
      <c r="BI1236" s="32"/>
      <c r="BJ1236" s="32"/>
      <c r="BK1236" s="32"/>
      <c r="BL1236" s="32"/>
      <c r="BM1236" s="74"/>
      <c r="BN1236" s="76"/>
      <c r="BO1236" s="74"/>
      <c r="BP1236" s="32"/>
      <c r="BQ1236" s="10"/>
    </row>
    <row r="1237">
      <c r="A1237" s="36">
        <v>2.0</v>
      </c>
      <c r="B1237" s="37" t="s">
        <v>2220</v>
      </c>
      <c r="C1237" s="38"/>
      <c r="D1237" s="38"/>
      <c r="E1237" s="38"/>
      <c r="F1237" s="38"/>
      <c r="G1237" s="38"/>
      <c r="H1237" s="38"/>
      <c r="I1237" s="39" t="str">
        <f t="shared" si="16"/>
        <v>59310</v>
      </c>
      <c r="J1237" s="40"/>
      <c r="K1237" s="40"/>
      <c r="L1237" s="39" t="s">
        <v>2221</v>
      </c>
      <c r="M1237" s="41">
        <v>1.0</v>
      </c>
      <c r="N1237" s="42"/>
      <c r="O1237" s="38"/>
      <c r="P1237" s="42"/>
      <c r="Q1237" s="42"/>
      <c r="R1237" s="42"/>
      <c r="S1237" s="42"/>
      <c r="T1237" s="40"/>
      <c r="U1237" s="43">
        <v>1.0</v>
      </c>
      <c r="V1237" s="40"/>
      <c r="W1237" s="43" t="s">
        <v>70</v>
      </c>
      <c r="X1237" s="40"/>
      <c r="Y1237" s="40"/>
      <c r="Z1237" s="40"/>
      <c r="AA1237" s="40"/>
      <c r="AB1237" s="40"/>
      <c r="AC1237" s="40"/>
      <c r="AD1237" s="40"/>
      <c r="AE1237" s="40"/>
      <c r="AF1237" s="40"/>
      <c r="AG1237" s="40"/>
      <c r="AH1237" s="40"/>
      <c r="AI1237" s="40"/>
      <c r="AJ1237" s="40"/>
      <c r="AK1237" s="40"/>
      <c r="AL1237" s="40"/>
      <c r="AM1237" s="40"/>
      <c r="AN1237" s="40"/>
      <c r="AO1237" s="40"/>
      <c r="AP1237" s="42"/>
      <c r="AQ1237" s="42"/>
      <c r="AR1237" s="42"/>
      <c r="AS1237" s="42"/>
      <c r="AT1237" s="42"/>
      <c r="AU1237" s="42"/>
      <c r="AV1237" s="40"/>
      <c r="AW1237" s="40"/>
      <c r="AX1237" s="40"/>
      <c r="AY1237" s="40"/>
      <c r="AZ1237" s="40"/>
      <c r="BA1237" s="40"/>
      <c r="BB1237" s="40"/>
      <c r="BC1237" s="40"/>
      <c r="BD1237" s="40"/>
      <c r="BE1237" s="40"/>
      <c r="BF1237" s="40"/>
      <c r="BG1237" s="40"/>
      <c r="BH1237" s="42"/>
      <c r="BI1237" s="42"/>
      <c r="BJ1237" s="42"/>
      <c r="BK1237" s="42"/>
      <c r="BL1237" s="42"/>
      <c r="BM1237" s="40"/>
      <c r="BN1237" s="44"/>
      <c r="BO1237" s="40"/>
      <c r="BP1237" s="42"/>
      <c r="BQ1237" s="10"/>
    </row>
    <row r="1238">
      <c r="A1238" s="45">
        <v>3.0</v>
      </c>
      <c r="B1238" s="46" t="s">
        <v>2222</v>
      </c>
      <c r="C1238" s="47"/>
      <c r="D1238" s="47"/>
      <c r="E1238" s="47"/>
      <c r="F1238" s="47"/>
      <c r="G1238" s="47"/>
      <c r="H1238" s="47"/>
      <c r="I1238" s="48" t="str">
        <f t="shared" si="16"/>
        <v>59311</v>
      </c>
      <c r="J1238" s="49"/>
      <c r="K1238" s="49"/>
      <c r="L1238" s="48" t="s">
        <v>2223</v>
      </c>
      <c r="M1238" s="50">
        <v>1.0</v>
      </c>
      <c r="N1238" s="51"/>
      <c r="O1238" s="47"/>
      <c r="P1238" s="51"/>
      <c r="Q1238" s="51"/>
      <c r="R1238" s="51"/>
      <c r="S1238" s="51"/>
      <c r="T1238" s="49"/>
      <c r="U1238" s="52">
        <v>1.0</v>
      </c>
      <c r="V1238" s="49"/>
      <c r="W1238" s="52" t="s">
        <v>70</v>
      </c>
      <c r="X1238" s="49"/>
      <c r="Y1238" s="49"/>
      <c r="Z1238" s="49"/>
      <c r="AA1238" s="49"/>
      <c r="AB1238" s="49"/>
      <c r="AC1238" s="49"/>
      <c r="AD1238" s="49"/>
      <c r="AE1238" s="49"/>
      <c r="AF1238" s="49"/>
      <c r="AG1238" s="49"/>
      <c r="AH1238" s="49"/>
      <c r="AI1238" s="49"/>
      <c r="AJ1238" s="49"/>
      <c r="AK1238" s="49"/>
      <c r="AL1238" s="49"/>
      <c r="AM1238" s="49"/>
      <c r="AN1238" s="49"/>
      <c r="AO1238" s="49"/>
      <c r="AP1238" s="51"/>
      <c r="AQ1238" s="51"/>
      <c r="AR1238" s="51"/>
      <c r="AS1238" s="51"/>
      <c r="AT1238" s="51"/>
      <c r="AU1238" s="51"/>
      <c r="AV1238" s="49"/>
      <c r="AW1238" s="49"/>
      <c r="AX1238" s="49"/>
      <c r="AY1238" s="49"/>
      <c r="AZ1238" s="49"/>
      <c r="BA1238" s="49"/>
      <c r="BB1238" s="49"/>
      <c r="BC1238" s="49"/>
      <c r="BD1238" s="49"/>
      <c r="BE1238" s="49"/>
      <c r="BF1238" s="49"/>
      <c r="BG1238" s="49"/>
      <c r="BH1238" s="100" t="s">
        <v>1351</v>
      </c>
      <c r="BI1238" s="51"/>
      <c r="BJ1238" s="100" t="s">
        <v>1350</v>
      </c>
      <c r="BK1238" s="52" t="s">
        <v>1350</v>
      </c>
      <c r="BL1238" s="51"/>
      <c r="BM1238" s="49"/>
      <c r="BN1238" s="53"/>
      <c r="BO1238" s="49"/>
      <c r="BP1238" s="51"/>
      <c r="BQ1238" s="10"/>
    </row>
    <row r="1239">
      <c r="A1239" s="70">
        <v>4.0</v>
      </c>
      <c r="B1239" s="71" t="s">
        <v>2222</v>
      </c>
      <c r="C1239" s="71" t="s">
        <v>76</v>
      </c>
      <c r="D1239" s="56"/>
      <c r="E1239" s="56"/>
      <c r="F1239" s="56"/>
      <c r="G1239" s="56"/>
      <c r="H1239" s="56"/>
      <c r="I1239" s="58" t="str">
        <f t="shared" si="16"/>
        <v>5931101</v>
      </c>
      <c r="J1239" s="58"/>
      <c r="K1239" s="58"/>
      <c r="L1239" s="59" t="s">
        <v>2224</v>
      </c>
      <c r="M1239" s="60">
        <v>1.0</v>
      </c>
      <c r="N1239" s="72" t="s">
        <v>2225</v>
      </c>
      <c r="O1239" s="73" t="s">
        <v>2226</v>
      </c>
      <c r="P1239" s="72" t="s">
        <v>2227</v>
      </c>
      <c r="Q1239" s="90" t="s">
        <v>2228</v>
      </c>
      <c r="R1239" s="58"/>
      <c r="S1239" s="90" t="s">
        <v>2229</v>
      </c>
      <c r="T1239" s="58"/>
      <c r="U1239" s="72">
        <v>1.0</v>
      </c>
      <c r="V1239" s="58"/>
      <c r="W1239" s="72" t="s">
        <v>78</v>
      </c>
      <c r="X1239" s="58"/>
      <c r="Y1239" s="58"/>
      <c r="Z1239" s="58"/>
      <c r="AA1239" s="62" t="s">
        <v>79</v>
      </c>
      <c r="AB1239" s="62" t="s">
        <v>79</v>
      </c>
      <c r="AC1239" s="58"/>
      <c r="AD1239" s="58"/>
      <c r="AE1239" s="58"/>
      <c r="AF1239" s="58"/>
      <c r="AG1239" s="58"/>
      <c r="AH1239" s="58"/>
      <c r="AI1239" s="58"/>
      <c r="AJ1239" s="58"/>
      <c r="AK1239" s="58"/>
      <c r="AL1239" s="58"/>
      <c r="AM1239" s="58"/>
      <c r="AN1239" s="58"/>
      <c r="AO1239" s="58"/>
      <c r="AP1239" s="72" t="s">
        <v>2230</v>
      </c>
      <c r="AQ1239" s="58"/>
      <c r="AR1239" s="58"/>
      <c r="AS1239" s="58"/>
      <c r="AT1239" s="58"/>
      <c r="AU1239" s="58"/>
      <c r="AV1239" s="58"/>
      <c r="AW1239" s="58"/>
      <c r="AX1239" s="58"/>
      <c r="AY1239" s="58"/>
      <c r="AZ1239" s="58"/>
      <c r="BA1239" s="58"/>
      <c r="BB1239" s="58"/>
      <c r="BC1239" s="58"/>
      <c r="BD1239" s="58"/>
      <c r="BE1239" s="58"/>
      <c r="BF1239" s="92">
        <v>0.04861111111111111</v>
      </c>
      <c r="BG1239" s="58"/>
      <c r="BH1239" s="91" t="s">
        <v>2231</v>
      </c>
      <c r="BI1239" s="60">
        <v>75.0</v>
      </c>
      <c r="BJ1239" s="90" t="s">
        <v>2232</v>
      </c>
      <c r="BK1239" s="72" t="s">
        <v>2232</v>
      </c>
      <c r="BL1239" s="58"/>
      <c r="BM1239" s="58"/>
      <c r="BN1239" s="63"/>
      <c r="BO1239" s="58"/>
      <c r="BP1239" s="58"/>
      <c r="BQ1239" s="64"/>
    </row>
    <row r="1240">
      <c r="A1240" s="36">
        <v>2.0</v>
      </c>
      <c r="B1240" s="37" t="s">
        <v>2233</v>
      </c>
      <c r="C1240" s="38"/>
      <c r="D1240" s="38"/>
      <c r="E1240" s="38"/>
      <c r="F1240" s="38"/>
      <c r="G1240" s="38"/>
      <c r="H1240" s="38"/>
      <c r="I1240" s="39" t="str">
        <f t="shared" si="16"/>
        <v>59320</v>
      </c>
      <c r="J1240" s="40"/>
      <c r="K1240" s="40"/>
      <c r="L1240" s="39" t="s">
        <v>2234</v>
      </c>
      <c r="M1240" s="41">
        <v>1.0</v>
      </c>
      <c r="N1240" s="42"/>
      <c r="O1240" s="38"/>
      <c r="P1240" s="42"/>
      <c r="Q1240" s="42"/>
      <c r="R1240" s="42"/>
      <c r="S1240" s="42"/>
      <c r="T1240" s="40"/>
      <c r="U1240" s="43">
        <v>1.0</v>
      </c>
      <c r="V1240" s="40"/>
      <c r="W1240" s="43" t="s">
        <v>70</v>
      </c>
      <c r="X1240" s="40"/>
      <c r="Y1240" s="40"/>
      <c r="Z1240" s="40"/>
      <c r="AA1240" s="40"/>
      <c r="AB1240" s="40"/>
      <c r="AC1240" s="40"/>
      <c r="AD1240" s="40"/>
      <c r="AE1240" s="40"/>
      <c r="AF1240" s="40"/>
      <c r="AG1240" s="40"/>
      <c r="AH1240" s="40"/>
      <c r="AI1240" s="40"/>
      <c r="AJ1240" s="40"/>
      <c r="AK1240" s="40"/>
      <c r="AL1240" s="40"/>
      <c r="AM1240" s="40"/>
      <c r="AN1240" s="40"/>
      <c r="AO1240" s="40"/>
      <c r="AP1240" s="42"/>
      <c r="AQ1240" s="42"/>
      <c r="AR1240" s="42"/>
      <c r="AS1240" s="42"/>
      <c r="AT1240" s="42"/>
      <c r="AU1240" s="42"/>
      <c r="AV1240" s="40"/>
      <c r="AW1240" s="40"/>
      <c r="AX1240" s="40"/>
      <c r="AY1240" s="40"/>
      <c r="AZ1240" s="40"/>
      <c r="BA1240" s="40"/>
      <c r="BB1240" s="40"/>
      <c r="BC1240" s="40"/>
      <c r="BD1240" s="40"/>
      <c r="BE1240" s="40"/>
      <c r="BF1240" s="40"/>
      <c r="BG1240" s="40"/>
      <c r="BH1240" s="42"/>
      <c r="BI1240" s="42"/>
      <c r="BJ1240" s="42"/>
      <c r="BK1240" s="42"/>
      <c r="BL1240" s="42"/>
      <c r="BM1240" s="40"/>
      <c r="BN1240" s="44"/>
      <c r="BO1240" s="40"/>
      <c r="BP1240" s="42"/>
      <c r="BQ1240" s="10"/>
    </row>
    <row r="1241">
      <c r="A1241" s="45">
        <v>3.0</v>
      </c>
      <c r="B1241" s="46" t="s">
        <v>2235</v>
      </c>
      <c r="C1241" s="47"/>
      <c r="D1241" s="47"/>
      <c r="E1241" s="47"/>
      <c r="F1241" s="47"/>
      <c r="G1241" s="47"/>
      <c r="H1241" s="47"/>
      <c r="I1241" s="48" t="str">
        <f t="shared" si="16"/>
        <v>59321</v>
      </c>
      <c r="J1241" s="49"/>
      <c r="K1241" s="49"/>
      <c r="L1241" s="48" t="s">
        <v>2234</v>
      </c>
      <c r="M1241" s="50">
        <v>1.0</v>
      </c>
      <c r="N1241" s="51"/>
      <c r="O1241" s="47"/>
      <c r="P1241" s="51"/>
      <c r="Q1241" s="51"/>
      <c r="R1241" s="51"/>
      <c r="S1241" s="51"/>
      <c r="T1241" s="49"/>
      <c r="U1241" s="52">
        <v>1.0</v>
      </c>
      <c r="V1241" s="49"/>
      <c r="W1241" s="52" t="s">
        <v>70</v>
      </c>
      <c r="X1241" s="49"/>
      <c r="Y1241" s="49"/>
      <c r="Z1241" s="49"/>
      <c r="AA1241" s="49"/>
      <c r="AB1241" s="49"/>
      <c r="AC1241" s="49"/>
      <c r="AD1241" s="49"/>
      <c r="AE1241" s="49"/>
      <c r="AF1241" s="49"/>
      <c r="AG1241" s="49"/>
      <c r="AH1241" s="49"/>
      <c r="AI1241" s="49"/>
      <c r="AJ1241" s="49"/>
      <c r="AK1241" s="49"/>
      <c r="AL1241" s="49"/>
      <c r="AM1241" s="49"/>
      <c r="AN1241" s="49"/>
      <c r="AO1241" s="49"/>
      <c r="AP1241" s="51"/>
      <c r="AQ1241" s="51"/>
      <c r="AR1241" s="51"/>
      <c r="AS1241" s="51"/>
      <c r="AT1241" s="51"/>
      <c r="AU1241" s="51"/>
      <c r="AV1241" s="49"/>
      <c r="AW1241" s="49"/>
      <c r="AX1241" s="49"/>
      <c r="AY1241" s="49"/>
      <c r="AZ1241" s="49"/>
      <c r="BA1241" s="49"/>
      <c r="BB1241" s="49"/>
      <c r="BC1241" s="49"/>
      <c r="BD1241" s="49"/>
      <c r="BE1241" s="49"/>
      <c r="BF1241" s="49"/>
      <c r="BG1241" s="49"/>
      <c r="BH1241" s="100" t="s">
        <v>1351</v>
      </c>
      <c r="BI1241" s="51"/>
      <c r="BJ1241" s="100" t="s">
        <v>1350</v>
      </c>
      <c r="BK1241" s="52" t="s">
        <v>1350</v>
      </c>
      <c r="BL1241" s="51"/>
      <c r="BM1241" s="49"/>
      <c r="BN1241" s="53"/>
      <c r="BO1241" s="49"/>
      <c r="BP1241" s="51"/>
      <c r="BQ1241" s="10"/>
    </row>
    <row r="1242">
      <c r="A1242" s="1">
        <v>4.0</v>
      </c>
      <c r="B1242" s="2">
        <v>59321.0</v>
      </c>
      <c r="C1242" s="2" t="s">
        <v>76</v>
      </c>
      <c r="D1242" s="93"/>
      <c r="E1242" s="93"/>
      <c r="F1242" s="93"/>
      <c r="G1242" s="93"/>
      <c r="H1242" s="93"/>
      <c r="I1242" s="3" t="str">
        <f t="shared" si="16"/>
        <v>5932101</v>
      </c>
      <c r="J1242" s="3"/>
      <c r="K1242" s="3"/>
      <c r="L1242" s="94" t="s">
        <v>2236</v>
      </c>
      <c r="M1242" s="4">
        <v>1.0</v>
      </c>
      <c r="N1242" s="6" t="s">
        <v>2237</v>
      </c>
      <c r="O1242" s="95" t="s">
        <v>2238</v>
      </c>
      <c r="P1242" s="3"/>
      <c r="Q1242" s="3"/>
      <c r="R1242" s="3"/>
      <c r="S1242" s="3"/>
      <c r="T1242" s="3"/>
      <c r="U1242" s="6">
        <v>1.0</v>
      </c>
      <c r="V1242" s="3"/>
      <c r="W1242" s="6" t="s">
        <v>78</v>
      </c>
      <c r="X1242" s="3"/>
      <c r="Y1242" s="3"/>
      <c r="Z1242" s="3"/>
      <c r="AA1242" s="96" t="s">
        <v>79</v>
      </c>
      <c r="AB1242" s="96" t="s">
        <v>79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6" t="s">
        <v>2239</v>
      </c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8" t="s">
        <v>1351</v>
      </c>
      <c r="BI1242" s="3"/>
      <c r="BJ1242" s="8" t="s">
        <v>1350</v>
      </c>
      <c r="BK1242" s="6" t="s">
        <v>2238</v>
      </c>
      <c r="BL1242" s="3"/>
      <c r="BM1242" s="3"/>
      <c r="BN1242" s="97"/>
      <c r="BO1242" s="3"/>
      <c r="BP1242" s="3"/>
      <c r="BQ1242" s="10"/>
    </row>
    <row r="1243">
      <c r="A1243" s="1">
        <v>5.0</v>
      </c>
      <c r="B1243" s="2">
        <v>59321.0</v>
      </c>
      <c r="C1243" s="2" t="s">
        <v>119</v>
      </c>
      <c r="D1243" s="93"/>
      <c r="E1243" s="93"/>
      <c r="F1243" s="93"/>
      <c r="G1243" s="93"/>
      <c r="H1243" s="93"/>
      <c r="I1243" s="3" t="str">
        <f t="shared" si="16"/>
        <v>5932102</v>
      </c>
      <c r="J1243" s="3"/>
      <c r="K1243" s="3"/>
      <c r="L1243" s="94" t="s">
        <v>2240</v>
      </c>
      <c r="M1243" s="4">
        <v>1.0</v>
      </c>
      <c r="N1243" s="3"/>
      <c r="O1243" s="95" t="s">
        <v>2241</v>
      </c>
      <c r="P1243" s="3"/>
      <c r="Q1243" s="3"/>
      <c r="R1243" s="3"/>
      <c r="S1243" s="3"/>
      <c r="T1243" s="3"/>
      <c r="U1243" s="6">
        <v>1.0</v>
      </c>
      <c r="V1243" s="3"/>
      <c r="W1243" s="6" t="s">
        <v>78</v>
      </c>
      <c r="X1243" s="3"/>
      <c r="Y1243" s="3"/>
      <c r="Z1243" s="3"/>
      <c r="AA1243" s="96" t="s">
        <v>79</v>
      </c>
      <c r="AB1243" s="96" t="s">
        <v>79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6" t="s">
        <v>80</v>
      </c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8" t="s">
        <v>1351</v>
      </c>
      <c r="BI1243" s="3"/>
      <c r="BJ1243" s="8" t="s">
        <v>1350</v>
      </c>
      <c r="BK1243" s="6" t="s">
        <v>2241</v>
      </c>
      <c r="BL1243" s="3"/>
      <c r="BM1243" s="3"/>
      <c r="BN1243" s="97"/>
      <c r="BO1243" s="3"/>
      <c r="BP1243" s="3"/>
      <c r="BQ1243" s="10"/>
    </row>
    <row r="1244">
      <c r="A1244" s="70">
        <v>4.0</v>
      </c>
      <c r="B1244" s="71">
        <v>59321.0</v>
      </c>
      <c r="C1244" s="71" t="s">
        <v>124</v>
      </c>
      <c r="D1244" s="56"/>
      <c r="E1244" s="56"/>
      <c r="F1244" s="56"/>
      <c r="G1244" s="56"/>
      <c r="H1244" s="56"/>
      <c r="I1244" s="58" t="str">
        <f t="shared" si="16"/>
        <v>5932103</v>
      </c>
      <c r="J1244" s="58"/>
      <c r="K1244" s="58"/>
      <c r="L1244" s="59" t="s">
        <v>2242</v>
      </c>
      <c r="M1244" s="60">
        <v>1.0</v>
      </c>
      <c r="N1244" s="72" t="s">
        <v>2243</v>
      </c>
      <c r="O1244" s="163" t="s">
        <v>2244</v>
      </c>
      <c r="P1244" s="58"/>
      <c r="Q1244" s="58"/>
      <c r="R1244" s="58"/>
      <c r="S1244" s="58"/>
      <c r="T1244" s="58"/>
      <c r="U1244" s="72">
        <v>1.0</v>
      </c>
      <c r="V1244" s="58"/>
      <c r="W1244" s="72" t="s">
        <v>78</v>
      </c>
      <c r="X1244" s="58"/>
      <c r="Y1244" s="58"/>
      <c r="Z1244" s="58"/>
      <c r="AA1244" s="62" t="s">
        <v>79</v>
      </c>
      <c r="AB1244" s="62" t="s">
        <v>79</v>
      </c>
      <c r="AC1244" s="58"/>
      <c r="AD1244" s="58"/>
      <c r="AE1244" s="58"/>
      <c r="AF1244" s="58"/>
      <c r="AG1244" s="58"/>
      <c r="AH1244" s="58"/>
      <c r="AI1244" s="58"/>
      <c r="AJ1244" s="58"/>
      <c r="AK1244" s="58"/>
      <c r="AL1244" s="58"/>
      <c r="AM1244" s="58"/>
      <c r="AN1244" s="58"/>
      <c r="AO1244" s="58"/>
      <c r="AP1244" s="72" t="s">
        <v>2245</v>
      </c>
      <c r="AQ1244" s="58"/>
      <c r="AR1244" s="72">
        <v>833.5</v>
      </c>
      <c r="AS1244" s="72">
        <v>390.0</v>
      </c>
      <c r="AT1244" s="72">
        <v>358.0</v>
      </c>
      <c r="AU1244" s="58"/>
      <c r="AV1244" s="58"/>
      <c r="AW1244" s="58"/>
      <c r="AX1244" s="58"/>
      <c r="AY1244" s="58"/>
      <c r="AZ1244" s="58"/>
      <c r="BA1244" s="58"/>
      <c r="BB1244" s="58"/>
      <c r="BC1244" s="58"/>
      <c r="BD1244" s="58"/>
      <c r="BE1244" s="58"/>
      <c r="BF1244" s="58"/>
      <c r="BG1244" s="58"/>
      <c r="BH1244" s="90" t="s">
        <v>1351</v>
      </c>
      <c r="BI1244" s="58"/>
      <c r="BJ1244" s="90" t="s">
        <v>1350</v>
      </c>
      <c r="BK1244" s="72">
        <v>70.0</v>
      </c>
      <c r="BL1244" s="58"/>
      <c r="BM1244" s="58"/>
      <c r="BN1244" s="63"/>
      <c r="BO1244" s="58"/>
      <c r="BP1244" s="90" t="s">
        <v>2246</v>
      </c>
      <c r="BQ1244" s="64"/>
    </row>
    <row r="1245">
      <c r="A1245" s="1">
        <v>4.0</v>
      </c>
      <c r="B1245" s="2">
        <v>59321.0</v>
      </c>
      <c r="C1245" s="2" t="s">
        <v>127</v>
      </c>
      <c r="D1245" s="93"/>
      <c r="E1245" s="93"/>
      <c r="F1245" s="93"/>
      <c r="G1245" s="93"/>
      <c r="H1245" s="93"/>
      <c r="I1245" s="3" t="str">
        <f t="shared" si="16"/>
        <v>5932104</v>
      </c>
      <c r="J1245" s="3"/>
      <c r="K1245" s="3"/>
      <c r="L1245" s="94" t="s">
        <v>2247</v>
      </c>
      <c r="M1245" s="4">
        <v>1.0</v>
      </c>
      <c r="N1245" s="6" t="s">
        <v>2248</v>
      </c>
      <c r="O1245" s="95" t="s">
        <v>2249</v>
      </c>
      <c r="P1245" s="3"/>
      <c r="Q1245" s="3"/>
      <c r="R1245" s="3"/>
      <c r="S1245" s="3"/>
      <c r="T1245" s="3"/>
      <c r="U1245" s="6">
        <v>1.0</v>
      </c>
      <c r="V1245" s="3"/>
      <c r="W1245" s="6" t="s">
        <v>141</v>
      </c>
      <c r="X1245" s="3"/>
      <c r="Y1245" s="3"/>
      <c r="Z1245" s="3"/>
      <c r="AA1245" s="96" t="s">
        <v>79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6" t="s">
        <v>2250</v>
      </c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8" t="s">
        <v>1337</v>
      </c>
      <c r="BI1245" s="3"/>
      <c r="BJ1245" s="8" t="s">
        <v>1336</v>
      </c>
      <c r="BK1245" s="95" t="s">
        <v>2249</v>
      </c>
      <c r="BL1245" s="3"/>
      <c r="BM1245" s="3"/>
      <c r="BN1245" s="97"/>
      <c r="BO1245" s="3"/>
      <c r="BP1245" s="3"/>
      <c r="BQ1245" s="10"/>
    </row>
    <row r="1246">
      <c r="A1246" s="1">
        <v>5.0</v>
      </c>
      <c r="B1246" s="2">
        <v>59321.0</v>
      </c>
      <c r="C1246" s="2" t="s">
        <v>127</v>
      </c>
      <c r="D1246" s="2" t="s">
        <v>76</v>
      </c>
      <c r="E1246" s="93"/>
      <c r="F1246" s="93"/>
      <c r="G1246" s="93"/>
      <c r="H1246" s="93"/>
      <c r="I1246" s="3" t="str">
        <f t="shared" si="16"/>
        <v>593210401</v>
      </c>
      <c r="J1246" s="3"/>
      <c r="K1246" s="3"/>
      <c r="L1246" s="94" t="s">
        <v>2251</v>
      </c>
      <c r="M1246" s="4">
        <v>1.0</v>
      </c>
      <c r="N1246" s="6" t="s">
        <v>2252</v>
      </c>
      <c r="O1246" s="95" t="s">
        <v>2253</v>
      </c>
      <c r="P1246" s="3"/>
      <c r="Q1246" s="3"/>
      <c r="R1246" s="3"/>
      <c r="S1246" s="3"/>
      <c r="T1246" s="3"/>
      <c r="U1246" s="6">
        <v>1.0</v>
      </c>
      <c r="V1246" s="3"/>
      <c r="W1246" s="6" t="s">
        <v>78</v>
      </c>
      <c r="X1246" s="3"/>
      <c r="Y1246" s="3"/>
      <c r="Z1246" s="3"/>
      <c r="AA1246" s="96" t="s">
        <v>79</v>
      </c>
      <c r="AB1246" s="96" t="s">
        <v>79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6">
        <v>40230.0</v>
      </c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8" t="s">
        <v>2254</v>
      </c>
      <c r="BI1246" s="3"/>
      <c r="BJ1246" s="8" t="s">
        <v>2255</v>
      </c>
      <c r="BK1246" s="6" t="s">
        <v>2253</v>
      </c>
      <c r="BL1246" s="3"/>
      <c r="BM1246" s="3"/>
      <c r="BN1246" s="97"/>
      <c r="BO1246" s="3"/>
      <c r="BP1246" s="3"/>
      <c r="BQ1246" s="10"/>
    </row>
    <row r="1247">
      <c r="A1247" s="1">
        <v>5.0</v>
      </c>
      <c r="B1247" s="2">
        <v>59321.0</v>
      </c>
      <c r="C1247" s="2" t="s">
        <v>127</v>
      </c>
      <c r="D1247" s="2" t="s">
        <v>119</v>
      </c>
      <c r="E1247" s="93"/>
      <c r="F1247" s="93"/>
      <c r="G1247" s="93"/>
      <c r="H1247" s="93"/>
      <c r="I1247" s="3" t="str">
        <f t="shared" si="16"/>
        <v>593210402</v>
      </c>
      <c r="J1247" s="3"/>
      <c r="K1247" s="3"/>
      <c r="L1247" s="94" t="s">
        <v>2256</v>
      </c>
      <c r="M1247" s="4">
        <v>1.0</v>
      </c>
      <c r="N1247" s="6" t="s">
        <v>2248</v>
      </c>
      <c r="O1247" s="95" t="s">
        <v>2257</v>
      </c>
      <c r="P1247" s="3"/>
      <c r="Q1247" s="3"/>
      <c r="R1247" s="3"/>
      <c r="S1247" s="3"/>
      <c r="T1247" s="3"/>
      <c r="U1247" s="6">
        <v>1.0</v>
      </c>
      <c r="V1247" s="3"/>
      <c r="W1247" s="6" t="s">
        <v>78</v>
      </c>
      <c r="X1247" s="3"/>
      <c r="Y1247" s="3"/>
      <c r="Z1247" s="3"/>
      <c r="AA1247" s="96" t="s">
        <v>79</v>
      </c>
      <c r="AB1247" s="96" t="s">
        <v>79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6" t="s">
        <v>2250</v>
      </c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97"/>
      <c r="BO1247" s="3"/>
      <c r="BP1247" s="3"/>
      <c r="BQ1247" s="10"/>
    </row>
    <row r="1248">
      <c r="A1248" s="1">
        <v>4.0</v>
      </c>
      <c r="B1248" s="2">
        <v>59321.0</v>
      </c>
      <c r="C1248" s="2" t="s">
        <v>91</v>
      </c>
      <c r="D1248" s="93"/>
      <c r="E1248" s="93"/>
      <c r="F1248" s="93"/>
      <c r="G1248" s="93"/>
      <c r="H1248" s="93"/>
      <c r="I1248" s="3" t="str">
        <f t="shared" si="16"/>
        <v>5932105</v>
      </c>
      <c r="J1248" s="3"/>
      <c r="K1248" s="3"/>
      <c r="L1248" s="94" t="s">
        <v>2258</v>
      </c>
      <c r="M1248" s="4">
        <v>2.0</v>
      </c>
      <c r="N1248" s="3"/>
      <c r="O1248" s="93"/>
      <c r="P1248" s="3"/>
      <c r="Q1248" s="3"/>
      <c r="R1248" s="3"/>
      <c r="S1248" s="3"/>
      <c r="T1248" s="3"/>
      <c r="U1248" s="6">
        <v>1.0</v>
      </c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97"/>
      <c r="BO1248" s="3"/>
      <c r="BP1248" s="3"/>
      <c r="BQ1248" s="10"/>
    </row>
    <row r="1249">
      <c r="A1249" s="36">
        <v>2.0</v>
      </c>
      <c r="B1249" s="37" t="s">
        <v>2259</v>
      </c>
      <c r="C1249" s="38"/>
      <c r="D1249" s="38"/>
      <c r="E1249" s="38"/>
      <c r="F1249" s="38"/>
      <c r="G1249" s="38"/>
      <c r="H1249" s="38"/>
      <c r="I1249" s="39" t="str">
        <f t="shared" si="16"/>
        <v>59330</v>
      </c>
      <c r="J1249" s="40"/>
      <c r="K1249" s="40"/>
      <c r="L1249" s="39" t="s">
        <v>2260</v>
      </c>
      <c r="M1249" s="41">
        <v>1.0</v>
      </c>
      <c r="N1249" s="42"/>
      <c r="O1249" s="38"/>
      <c r="P1249" s="42"/>
      <c r="Q1249" s="42"/>
      <c r="R1249" s="42"/>
      <c r="S1249" s="42"/>
      <c r="T1249" s="40"/>
      <c r="U1249" s="43">
        <v>1.0</v>
      </c>
      <c r="V1249" s="40"/>
      <c r="W1249" s="43" t="s">
        <v>70</v>
      </c>
      <c r="X1249" s="40"/>
      <c r="Y1249" s="40"/>
      <c r="Z1249" s="40"/>
      <c r="AA1249" s="40"/>
      <c r="AB1249" s="40"/>
      <c r="AC1249" s="40"/>
      <c r="AD1249" s="40"/>
      <c r="AE1249" s="40"/>
      <c r="AF1249" s="40"/>
      <c r="AG1249" s="40"/>
      <c r="AH1249" s="40"/>
      <c r="AI1249" s="40"/>
      <c r="AJ1249" s="40"/>
      <c r="AK1249" s="40"/>
      <c r="AL1249" s="40"/>
      <c r="AM1249" s="40"/>
      <c r="AN1249" s="40"/>
      <c r="AO1249" s="40"/>
      <c r="AP1249" s="42"/>
      <c r="AQ1249" s="42"/>
      <c r="AR1249" s="42"/>
      <c r="AS1249" s="42"/>
      <c r="AT1249" s="42"/>
      <c r="AU1249" s="42"/>
      <c r="AV1249" s="40"/>
      <c r="AW1249" s="40"/>
      <c r="AX1249" s="40"/>
      <c r="AY1249" s="40"/>
      <c r="AZ1249" s="40"/>
      <c r="BA1249" s="40"/>
      <c r="BB1249" s="40"/>
      <c r="BC1249" s="40"/>
      <c r="BD1249" s="40"/>
      <c r="BE1249" s="40"/>
      <c r="BF1249" s="40"/>
      <c r="BG1249" s="40"/>
      <c r="BH1249" s="42"/>
      <c r="BI1249" s="42"/>
      <c r="BJ1249" s="42"/>
      <c r="BK1249" s="42"/>
      <c r="BL1249" s="42"/>
      <c r="BM1249" s="40"/>
      <c r="BN1249" s="44"/>
      <c r="BO1249" s="40"/>
      <c r="BP1249" s="42"/>
      <c r="BQ1249" s="10"/>
    </row>
    <row r="1250">
      <c r="A1250" s="45">
        <v>3.0</v>
      </c>
      <c r="B1250" s="46" t="s">
        <v>2261</v>
      </c>
      <c r="C1250" s="47"/>
      <c r="D1250" s="47"/>
      <c r="E1250" s="47"/>
      <c r="F1250" s="47"/>
      <c r="G1250" s="47"/>
      <c r="H1250" s="47"/>
      <c r="I1250" s="48" t="str">
        <f t="shared" si="16"/>
        <v>59331</v>
      </c>
      <c r="J1250" s="49"/>
      <c r="K1250" s="49"/>
      <c r="L1250" s="48" t="s">
        <v>2262</v>
      </c>
      <c r="M1250" s="50">
        <v>1.0</v>
      </c>
      <c r="N1250" s="51"/>
      <c r="O1250" s="47"/>
      <c r="P1250" s="51"/>
      <c r="Q1250" s="51"/>
      <c r="R1250" s="51"/>
      <c r="S1250" s="51"/>
      <c r="T1250" s="49"/>
      <c r="U1250" s="52">
        <v>1.0</v>
      </c>
      <c r="V1250" s="49"/>
      <c r="W1250" s="52" t="s">
        <v>70</v>
      </c>
      <c r="X1250" s="49"/>
      <c r="Y1250" s="49"/>
      <c r="Z1250" s="49"/>
      <c r="AA1250" s="49"/>
      <c r="AB1250" s="49"/>
      <c r="AC1250" s="49"/>
      <c r="AD1250" s="49"/>
      <c r="AE1250" s="49"/>
      <c r="AF1250" s="49"/>
      <c r="AG1250" s="49"/>
      <c r="AH1250" s="49"/>
      <c r="AI1250" s="49"/>
      <c r="AJ1250" s="49"/>
      <c r="AK1250" s="49"/>
      <c r="AL1250" s="49"/>
      <c r="AM1250" s="49"/>
      <c r="AN1250" s="49"/>
      <c r="AO1250" s="49"/>
      <c r="AP1250" s="51"/>
      <c r="AQ1250" s="51"/>
      <c r="AR1250" s="51"/>
      <c r="AS1250" s="51"/>
      <c r="AT1250" s="51"/>
      <c r="AU1250" s="51"/>
      <c r="AV1250" s="49"/>
      <c r="AW1250" s="49"/>
      <c r="AX1250" s="49"/>
      <c r="AY1250" s="49"/>
      <c r="AZ1250" s="49"/>
      <c r="BA1250" s="49"/>
      <c r="BB1250" s="49"/>
      <c r="BC1250" s="49"/>
      <c r="BD1250" s="49"/>
      <c r="BE1250" s="49"/>
      <c r="BF1250" s="49"/>
      <c r="BG1250" s="49"/>
      <c r="BH1250" s="51"/>
      <c r="BI1250" s="51"/>
      <c r="BJ1250" s="51"/>
      <c r="BK1250" s="51"/>
      <c r="BL1250" s="51"/>
      <c r="BM1250" s="49"/>
      <c r="BN1250" s="53"/>
      <c r="BO1250" s="49"/>
      <c r="BP1250" s="51"/>
      <c r="BQ1250" s="10"/>
    </row>
    <row r="1251">
      <c r="A1251" s="1">
        <v>4.0</v>
      </c>
      <c r="B1251" s="2" t="s">
        <v>2261</v>
      </c>
      <c r="C1251" s="2" t="s">
        <v>76</v>
      </c>
      <c r="D1251" s="93"/>
      <c r="E1251" s="93"/>
      <c r="F1251" s="93"/>
      <c r="G1251" s="93"/>
      <c r="H1251" s="93"/>
      <c r="I1251" s="3" t="str">
        <f t="shared" si="16"/>
        <v>5933101</v>
      </c>
      <c r="J1251" s="3"/>
      <c r="K1251" s="3"/>
      <c r="L1251" s="94" t="s">
        <v>2263</v>
      </c>
      <c r="M1251" s="4">
        <v>1.0</v>
      </c>
      <c r="N1251" s="3"/>
      <c r="O1251" s="93"/>
      <c r="P1251" s="3"/>
      <c r="Q1251" s="3"/>
      <c r="R1251" s="3"/>
      <c r="S1251" s="3"/>
      <c r="T1251" s="3"/>
      <c r="U1251" s="6">
        <v>1.0</v>
      </c>
      <c r="V1251" s="3"/>
      <c r="W1251" s="6" t="s">
        <v>78</v>
      </c>
      <c r="X1251" s="3"/>
      <c r="Y1251" s="3"/>
      <c r="Z1251" s="3"/>
      <c r="AA1251" s="96" t="s">
        <v>79</v>
      </c>
      <c r="AB1251" s="96" t="s">
        <v>79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6" t="s">
        <v>80</v>
      </c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97"/>
      <c r="BO1251" s="3"/>
      <c r="BP1251" s="3"/>
      <c r="BQ1251" s="10"/>
    </row>
    <row r="1252">
      <c r="A1252" s="28">
        <v>1.0</v>
      </c>
      <c r="B1252" s="29" t="s">
        <v>2264</v>
      </c>
      <c r="C1252" s="30"/>
      <c r="D1252" s="30"/>
      <c r="E1252" s="30"/>
      <c r="F1252" s="30"/>
      <c r="G1252" s="30"/>
      <c r="H1252" s="30"/>
      <c r="I1252" s="31" t="str">
        <f t="shared" si="16"/>
        <v>59900</v>
      </c>
      <c r="J1252" s="74"/>
      <c r="K1252" s="74"/>
      <c r="L1252" s="31" t="s">
        <v>2265</v>
      </c>
      <c r="M1252" s="75">
        <v>1.0</v>
      </c>
      <c r="N1252" s="32"/>
      <c r="O1252" s="30"/>
      <c r="P1252" s="32"/>
      <c r="Q1252" s="32"/>
      <c r="R1252" s="32"/>
      <c r="S1252" s="32"/>
      <c r="T1252" s="74"/>
      <c r="U1252" s="34">
        <v>1.0</v>
      </c>
      <c r="V1252" s="74"/>
      <c r="W1252" s="34" t="s">
        <v>70</v>
      </c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  <c r="AH1252" s="74"/>
      <c r="AI1252" s="74"/>
      <c r="AJ1252" s="74"/>
      <c r="AK1252" s="74"/>
      <c r="AL1252" s="74"/>
      <c r="AM1252" s="74"/>
      <c r="AN1252" s="74"/>
      <c r="AO1252" s="74"/>
      <c r="AP1252" s="32"/>
      <c r="AQ1252" s="32"/>
      <c r="AR1252" s="32"/>
      <c r="AS1252" s="32"/>
      <c r="AT1252" s="32"/>
      <c r="AU1252" s="32"/>
      <c r="AV1252" s="74"/>
      <c r="AW1252" s="74"/>
      <c r="AX1252" s="74"/>
      <c r="AY1252" s="74"/>
      <c r="AZ1252" s="74"/>
      <c r="BA1252" s="74"/>
      <c r="BB1252" s="74"/>
      <c r="BC1252" s="74"/>
      <c r="BD1252" s="74"/>
      <c r="BE1252" s="74"/>
      <c r="BF1252" s="74"/>
      <c r="BG1252" s="74"/>
      <c r="BH1252" s="32"/>
      <c r="BI1252" s="32"/>
      <c r="BJ1252" s="32"/>
      <c r="BK1252" s="32"/>
      <c r="BL1252" s="32"/>
      <c r="BM1252" s="74"/>
      <c r="BN1252" s="76"/>
      <c r="BO1252" s="74"/>
      <c r="BP1252" s="32"/>
      <c r="BQ1252" s="10"/>
    </row>
    <row r="1253">
      <c r="A1253" s="36">
        <v>2.0</v>
      </c>
      <c r="B1253" s="37">
        <v>59910.0</v>
      </c>
      <c r="C1253" s="38"/>
      <c r="D1253" s="38"/>
      <c r="E1253" s="38"/>
      <c r="F1253" s="38"/>
      <c r="G1253" s="38"/>
      <c r="H1253" s="38"/>
      <c r="I1253" s="39" t="str">
        <f t="shared" si="16"/>
        <v>59910</v>
      </c>
      <c r="J1253" s="40"/>
      <c r="K1253" s="40"/>
      <c r="L1253" s="39" t="s">
        <v>2266</v>
      </c>
      <c r="M1253" s="41">
        <v>1.0</v>
      </c>
      <c r="N1253" s="42"/>
      <c r="O1253" s="38"/>
      <c r="P1253" s="42"/>
      <c r="Q1253" s="42"/>
      <c r="R1253" s="42"/>
      <c r="S1253" s="42"/>
      <c r="T1253" s="40"/>
      <c r="U1253" s="43">
        <v>1.0</v>
      </c>
      <c r="V1253" s="40"/>
      <c r="W1253" s="43" t="s">
        <v>70</v>
      </c>
      <c r="X1253" s="40"/>
      <c r="Y1253" s="40"/>
      <c r="Z1253" s="40"/>
      <c r="AA1253" s="40"/>
      <c r="AB1253" s="40"/>
      <c r="AC1253" s="40"/>
      <c r="AD1253" s="40"/>
      <c r="AE1253" s="40"/>
      <c r="AF1253" s="40"/>
      <c r="AG1253" s="40"/>
      <c r="AH1253" s="40"/>
      <c r="AI1253" s="40"/>
      <c r="AJ1253" s="40"/>
      <c r="AK1253" s="40"/>
      <c r="AL1253" s="40"/>
      <c r="AM1253" s="40"/>
      <c r="AN1253" s="40"/>
      <c r="AO1253" s="40"/>
      <c r="AP1253" s="42"/>
      <c r="AQ1253" s="42"/>
      <c r="AR1253" s="42"/>
      <c r="AS1253" s="42"/>
      <c r="AT1253" s="42"/>
      <c r="AU1253" s="42"/>
      <c r="AV1253" s="40"/>
      <c r="AW1253" s="40"/>
      <c r="AX1253" s="40"/>
      <c r="AY1253" s="40"/>
      <c r="AZ1253" s="40"/>
      <c r="BA1253" s="40"/>
      <c r="BB1253" s="40"/>
      <c r="BC1253" s="40"/>
      <c r="BD1253" s="40"/>
      <c r="BE1253" s="40"/>
      <c r="BF1253" s="40"/>
      <c r="BG1253" s="40"/>
      <c r="BH1253" s="42"/>
      <c r="BI1253" s="42"/>
      <c r="BJ1253" s="42"/>
      <c r="BK1253" s="42"/>
      <c r="BL1253" s="42"/>
      <c r="BM1253" s="40"/>
      <c r="BN1253" s="44"/>
      <c r="BO1253" s="40"/>
      <c r="BP1253" s="42"/>
      <c r="BQ1253" s="10"/>
    </row>
    <row r="1254">
      <c r="A1254" s="45">
        <v>3.0</v>
      </c>
      <c r="B1254" s="46">
        <v>59911.0</v>
      </c>
      <c r="C1254" s="47"/>
      <c r="D1254" s="47"/>
      <c r="E1254" s="47"/>
      <c r="F1254" s="47"/>
      <c r="G1254" s="47"/>
      <c r="H1254" s="47"/>
      <c r="I1254" s="48" t="str">
        <f t="shared" si="16"/>
        <v>59911</v>
      </c>
      <c r="J1254" s="49"/>
      <c r="K1254" s="49"/>
      <c r="L1254" s="48" t="s">
        <v>2266</v>
      </c>
      <c r="M1254" s="50">
        <v>1.0</v>
      </c>
      <c r="N1254" s="51"/>
      <c r="O1254" s="47"/>
      <c r="P1254" s="51"/>
      <c r="Q1254" s="51"/>
      <c r="R1254" s="51"/>
      <c r="S1254" s="51"/>
      <c r="T1254" s="49"/>
      <c r="U1254" s="52">
        <v>1.0</v>
      </c>
      <c r="V1254" s="49"/>
      <c r="W1254" s="52" t="s">
        <v>70</v>
      </c>
      <c r="X1254" s="49"/>
      <c r="Y1254" s="49"/>
      <c r="Z1254" s="49"/>
      <c r="AA1254" s="49"/>
      <c r="AB1254" s="49"/>
      <c r="AC1254" s="49"/>
      <c r="AD1254" s="49"/>
      <c r="AE1254" s="49"/>
      <c r="AF1254" s="49"/>
      <c r="AG1254" s="49"/>
      <c r="AH1254" s="49"/>
      <c r="AI1254" s="49"/>
      <c r="AJ1254" s="49"/>
      <c r="AK1254" s="49"/>
      <c r="AL1254" s="49"/>
      <c r="AM1254" s="49"/>
      <c r="AN1254" s="49"/>
      <c r="AO1254" s="49"/>
      <c r="AP1254" s="51"/>
      <c r="AQ1254" s="51"/>
      <c r="AR1254" s="51"/>
      <c r="AS1254" s="51"/>
      <c r="AT1254" s="51"/>
      <c r="AU1254" s="51"/>
      <c r="AV1254" s="49"/>
      <c r="AW1254" s="49"/>
      <c r="AX1254" s="49"/>
      <c r="AY1254" s="49"/>
      <c r="AZ1254" s="49"/>
      <c r="BA1254" s="49"/>
      <c r="BB1254" s="49"/>
      <c r="BC1254" s="49"/>
      <c r="BD1254" s="49"/>
      <c r="BE1254" s="49"/>
      <c r="BF1254" s="49"/>
      <c r="BG1254" s="49"/>
      <c r="BH1254" s="51"/>
      <c r="BI1254" s="51"/>
      <c r="BJ1254" s="51"/>
      <c r="BK1254" s="51"/>
      <c r="BL1254" s="51"/>
      <c r="BM1254" s="49"/>
      <c r="BN1254" s="53"/>
      <c r="BO1254" s="49"/>
      <c r="BP1254" s="51"/>
      <c r="BQ1254" s="10"/>
    </row>
    <row r="1255">
      <c r="A1255" s="1">
        <v>4.0</v>
      </c>
      <c r="B1255" s="2">
        <v>59911.0</v>
      </c>
      <c r="C1255" s="2" t="s">
        <v>76</v>
      </c>
      <c r="D1255" s="93"/>
      <c r="E1255" s="93"/>
      <c r="F1255" s="93"/>
      <c r="G1255" s="93"/>
      <c r="H1255" s="93"/>
      <c r="I1255" s="3" t="str">
        <f t="shared" si="16"/>
        <v>5991101</v>
      </c>
      <c r="J1255" s="3"/>
      <c r="K1255" s="3"/>
      <c r="L1255" s="94" t="s">
        <v>2267</v>
      </c>
      <c r="M1255" s="4">
        <v>2.0</v>
      </c>
      <c r="N1255" s="3"/>
      <c r="O1255" s="93"/>
      <c r="P1255" s="3"/>
      <c r="Q1255" s="3"/>
      <c r="R1255" s="3"/>
      <c r="S1255" s="3"/>
      <c r="T1255" s="3"/>
      <c r="U1255" s="6">
        <v>2.0</v>
      </c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97"/>
      <c r="BO1255" s="3"/>
      <c r="BP1255" s="3"/>
      <c r="BQ1255" s="10"/>
    </row>
    <row r="1256">
      <c r="A1256" s="1">
        <v>4.0</v>
      </c>
      <c r="B1256" s="2">
        <v>59911.0</v>
      </c>
      <c r="C1256" s="2" t="s">
        <v>119</v>
      </c>
      <c r="D1256" s="93"/>
      <c r="E1256" s="93"/>
      <c r="F1256" s="93"/>
      <c r="G1256" s="93"/>
      <c r="H1256" s="93"/>
      <c r="I1256" s="3" t="str">
        <f t="shared" si="16"/>
        <v>5991102</v>
      </c>
      <c r="J1256" s="3"/>
      <c r="K1256" s="3"/>
      <c r="L1256" s="94" t="s">
        <v>2268</v>
      </c>
      <c r="M1256" s="4">
        <v>2.0</v>
      </c>
      <c r="N1256" s="3"/>
      <c r="O1256" s="93"/>
      <c r="P1256" s="3"/>
      <c r="Q1256" s="3"/>
      <c r="R1256" s="3"/>
      <c r="S1256" s="3"/>
      <c r="T1256" s="3"/>
      <c r="U1256" s="6">
        <v>2.0</v>
      </c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97"/>
      <c r="BO1256" s="3"/>
      <c r="BP1256" s="3"/>
      <c r="BQ1256" s="10"/>
    </row>
    <row r="1257">
      <c r="A1257" s="36">
        <v>2.0</v>
      </c>
      <c r="B1257" s="37" t="s">
        <v>2269</v>
      </c>
      <c r="C1257" s="38"/>
      <c r="D1257" s="38"/>
      <c r="E1257" s="38"/>
      <c r="F1257" s="38"/>
      <c r="G1257" s="38"/>
      <c r="H1257" s="38"/>
      <c r="I1257" s="39" t="str">
        <f t="shared" si="16"/>
        <v>59920</v>
      </c>
      <c r="J1257" s="40"/>
      <c r="K1257" s="40"/>
      <c r="L1257" s="39" t="s">
        <v>2270</v>
      </c>
      <c r="M1257" s="41">
        <v>1.0</v>
      </c>
      <c r="N1257" s="42"/>
      <c r="O1257" s="38"/>
      <c r="P1257" s="42"/>
      <c r="Q1257" s="42"/>
      <c r="R1257" s="42"/>
      <c r="S1257" s="42"/>
      <c r="T1257" s="40"/>
      <c r="U1257" s="43">
        <v>1.0</v>
      </c>
      <c r="V1257" s="40"/>
      <c r="W1257" s="43" t="s">
        <v>70</v>
      </c>
      <c r="X1257" s="40"/>
      <c r="Y1257" s="40"/>
      <c r="Z1257" s="40"/>
      <c r="AA1257" s="40"/>
      <c r="AB1257" s="40"/>
      <c r="AC1257" s="40"/>
      <c r="AD1257" s="40"/>
      <c r="AE1257" s="40"/>
      <c r="AF1257" s="40"/>
      <c r="AG1257" s="40"/>
      <c r="AH1257" s="40"/>
      <c r="AI1257" s="40"/>
      <c r="AJ1257" s="40"/>
      <c r="AK1257" s="40"/>
      <c r="AL1257" s="40"/>
      <c r="AM1257" s="40"/>
      <c r="AN1257" s="40"/>
      <c r="AO1257" s="40"/>
      <c r="AP1257" s="42"/>
      <c r="AQ1257" s="42"/>
      <c r="AR1257" s="42"/>
      <c r="AS1257" s="42"/>
      <c r="AT1257" s="42"/>
      <c r="AU1257" s="42"/>
      <c r="AV1257" s="40"/>
      <c r="AW1257" s="40"/>
      <c r="AX1257" s="40"/>
      <c r="AY1257" s="40"/>
      <c r="AZ1257" s="40"/>
      <c r="BA1257" s="40"/>
      <c r="BB1257" s="40"/>
      <c r="BC1257" s="40"/>
      <c r="BD1257" s="40"/>
      <c r="BE1257" s="40"/>
      <c r="BF1257" s="40"/>
      <c r="BG1257" s="40"/>
      <c r="BH1257" s="42"/>
      <c r="BI1257" s="42"/>
      <c r="BJ1257" s="42"/>
      <c r="BK1257" s="42"/>
      <c r="BL1257" s="42"/>
      <c r="BM1257" s="40"/>
      <c r="BN1257" s="44"/>
      <c r="BO1257" s="40"/>
      <c r="BP1257" s="42"/>
      <c r="BQ1257" s="10"/>
    </row>
    <row r="1258">
      <c r="A1258" s="45">
        <v>3.0</v>
      </c>
      <c r="B1258" s="46" t="s">
        <v>2271</v>
      </c>
      <c r="C1258" s="47"/>
      <c r="D1258" s="47"/>
      <c r="E1258" s="47"/>
      <c r="F1258" s="47"/>
      <c r="G1258" s="47"/>
      <c r="H1258" s="47"/>
      <c r="I1258" s="48" t="str">
        <f t="shared" si="16"/>
        <v>59921</v>
      </c>
      <c r="J1258" s="49"/>
      <c r="K1258" s="49"/>
      <c r="L1258" s="48" t="s">
        <v>2270</v>
      </c>
      <c r="M1258" s="50">
        <v>1.0</v>
      </c>
      <c r="N1258" s="51"/>
      <c r="O1258" s="47"/>
      <c r="P1258" s="51"/>
      <c r="Q1258" s="51"/>
      <c r="R1258" s="51"/>
      <c r="S1258" s="51"/>
      <c r="T1258" s="49"/>
      <c r="U1258" s="52">
        <v>1.0</v>
      </c>
      <c r="V1258" s="49"/>
      <c r="W1258" s="52" t="s">
        <v>70</v>
      </c>
      <c r="X1258" s="49"/>
      <c r="Y1258" s="49"/>
      <c r="Z1258" s="49"/>
      <c r="AA1258" s="49"/>
      <c r="AB1258" s="49"/>
      <c r="AC1258" s="49"/>
      <c r="AD1258" s="49"/>
      <c r="AE1258" s="49"/>
      <c r="AF1258" s="49"/>
      <c r="AG1258" s="49"/>
      <c r="AH1258" s="49"/>
      <c r="AI1258" s="49"/>
      <c r="AJ1258" s="49"/>
      <c r="AK1258" s="49"/>
      <c r="AL1258" s="49"/>
      <c r="AM1258" s="49"/>
      <c r="AN1258" s="49"/>
      <c r="AO1258" s="49"/>
      <c r="AP1258" s="51"/>
      <c r="AQ1258" s="51"/>
      <c r="AR1258" s="51"/>
      <c r="AS1258" s="51"/>
      <c r="AT1258" s="51"/>
      <c r="AU1258" s="51"/>
      <c r="AV1258" s="49"/>
      <c r="AW1258" s="49"/>
      <c r="AX1258" s="49"/>
      <c r="AY1258" s="49"/>
      <c r="AZ1258" s="49"/>
      <c r="BA1258" s="49"/>
      <c r="BB1258" s="49"/>
      <c r="BC1258" s="49"/>
      <c r="BD1258" s="49"/>
      <c r="BE1258" s="49"/>
      <c r="BF1258" s="49"/>
      <c r="BG1258" s="49"/>
      <c r="BH1258" s="51"/>
      <c r="BI1258" s="51"/>
      <c r="BJ1258" s="51"/>
      <c r="BK1258" s="51"/>
      <c r="BL1258" s="51"/>
      <c r="BM1258" s="49"/>
      <c r="BN1258" s="53"/>
      <c r="BO1258" s="49"/>
      <c r="BP1258" s="51"/>
      <c r="BQ1258" s="10"/>
    </row>
    <row r="1259">
      <c r="A1259" s="70">
        <v>4.0</v>
      </c>
      <c r="B1259" s="71" t="s">
        <v>2271</v>
      </c>
      <c r="C1259" s="126" t="s">
        <v>76</v>
      </c>
      <c r="D1259" s="56"/>
      <c r="E1259" s="56"/>
      <c r="F1259" s="56"/>
      <c r="G1259" s="56"/>
      <c r="H1259" s="56"/>
      <c r="I1259" s="58" t="str">
        <f t="shared" si="16"/>
        <v>5992101</v>
      </c>
      <c r="J1259" s="58"/>
      <c r="K1259" s="58"/>
      <c r="L1259" s="59" t="s">
        <v>2272</v>
      </c>
      <c r="M1259" s="60">
        <v>2.0</v>
      </c>
      <c r="N1259" s="58"/>
      <c r="O1259" s="56"/>
      <c r="P1259" s="72" t="s">
        <v>2273</v>
      </c>
      <c r="Q1259" s="90" t="s">
        <v>1391</v>
      </c>
      <c r="R1259" s="58"/>
      <c r="S1259" s="58"/>
      <c r="T1259" s="58"/>
      <c r="U1259" s="72">
        <v>1.0</v>
      </c>
      <c r="V1259" s="58"/>
      <c r="W1259" s="72" t="s">
        <v>447</v>
      </c>
      <c r="X1259" s="58"/>
      <c r="Y1259" s="58"/>
      <c r="Z1259" s="58"/>
      <c r="AA1259" s="58"/>
      <c r="AB1259" s="58"/>
      <c r="AC1259" s="58"/>
      <c r="AD1259" s="58"/>
      <c r="AE1259" s="58"/>
      <c r="AF1259" s="58"/>
      <c r="AG1259" s="58"/>
      <c r="AH1259" s="58"/>
      <c r="AI1259" s="58"/>
      <c r="AJ1259" s="58"/>
      <c r="AK1259" s="58"/>
      <c r="AL1259" s="58"/>
      <c r="AM1259" s="58"/>
      <c r="AN1259" s="58"/>
      <c r="AO1259" s="58"/>
      <c r="AP1259" s="58"/>
      <c r="AQ1259" s="58"/>
      <c r="AR1259" s="58"/>
      <c r="AS1259" s="58"/>
      <c r="AT1259" s="58"/>
      <c r="AU1259" s="58"/>
      <c r="AV1259" s="58"/>
      <c r="AW1259" s="58"/>
      <c r="AX1259" s="58"/>
      <c r="AY1259" s="58"/>
      <c r="AZ1259" s="58"/>
      <c r="BA1259" s="58"/>
      <c r="BB1259" s="58"/>
      <c r="BC1259" s="58"/>
      <c r="BD1259" s="58"/>
      <c r="BE1259" s="58"/>
      <c r="BF1259" s="58"/>
      <c r="BG1259" s="58"/>
      <c r="BH1259" s="91" t="s">
        <v>1507</v>
      </c>
      <c r="BI1259" s="123">
        <v>610.0</v>
      </c>
      <c r="BJ1259" s="58"/>
      <c r="BK1259" s="72">
        <v>9901.0</v>
      </c>
      <c r="BL1259" s="58"/>
      <c r="BM1259" s="58"/>
      <c r="BN1259" s="63"/>
      <c r="BO1259" s="58"/>
      <c r="BP1259" s="58"/>
      <c r="BQ1259" s="64"/>
    </row>
    <row r="1260">
      <c r="A1260" s="1">
        <v>4.0</v>
      </c>
      <c r="B1260" s="2" t="s">
        <v>2271</v>
      </c>
      <c r="C1260" s="2" t="s">
        <v>119</v>
      </c>
      <c r="D1260" s="93"/>
      <c r="E1260" s="93"/>
      <c r="F1260" s="93"/>
      <c r="G1260" s="93"/>
      <c r="H1260" s="93"/>
      <c r="I1260" s="3" t="str">
        <f t="shared" si="16"/>
        <v>5992102</v>
      </c>
      <c r="J1260" s="3"/>
      <c r="K1260" s="3"/>
      <c r="L1260" s="94" t="s">
        <v>2274</v>
      </c>
      <c r="M1260" s="4">
        <v>2.0</v>
      </c>
      <c r="N1260" s="3"/>
      <c r="O1260" s="93"/>
      <c r="P1260" s="3"/>
      <c r="Q1260" s="3"/>
      <c r="R1260" s="3"/>
      <c r="S1260" s="3"/>
      <c r="T1260" s="3"/>
      <c r="U1260" s="6">
        <v>1.0</v>
      </c>
      <c r="V1260" s="3"/>
      <c r="W1260" s="6" t="s">
        <v>2275</v>
      </c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97"/>
      <c r="BO1260" s="3"/>
      <c r="BP1260" s="3"/>
      <c r="BQ1260" s="10"/>
    </row>
    <row r="1261">
      <c r="A1261" s="1">
        <v>5.0</v>
      </c>
      <c r="B1261" s="2" t="s">
        <v>2271</v>
      </c>
      <c r="C1261" s="2" t="s">
        <v>119</v>
      </c>
      <c r="D1261" s="2" t="s">
        <v>76</v>
      </c>
      <c r="E1261" s="93"/>
      <c r="F1261" s="93"/>
      <c r="G1261" s="93"/>
      <c r="H1261" s="93"/>
      <c r="I1261" s="3" t="str">
        <f t="shared" si="16"/>
        <v>599210201</v>
      </c>
      <c r="J1261" s="3"/>
      <c r="K1261" s="3"/>
      <c r="L1261" s="94" t="s">
        <v>2276</v>
      </c>
      <c r="M1261" s="4">
        <v>2.0</v>
      </c>
      <c r="N1261" s="3"/>
      <c r="O1261" s="93"/>
      <c r="P1261" s="3"/>
      <c r="Q1261" s="3"/>
      <c r="R1261" s="3"/>
      <c r="S1261" s="3"/>
      <c r="T1261" s="3"/>
      <c r="U1261" s="6">
        <v>3.0</v>
      </c>
      <c r="V1261" s="3"/>
      <c r="W1261" s="6" t="s">
        <v>2275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97"/>
      <c r="BO1261" s="3"/>
      <c r="BP1261" s="3"/>
      <c r="BQ1261" s="10"/>
    </row>
    <row r="1262">
      <c r="A1262" s="1">
        <v>5.0</v>
      </c>
      <c r="B1262" s="2" t="s">
        <v>2271</v>
      </c>
      <c r="C1262" s="2" t="s">
        <v>119</v>
      </c>
      <c r="D1262" s="2" t="s">
        <v>119</v>
      </c>
      <c r="E1262" s="93"/>
      <c r="F1262" s="93"/>
      <c r="G1262" s="93"/>
      <c r="H1262" s="93"/>
      <c r="I1262" s="3" t="str">
        <f t="shared" si="16"/>
        <v>599210202</v>
      </c>
      <c r="J1262" s="3"/>
      <c r="K1262" s="3"/>
      <c r="L1262" s="94" t="s">
        <v>2277</v>
      </c>
      <c r="M1262" s="4">
        <v>2.0</v>
      </c>
      <c r="N1262" s="3"/>
      <c r="O1262" s="93"/>
      <c r="P1262" s="3"/>
      <c r="Q1262" s="3"/>
      <c r="R1262" s="3"/>
      <c r="S1262" s="3"/>
      <c r="T1262" s="3"/>
      <c r="U1262" s="6">
        <v>1.0</v>
      </c>
      <c r="V1262" s="3"/>
      <c r="W1262" s="6" t="s">
        <v>2275</v>
      </c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97"/>
      <c r="BO1262" s="3"/>
      <c r="BP1262" s="3"/>
      <c r="BQ1262" s="10"/>
    </row>
    <row r="1263">
      <c r="A1263" s="1">
        <v>5.0</v>
      </c>
      <c r="B1263" s="2" t="s">
        <v>2271</v>
      </c>
      <c r="C1263" s="2" t="s">
        <v>119</v>
      </c>
      <c r="D1263" s="2" t="s">
        <v>124</v>
      </c>
      <c r="E1263" s="93"/>
      <c r="F1263" s="93"/>
      <c r="G1263" s="93"/>
      <c r="H1263" s="93"/>
      <c r="I1263" s="3" t="str">
        <f t="shared" si="16"/>
        <v>599210203</v>
      </c>
      <c r="J1263" s="3"/>
      <c r="K1263" s="3"/>
      <c r="L1263" s="94" t="s">
        <v>2278</v>
      </c>
      <c r="M1263" s="4">
        <v>2.0</v>
      </c>
      <c r="N1263" s="3"/>
      <c r="O1263" s="93"/>
      <c r="P1263" s="3"/>
      <c r="Q1263" s="3"/>
      <c r="R1263" s="3"/>
      <c r="S1263" s="3"/>
      <c r="T1263" s="3"/>
      <c r="U1263" s="6">
        <v>1.0</v>
      </c>
      <c r="V1263" s="3"/>
      <c r="W1263" s="6" t="s">
        <v>2275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97"/>
      <c r="BO1263" s="3"/>
      <c r="BP1263" s="3"/>
      <c r="BQ1263" s="10"/>
    </row>
    <row r="1264">
      <c r="A1264" s="1">
        <v>5.0</v>
      </c>
      <c r="B1264" s="2" t="s">
        <v>2271</v>
      </c>
      <c r="C1264" s="2" t="s">
        <v>119</v>
      </c>
      <c r="D1264" s="2" t="s">
        <v>127</v>
      </c>
      <c r="E1264" s="93"/>
      <c r="F1264" s="93"/>
      <c r="G1264" s="93"/>
      <c r="H1264" s="93"/>
      <c r="I1264" s="3" t="str">
        <f t="shared" si="16"/>
        <v>599210204</v>
      </c>
      <c r="J1264" s="3"/>
      <c r="K1264" s="3"/>
      <c r="L1264" s="94" t="s">
        <v>2279</v>
      </c>
      <c r="M1264" s="4">
        <v>2.0</v>
      </c>
      <c r="N1264" s="3"/>
      <c r="O1264" s="93"/>
      <c r="P1264" s="3"/>
      <c r="Q1264" s="3"/>
      <c r="R1264" s="3"/>
      <c r="S1264" s="3"/>
      <c r="T1264" s="3"/>
      <c r="U1264" s="6">
        <v>1.0</v>
      </c>
      <c r="V1264" s="3"/>
      <c r="W1264" s="6" t="s">
        <v>2275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97"/>
      <c r="BO1264" s="3"/>
      <c r="BP1264" s="3"/>
      <c r="BQ1264" s="10"/>
    </row>
    <row r="1265">
      <c r="A1265" s="1">
        <v>5.0</v>
      </c>
      <c r="B1265" s="2" t="s">
        <v>2271</v>
      </c>
      <c r="C1265" s="2" t="s">
        <v>119</v>
      </c>
      <c r="D1265" s="2" t="s">
        <v>91</v>
      </c>
      <c r="E1265" s="93"/>
      <c r="F1265" s="93"/>
      <c r="G1265" s="93"/>
      <c r="H1265" s="93"/>
      <c r="I1265" s="3" t="str">
        <f t="shared" si="16"/>
        <v>599210205</v>
      </c>
      <c r="J1265" s="3"/>
      <c r="K1265" s="3"/>
      <c r="L1265" s="94" t="s">
        <v>2280</v>
      </c>
      <c r="M1265" s="4">
        <v>2.0</v>
      </c>
      <c r="N1265" s="3"/>
      <c r="O1265" s="93"/>
      <c r="P1265" s="3"/>
      <c r="Q1265" s="3"/>
      <c r="R1265" s="3"/>
      <c r="S1265" s="3"/>
      <c r="T1265" s="3"/>
      <c r="U1265" s="6">
        <v>1.0</v>
      </c>
      <c r="V1265" s="3"/>
      <c r="W1265" s="6" t="s">
        <v>2275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97"/>
      <c r="BO1265" s="3"/>
      <c r="BP1265" s="3"/>
      <c r="BQ1265" s="10"/>
    </row>
    <row r="1266">
      <c r="A1266" s="1">
        <v>5.0</v>
      </c>
      <c r="B1266" s="2" t="s">
        <v>2271</v>
      </c>
      <c r="C1266" s="2" t="s">
        <v>119</v>
      </c>
      <c r="D1266" s="2" t="s">
        <v>133</v>
      </c>
      <c r="E1266" s="93"/>
      <c r="F1266" s="93"/>
      <c r="G1266" s="93"/>
      <c r="H1266" s="93"/>
      <c r="I1266" s="3" t="str">
        <f t="shared" si="16"/>
        <v>599210206</v>
      </c>
      <c r="J1266" s="3"/>
      <c r="K1266" s="3"/>
      <c r="L1266" s="94" t="s">
        <v>2281</v>
      </c>
      <c r="M1266" s="4">
        <v>2.0</v>
      </c>
      <c r="N1266" s="3"/>
      <c r="O1266" s="93"/>
      <c r="P1266" s="3"/>
      <c r="Q1266" s="3"/>
      <c r="R1266" s="3"/>
      <c r="S1266" s="3"/>
      <c r="T1266" s="3"/>
      <c r="U1266" s="6">
        <v>3.0</v>
      </c>
      <c r="V1266" s="3"/>
      <c r="W1266" s="6" t="s">
        <v>2275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97"/>
      <c r="BO1266" s="3"/>
      <c r="BP1266" s="3"/>
      <c r="BQ1266" s="10"/>
    </row>
    <row r="1267">
      <c r="A1267" s="1">
        <v>5.0</v>
      </c>
      <c r="B1267" s="2" t="s">
        <v>2271</v>
      </c>
      <c r="C1267" s="2" t="s">
        <v>119</v>
      </c>
      <c r="D1267" s="2" t="s">
        <v>136</v>
      </c>
      <c r="E1267" s="93"/>
      <c r="F1267" s="93"/>
      <c r="G1267" s="93"/>
      <c r="H1267" s="93"/>
      <c r="I1267" s="3" t="str">
        <f t="shared" si="16"/>
        <v>599210207</v>
      </c>
      <c r="J1267" s="3"/>
      <c r="K1267" s="3"/>
      <c r="L1267" s="94" t="s">
        <v>2282</v>
      </c>
      <c r="M1267" s="4">
        <v>2.0</v>
      </c>
      <c r="N1267" s="3"/>
      <c r="O1267" s="93"/>
      <c r="P1267" s="3"/>
      <c r="Q1267" s="3"/>
      <c r="R1267" s="3"/>
      <c r="S1267" s="3"/>
      <c r="T1267" s="3"/>
      <c r="U1267" s="6">
        <v>1.0</v>
      </c>
      <c r="V1267" s="3"/>
      <c r="W1267" s="6" t="s">
        <v>2275</v>
      </c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97"/>
      <c r="BO1267" s="3"/>
      <c r="BP1267" s="3"/>
      <c r="BQ1267" s="10"/>
    </row>
    <row r="1268">
      <c r="A1268" s="1">
        <v>5.0</v>
      </c>
      <c r="B1268" s="2" t="s">
        <v>2271</v>
      </c>
      <c r="C1268" s="2" t="s">
        <v>119</v>
      </c>
      <c r="D1268" s="2" t="s">
        <v>138</v>
      </c>
      <c r="E1268" s="93"/>
      <c r="F1268" s="93"/>
      <c r="G1268" s="93"/>
      <c r="H1268" s="93"/>
      <c r="I1268" s="3" t="str">
        <f t="shared" si="16"/>
        <v>599210208</v>
      </c>
      <c r="J1268" s="3"/>
      <c r="K1268" s="3"/>
      <c r="L1268" s="94" t="s">
        <v>2283</v>
      </c>
      <c r="M1268" s="4">
        <v>2.0</v>
      </c>
      <c r="N1268" s="3"/>
      <c r="O1268" s="93"/>
      <c r="P1268" s="3"/>
      <c r="Q1268" s="3"/>
      <c r="R1268" s="3"/>
      <c r="S1268" s="3"/>
      <c r="T1268" s="3"/>
      <c r="U1268" s="6">
        <v>1.0</v>
      </c>
      <c r="V1268" s="3"/>
      <c r="W1268" s="6" t="s">
        <v>2275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97"/>
      <c r="BO1268" s="3"/>
      <c r="BP1268" s="3"/>
      <c r="BQ1268" s="10"/>
    </row>
    <row r="1269">
      <c r="A1269" s="1">
        <v>5.0</v>
      </c>
      <c r="B1269" s="2" t="s">
        <v>2271</v>
      </c>
      <c r="C1269" s="2" t="s">
        <v>119</v>
      </c>
      <c r="D1269" s="2" t="s">
        <v>142</v>
      </c>
      <c r="E1269" s="93"/>
      <c r="F1269" s="93"/>
      <c r="G1269" s="93"/>
      <c r="H1269" s="93"/>
      <c r="I1269" s="3" t="str">
        <f t="shared" si="16"/>
        <v>599210209</v>
      </c>
      <c r="J1269" s="3"/>
      <c r="K1269" s="3"/>
      <c r="L1269" s="94" t="s">
        <v>2284</v>
      </c>
      <c r="M1269" s="4">
        <v>2.0</v>
      </c>
      <c r="N1269" s="3"/>
      <c r="O1269" s="93"/>
      <c r="P1269" s="3"/>
      <c r="Q1269" s="3"/>
      <c r="R1269" s="3"/>
      <c r="S1269" s="3"/>
      <c r="T1269" s="3"/>
      <c r="U1269" s="6">
        <v>1.0</v>
      </c>
      <c r="V1269" s="3"/>
      <c r="W1269" s="6" t="s">
        <v>2275</v>
      </c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97"/>
      <c r="BO1269" s="3"/>
      <c r="BP1269" s="3"/>
      <c r="BQ1269" s="10"/>
    </row>
    <row r="1270">
      <c r="A1270" s="1">
        <v>4.0</v>
      </c>
      <c r="B1270" s="2" t="s">
        <v>2271</v>
      </c>
      <c r="C1270" s="2" t="s">
        <v>124</v>
      </c>
      <c r="D1270" s="93"/>
      <c r="E1270" s="93"/>
      <c r="F1270" s="93"/>
      <c r="G1270" s="93"/>
      <c r="H1270" s="93"/>
      <c r="I1270" s="3" t="str">
        <f t="shared" si="16"/>
        <v>5992103</v>
      </c>
      <c r="J1270" s="3"/>
      <c r="K1270" s="3"/>
      <c r="L1270" s="94" t="s">
        <v>2285</v>
      </c>
      <c r="M1270" s="4">
        <v>2.0</v>
      </c>
      <c r="N1270" s="3"/>
      <c r="O1270" s="93"/>
      <c r="P1270" s="3"/>
      <c r="Q1270" s="3"/>
      <c r="R1270" s="3"/>
      <c r="S1270" s="3"/>
      <c r="T1270" s="3"/>
      <c r="U1270" s="6">
        <v>2.0</v>
      </c>
      <c r="V1270" s="3"/>
      <c r="W1270" s="6" t="s">
        <v>2275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97"/>
      <c r="BO1270" s="3"/>
      <c r="BP1270" s="3"/>
      <c r="BQ1270" s="10"/>
    </row>
    <row r="1271">
      <c r="A1271" s="70">
        <v>4.0</v>
      </c>
      <c r="B1271" s="71" t="s">
        <v>2271</v>
      </c>
      <c r="C1271" s="126" t="s">
        <v>127</v>
      </c>
      <c r="D1271" s="56"/>
      <c r="E1271" s="56"/>
      <c r="F1271" s="56"/>
      <c r="G1271" s="56"/>
      <c r="H1271" s="56"/>
      <c r="I1271" s="58" t="str">
        <f t="shared" si="16"/>
        <v>5992104</v>
      </c>
      <c r="J1271" s="58"/>
      <c r="K1271" s="58"/>
      <c r="L1271" s="59" t="s">
        <v>2286</v>
      </c>
      <c r="M1271" s="60">
        <v>1.0</v>
      </c>
      <c r="N1271" s="58"/>
      <c r="O1271" s="56"/>
      <c r="P1271" s="58"/>
      <c r="Q1271" s="58"/>
      <c r="R1271" s="58"/>
      <c r="S1271" s="58"/>
      <c r="T1271" s="58"/>
      <c r="U1271" s="72">
        <v>1.0</v>
      </c>
      <c r="V1271" s="58"/>
      <c r="W1271" s="72" t="s">
        <v>447</v>
      </c>
      <c r="X1271" s="58"/>
      <c r="Y1271" s="58"/>
      <c r="Z1271" s="58"/>
      <c r="AA1271" s="58"/>
      <c r="AB1271" s="58"/>
      <c r="AC1271" s="58"/>
      <c r="AD1271" s="58"/>
      <c r="AE1271" s="58"/>
      <c r="AF1271" s="58"/>
      <c r="AG1271" s="58"/>
      <c r="AH1271" s="58"/>
      <c r="AI1271" s="58"/>
      <c r="AJ1271" s="58"/>
      <c r="AK1271" s="58"/>
      <c r="AL1271" s="58"/>
      <c r="AM1271" s="58"/>
      <c r="AN1271" s="58"/>
      <c r="AO1271" s="58"/>
      <c r="AP1271" s="58"/>
      <c r="AQ1271" s="58"/>
      <c r="AR1271" s="58"/>
      <c r="AS1271" s="58"/>
      <c r="AT1271" s="58"/>
      <c r="AU1271" s="58"/>
      <c r="AV1271" s="58"/>
      <c r="AW1271" s="58"/>
      <c r="AX1271" s="58"/>
      <c r="AY1271" s="58"/>
      <c r="AZ1271" s="58"/>
      <c r="BA1271" s="58"/>
      <c r="BB1271" s="58"/>
      <c r="BC1271" s="58"/>
      <c r="BD1271" s="58"/>
      <c r="BE1271" s="58"/>
      <c r="BF1271" s="58"/>
      <c r="BG1271" s="58"/>
      <c r="BH1271" s="91" t="s">
        <v>2287</v>
      </c>
      <c r="BI1271" s="81"/>
      <c r="BJ1271" s="58"/>
      <c r="BK1271" s="58"/>
      <c r="BL1271" s="58"/>
      <c r="BM1271" s="58"/>
      <c r="BN1271" s="63"/>
      <c r="BO1271" s="58"/>
      <c r="BP1271" s="58"/>
      <c r="BQ1271" s="64"/>
    </row>
    <row r="1272">
      <c r="A1272" s="70">
        <v>4.0</v>
      </c>
      <c r="B1272" s="71" t="s">
        <v>2271</v>
      </c>
      <c r="C1272" s="126" t="s">
        <v>91</v>
      </c>
      <c r="D1272" s="56"/>
      <c r="E1272" s="56"/>
      <c r="F1272" s="56"/>
      <c r="G1272" s="56"/>
      <c r="H1272" s="56"/>
      <c r="I1272" s="58" t="str">
        <f t="shared" si="16"/>
        <v>5992105</v>
      </c>
      <c r="J1272" s="58"/>
      <c r="K1272" s="58"/>
      <c r="L1272" s="59" t="s">
        <v>2288</v>
      </c>
      <c r="M1272" s="60">
        <v>1.0</v>
      </c>
      <c r="N1272" s="58"/>
      <c r="O1272" s="56"/>
      <c r="P1272" s="58"/>
      <c r="Q1272" s="58"/>
      <c r="R1272" s="58"/>
      <c r="S1272" s="58"/>
      <c r="T1272" s="58"/>
      <c r="U1272" s="72">
        <v>1.0</v>
      </c>
      <c r="V1272" s="58"/>
      <c r="W1272" s="72" t="s">
        <v>447</v>
      </c>
      <c r="X1272" s="58"/>
      <c r="Y1272" s="58"/>
      <c r="Z1272" s="58"/>
      <c r="AA1272" s="58"/>
      <c r="AB1272" s="58"/>
      <c r="AC1272" s="58"/>
      <c r="AD1272" s="58"/>
      <c r="AE1272" s="58"/>
      <c r="AF1272" s="58"/>
      <c r="AG1272" s="58"/>
      <c r="AH1272" s="58"/>
      <c r="AI1272" s="58"/>
      <c r="AJ1272" s="58"/>
      <c r="AK1272" s="58"/>
      <c r="AL1272" s="58"/>
      <c r="AM1272" s="58"/>
      <c r="AN1272" s="58"/>
      <c r="AO1272" s="58"/>
      <c r="AP1272" s="58"/>
      <c r="AQ1272" s="58"/>
      <c r="AR1272" s="58"/>
      <c r="AS1272" s="58"/>
      <c r="AT1272" s="58"/>
      <c r="AU1272" s="58"/>
      <c r="AV1272" s="58"/>
      <c r="AW1272" s="58"/>
      <c r="AX1272" s="58"/>
      <c r="AY1272" s="58"/>
      <c r="AZ1272" s="58"/>
      <c r="BA1272" s="58"/>
      <c r="BB1272" s="58"/>
      <c r="BC1272" s="58"/>
      <c r="BD1272" s="58"/>
      <c r="BE1272" s="58"/>
      <c r="BF1272" s="58"/>
      <c r="BG1272" s="58"/>
      <c r="BH1272" s="91" t="s">
        <v>2287</v>
      </c>
      <c r="BI1272" s="81"/>
      <c r="BJ1272" s="58"/>
      <c r="BK1272" s="58"/>
      <c r="BL1272" s="58"/>
      <c r="BM1272" s="58"/>
      <c r="BN1272" s="63"/>
      <c r="BO1272" s="58"/>
      <c r="BP1272" s="58"/>
      <c r="BQ1272" s="64"/>
    </row>
    <row r="1273">
      <c r="A1273" s="20">
        <v>1.0</v>
      </c>
      <c r="B1273" s="21" t="s">
        <v>2289</v>
      </c>
      <c r="C1273" s="22"/>
      <c r="D1273" s="22"/>
      <c r="E1273" s="22"/>
      <c r="F1273" s="22"/>
      <c r="G1273" s="22"/>
      <c r="H1273" s="22"/>
      <c r="I1273" s="23" t="str">
        <f t="shared" si="16"/>
        <v>61000</v>
      </c>
      <c r="J1273" s="24"/>
      <c r="K1273" s="24"/>
      <c r="L1273" s="23" t="s">
        <v>2290</v>
      </c>
      <c r="M1273" s="25">
        <v>1.0</v>
      </c>
      <c r="N1273" s="24"/>
      <c r="O1273" s="22"/>
      <c r="P1273" s="24"/>
      <c r="Q1273" s="24"/>
      <c r="R1273" s="24"/>
      <c r="S1273" s="24"/>
      <c r="T1273" s="24"/>
      <c r="U1273" s="26">
        <v>1.0</v>
      </c>
      <c r="V1273" s="24"/>
      <c r="W1273" s="26" t="s">
        <v>70</v>
      </c>
      <c r="X1273" s="24"/>
      <c r="Y1273" s="24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M1273" s="24"/>
      <c r="BN1273" s="27"/>
      <c r="BO1273" s="24"/>
      <c r="BP1273" s="24"/>
      <c r="BQ1273" s="10"/>
    </row>
    <row r="1274">
      <c r="A1274" s="28">
        <v>1.0</v>
      </c>
      <c r="B1274" s="29" t="s">
        <v>2291</v>
      </c>
      <c r="C1274" s="30"/>
      <c r="D1274" s="30"/>
      <c r="E1274" s="30"/>
      <c r="F1274" s="30"/>
      <c r="G1274" s="30"/>
      <c r="H1274" s="30"/>
      <c r="I1274" s="31" t="str">
        <f t="shared" si="16"/>
        <v>61300</v>
      </c>
      <c r="J1274" s="74"/>
      <c r="K1274" s="74"/>
      <c r="L1274" s="31" t="s">
        <v>2292</v>
      </c>
      <c r="M1274" s="75">
        <v>1.0</v>
      </c>
      <c r="N1274" s="32"/>
      <c r="O1274" s="30"/>
      <c r="P1274" s="32"/>
      <c r="Q1274" s="32"/>
      <c r="R1274" s="32"/>
      <c r="S1274" s="32"/>
      <c r="T1274" s="74"/>
      <c r="U1274" s="34">
        <v>1.0</v>
      </c>
      <c r="V1274" s="74"/>
      <c r="W1274" s="34" t="s">
        <v>70</v>
      </c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  <c r="AH1274" s="74"/>
      <c r="AI1274" s="74"/>
      <c r="AJ1274" s="74"/>
      <c r="AK1274" s="74"/>
      <c r="AL1274" s="74"/>
      <c r="AM1274" s="74"/>
      <c r="AN1274" s="74"/>
      <c r="AO1274" s="74"/>
      <c r="AP1274" s="32"/>
      <c r="AQ1274" s="32"/>
      <c r="AR1274" s="32"/>
      <c r="AS1274" s="32"/>
      <c r="AT1274" s="32"/>
      <c r="AU1274" s="32"/>
      <c r="AV1274" s="74"/>
      <c r="AW1274" s="74"/>
      <c r="AX1274" s="74"/>
      <c r="AY1274" s="74"/>
      <c r="AZ1274" s="74"/>
      <c r="BA1274" s="74"/>
      <c r="BB1274" s="74"/>
      <c r="BC1274" s="74"/>
      <c r="BD1274" s="74"/>
      <c r="BE1274" s="74"/>
      <c r="BF1274" s="74"/>
      <c r="BG1274" s="74"/>
      <c r="BH1274" s="32"/>
      <c r="BI1274" s="32"/>
      <c r="BJ1274" s="32"/>
      <c r="BK1274" s="32"/>
      <c r="BL1274" s="32"/>
      <c r="BM1274" s="74"/>
      <c r="BN1274" s="76"/>
      <c r="BO1274" s="74"/>
      <c r="BP1274" s="32"/>
      <c r="BQ1274" s="10"/>
    </row>
    <row r="1275">
      <c r="A1275" s="36">
        <v>2.0</v>
      </c>
      <c r="B1275" s="37" t="s">
        <v>2293</v>
      </c>
      <c r="C1275" s="38"/>
      <c r="D1275" s="38"/>
      <c r="E1275" s="38"/>
      <c r="F1275" s="38"/>
      <c r="G1275" s="38"/>
      <c r="H1275" s="38"/>
      <c r="I1275" s="39" t="str">
        <f t="shared" si="16"/>
        <v>61310</v>
      </c>
      <c r="J1275" s="40"/>
      <c r="K1275" s="40"/>
      <c r="L1275" s="39" t="s">
        <v>2292</v>
      </c>
      <c r="M1275" s="41">
        <v>1.0</v>
      </c>
      <c r="N1275" s="42"/>
      <c r="O1275" s="38"/>
      <c r="P1275" s="42"/>
      <c r="Q1275" s="42"/>
      <c r="R1275" s="42"/>
      <c r="S1275" s="42"/>
      <c r="T1275" s="40"/>
      <c r="U1275" s="43">
        <v>1.0</v>
      </c>
      <c r="V1275" s="40"/>
      <c r="W1275" s="43" t="s">
        <v>70</v>
      </c>
      <c r="X1275" s="40"/>
      <c r="Y1275" s="40"/>
      <c r="Z1275" s="40"/>
      <c r="AA1275" s="40"/>
      <c r="AB1275" s="40"/>
      <c r="AC1275" s="40"/>
      <c r="AD1275" s="40"/>
      <c r="AE1275" s="40"/>
      <c r="AF1275" s="40"/>
      <c r="AG1275" s="40"/>
      <c r="AH1275" s="40"/>
      <c r="AI1275" s="40"/>
      <c r="AJ1275" s="40"/>
      <c r="AK1275" s="40"/>
      <c r="AL1275" s="40"/>
      <c r="AM1275" s="40"/>
      <c r="AN1275" s="40"/>
      <c r="AO1275" s="40"/>
      <c r="AP1275" s="42"/>
      <c r="AQ1275" s="42"/>
      <c r="AR1275" s="42"/>
      <c r="AS1275" s="42"/>
      <c r="AT1275" s="42"/>
      <c r="AU1275" s="42"/>
      <c r="AV1275" s="40"/>
      <c r="AW1275" s="40"/>
      <c r="AX1275" s="40"/>
      <c r="AY1275" s="40"/>
      <c r="AZ1275" s="40"/>
      <c r="BA1275" s="40"/>
      <c r="BB1275" s="40"/>
      <c r="BC1275" s="40"/>
      <c r="BD1275" s="40"/>
      <c r="BE1275" s="40"/>
      <c r="BF1275" s="40"/>
      <c r="BG1275" s="40"/>
      <c r="BH1275" s="42"/>
      <c r="BI1275" s="42"/>
      <c r="BJ1275" s="42"/>
      <c r="BK1275" s="42"/>
      <c r="BL1275" s="42"/>
      <c r="BM1275" s="40"/>
      <c r="BN1275" s="44"/>
      <c r="BO1275" s="40"/>
      <c r="BP1275" s="42"/>
      <c r="BQ1275" s="10"/>
    </row>
    <row r="1276">
      <c r="A1276" s="45">
        <v>3.0</v>
      </c>
      <c r="B1276" s="46" t="s">
        <v>2294</v>
      </c>
      <c r="C1276" s="47"/>
      <c r="D1276" s="47"/>
      <c r="E1276" s="47"/>
      <c r="F1276" s="47"/>
      <c r="G1276" s="47"/>
      <c r="H1276" s="47"/>
      <c r="I1276" s="48" t="str">
        <f t="shared" si="16"/>
        <v>61311</v>
      </c>
      <c r="J1276" s="49"/>
      <c r="K1276" s="49"/>
      <c r="L1276" s="48" t="s">
        <v>2292</v>
      </c>
      <c r="M1276" s="50">
        <v>1.0</v>
      </c>
      <c r="N1276" s="51"/>
      <c r="O1276" s="47"/>
      <c r="P1276" s="51"/>
      <c r="Q1276" s="51"/>
      <c r="R1276" s="51"/>
      <c r="S1276" s="51"/>
      <c r="T1276" s="49"/>
      <c r="U1276" s="52">
        <v>1.0</v>
      </c>
      <c r="V1276" s="49"/>
      <c r="W1276" s="52" t="s">
        <v>70</v>
      </c>
      <c r="X1276" s="49"/>
      <c r="Y1276" s="49"/>
      <c r="Z1276" s="49"/>
      <c r="AA1276" s="49"/>
      <c r="AB1276" s="49"/>
      <c r="AC1276" s="49"/>
      <c r="AD1276" s="49"/>
      <c r="AE1276" s="49"/>
      <c r="AF1276" s="49"/>
      <c r="AG1276" s="49"/>
      <c r="AH1276" s="49"/>
      <c r="AI1276" s="49"/>
      <c r="AJ1276" s="49"/>
      <c r="AK1276" s="49"/>
      <c r="AL1276" s="49"/>
      <c r="AM1276" s="49"/>
      <c r="AN1276" s="49"/>
      <c r="AO1276" s="49"/>
      <c r="AP1276" s="51"/>
      <c r="AQ1276" s="51"/>
      <c r="AR1276" s="51"/>
      <c r="AS1276" s="51"/>
      <c r="AT1276" s="51"/>
      <c r="AU1276" s="51"/>
      <c r="AV1276" s="49"/>
      <c r="AW1276" s="49"/>
      <c r="AX1276" s="49"/>
      <c r="AY1276" s="49"/>
      <c r="AZ1276" s="49"/>
      <c r="BA1276" s="49"/>
      <c r="BB1276" s="49"/>
      <c r="BC1276" s="49"/>
      <c r="BD1276" s="49"/>
      <c r="BE1276" s="49"/>
      <c r="BF1276" s="49"/>
      <c r="BG1276" s="49"/>
      <c r="BH1276" s="51"/>
      <c r="BI1276" s="51"/>
      <c r="BJ1276" s="51"/>
      <c r="BK1276" s="51"/>
      <c r="BL1276" s="51"/>
      <c r="BM1276" s="49"/>
      <c r="BN1276" s="53"/>
      <c r="BO1276" s="49"/>
      <c r="BP1276" s="51"/>
      <c r="BQ1276" s="10"/>
    </row>
    <row r="1277">
      <c r="A1277" s="1">
        <v>4.0</v>
      </c>
      <c r="B1277" s="2" t="s">
        <v>2294</v>
      </c>
      <c r="C1277" s="2" t="s">
        <v>76</v>
      </c>
      <c r="D1277" s="93"/>
      <c r="E1277" s="93"/>
      <c r="F1277" s="93"/>
      <c r="G1277" s="93"/>
      <c r="H1277" s="93"/>
      <c r="I1277" s="3" t="str">
        <f t="shared" si="16"/>
        <v>6131101</v>
      </c>
      <c r="J1277" s="3"/>
      <c r="K1277" s="3"/>
      <c r="L1277" s="94" t="s">
        <v>2295</v>
      </c>
      <c r="M1277" s="4">
        <v>2.0</v>
      </c>
      <c r="N1277" s="3"/>
      <c r="O1277" s="93"/>
      <c r="P1277" s="3"/>
      <c r="Q1277" s="3"/>
      <c r="R1277" s="3"/>
      <c r="S1277" s="3"/>
      <c r="T1277" s="3"/>
      <c r="U1277" s="6">
        <v>1.0</v>
      </c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97"/>
      <c r="BO1277" s="3"/>
      <c r="BP1277" s="3"/>
      <c r="BQ1277" s="10"/>
    </row>
    <row r="1278">
      <c r="A1278" s="20">
        <v>1.0</v>
      </c>
      <c r="B1278" s="21" t="s">
        <v>2296</v>
      </c>
      <c r="C1278" s="22"/>
      <c r="D1278" s="22"/>
      <c r="E1278" s="22"/>
      <c r="F1278" s="22"/>
      <c r="G1278" s="22"/>
      <c r="H1278" s="22"/>
      <c r="I1278" s="23" t="str">
        <f t="shared" si="16"/>
        <v>62000</v>
      </c>
      <c r="J1278" s="24"/>
      <c r="K1278" s="24"/>
      <c r="L1278" s="23" t="s">
        <v>2297</v>
      </c>
      <c r="M1278" s="25">
        <v>1.0</v>
      </c>
      <c r="N1278" s="24"/>
      <c r="O1278" s="22"/>
      <c r="P1278" s="24"/>
      <c r="Q1278" s="24"/>
      <c r="R1278" s="24"/>
      <c r="S1278" s="24"/>
      <c r="T1278" s="24"/>
      <c r="U1278" s="26">
        <v>1.0</v>
      </c>
      <c r="V1278" s="24"/>
      <c r="W1278" s="26" t="s">
        <v>70</v>
      </c>
      <c r="X1278" s="24"/>
      <c r="Y1278" s="24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M1278" s="24"/>
      <c r="BN1278" s="27"/>
      <c r="BO1278" s="24"/>
      <c r="BP1278" s="24"/>
      <c r="BQ1278" s="10"/>
    </row>
    <row r="1279">
      <c r="A1279" s="28">
        <v>1.0</v>
      </c>
      <c r="B1279" s="29" t="s">
        <v>2298</v>
      </c>
      <c r="C1279" s="30"/>
      <c r="D1279" s="30"/>
      <c r="E1279" s="30"/>
      <c r="F1279" s="30"/>
      <c r="G1279" s="30"/>
      <c r="H1279" s="30"/>
      <c r="I1279" s="31" t="str">
        <f t="shared" si="16"/>
        <v>62300</v>
      </c>
      <c r="J1279" s="74"/>
      <c r="K1279" s="74"/>
      <c r="L1279" s="31" t="s">
        <v>2299</v>
      </c>
      <c r="M1279" s="75">
        <v>1.0</v>
      </c>
      <c r="N1279" s="32"/>
      <c r="O1279" s="30"/>
      <c r="P1279" s="32"/>
      <c r="Q1279" s="32"/>
      <c r="R1279" s="32"/>
      <c r="S1279" s="32"/>
      <c r="T1279" s="74"/>
      <c r="U1279" s="34">
        <v>1.0</v>
      </c>
      <c r="V1279" s="74"/>
      <c r="W1279" s="34" t="s">
        <v>70</v>
      </c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  <c r="AH1279" s="74"/>
      <c r="AI1279" s="74"/>
      <c r="AJ1279" s="74"/>
      <c r="AK1279" s="74"/>
      <c r="AL1279" s="74"/>
      <c r="AM1279" s="74"/>
      <c r="AN1279" s="74"/>
      <c r="AO1279" s="74"/>
      <c r="AP1279" s="32"/>
      <c r="AQ1279" s="32"/>
      <c r="AR1279" s="32"/>
      <c r="AS1279" s="32"/>
      <c r="AT1279" s="32"/>
      <c r="AU1279" s="32"/>
      <c r="AV1279" s="74"/>
      <c r="AW1279" s="74"/>
      <c r="AX1279" s="74"/>
      <c r="AY1279" s="74"/>
      <c r="AZ1279" s="74"/>
      <c r="BA1279" s="74"/>
      <c r="BB1279" s="74"/>
      <c r="BC1279" s="74"/>
      <c r="BD1279" s="74"/>
      <c r="BE1279" s="74"/>
      <c r="BF1279" s="74"/>
      <c r="BG1279" s="74"/>
      <c r="BH1279" s="32"/>
      <c r="BI1279" s="32"/>
      <c r="BJ1279" s="32"/>
      <c r="BK1279" s="32"/>
      <c r="BL1279" s="32"/>
      <c r="BM1279" s="74"/>
      <c r="BN1279" s="76"/>
      <c r="BO1279" s="74"/>
      <c r="BP1279" s="32"/>
      <c r="BQ1279" s="10"/>
    </row>
    <row r="1280">
      <c r="A1280" s="36">
        <v>2.0</v>
      </c>
      <c r="B1280" s="37" t="s">
        <v>2300</v>
      </c>
      <c r="C1280" s="38"/>
      <c r="D1280" s="38"/>
      <c r="E1280" s="38"/>
      <c r="F1280" s="38"/>
      <c r="G1280" s="38"/>
      <c r="H1280" s="38"/>
      <c r="I1280" s="39" t="str">
        <f t="shared" si="16"/>
        <v>62310</v>
      </c>
      <c r="J1280" s="40"/>
      <c r="K1280" s="40"/>
      <c r="L1280" s="39" t="s">
        <v>2301</v>
      </c>
      <c r="M1280" s="41">
        <v>1.0</v>
      </c>
      <c r="N1280" s="42"/>
      <c r="O1280" s="38"/>
      <c r="P1280" s="42"/>
      <c r="Q1280" s="42"/>
      <c r="R1280" s="42"/>
      <c r="S1280" s="42"/>
      <c r="T1280" s="40"/>
      <c r="U1280" s="43">
        <v>1.0</v>
      </c>
      <c r="V1280" s="40"/>
      <c r="W1280" s="43" t="s">
        <v>70</v>
      </c>
      <c r="X1280" s="40"/>
      <c r="Y1280" s="40"/>
      <c r="Z1280" s="40"/>
      <c r="AA1280" s="40"/>
      <c r="AB1280" s="40"/>
      <c r="AC1280" s="40"/>
      <c r="AD1280" s="40"/>
      <c r="AE1280" s="40"/>
      <c r="AF1280" s="40"/>
      <c r="AG1280" s="40"/>
      <c r="AH1280" s="40"/>
      <c r="AI1280" s="40"/>
      <c r="AJ1280" s="40"/>
      <c r="AK1280" s="40"/>
      <c r="AL1280" s="40"/>
      <c r="AM1280" s="40"/>
      <c r="AN1280" s="40"/>
      <c r="AO1280" s="40"/>
      <c r="AP1280" s="42"/>
      <c r="AQ1280" s="42"/>
      <c r="AR1280" s="42"/>
      <c r="AS1280" s="42"/>
      <c r="AT1280" s="42"/>
      <c r="AU1280" s="42"/>
      <c r="AV1280" s="40"/>
      <c r="AW1280" s="40"/>
      <c r="AX1280" s="40"/>
      <c r="AY1280" s="40"/>
      <c r="AZ1280" s="40"/>
      <c r="BA1280" s="40"/>
      <c r="BB1280" s="40"/>
      <c r="BC1280" s="40"/>
      <c r="BD1280" s="40"/>
      <c r="BE1280" s="40"/>
      <c r="BF1280" s="40"/>
      <c r="BG1280" s="40"/>
      <c r="BH1280" s="42"/>
      <c r="BI1280" s="42"/>
      <c r="BJ1280" s="42"/>
      <c r="BK1280" s="42"/>
      <c r="BL1280" s="42"/>
      <c r="BM1280" s="40"/>
      <c r="BN1280" s="44"/>
      <c r="BO1280" s="40"/>
      <c r="BP1280" s="42"/>
      <c r="BQ1280" s="10"/>
    </row>
    <row r="1281">
      <c r="A1281" s="45">
        <v>3.0</v>
      </c>
      <c r="B1281" s="46" t="s">
        <v>2302</v>
      </c>
      <c r="C1281" s="47"/>
      <c r="D1281" s="47"/>
      <c r="E1281" s="47"/>
      <c r="F1281" s="47"/>
      <c r="G1281" s="47"/>
      <c r="H1281" s="47"/>
      <c r="I1281" s="48" t="str">
        <f t="shared" si="16"/>
        <v>62313</v>
      </c>
      <c r="J1281" s="49"/>
      <c r="K1281" s="49"/>
      <c r="L1281" s="48" t="s">
        <v>2303</v>
      </c>
      <c r="M1281" s="50">
        <v>1.0</v>
      </c>
      <c r="N1281" s="51"/>
      <c r="O1281" s="47"/>
      <c r="P1281" s="51"/>
      <c r="Q1281" s="51"/>
      <c r="R1281" s="51"/>
      <c r="S1281" s="51"/>
      <c r="T1281" s="49"/>
      <c r="U1281" s="52">
        <v>1.0</v>
      </c>
      <c r="V1281" s="49"/>
      <c r="W1281" s="52" t="s">
        <v>70</v>
      </c>
      <c r="X1281" s="49"/>
      <c r="Y1281" s="49"/>
      <c r="Z1281" s="49"/>
      <c r="AA1281" s="49"/>
      <c r="AB1281" s="49"/>
      <c r="AC1281" s="49"/>
      <c r="AD1281" s="49"/>
      <c r="AE1281" s="49"/>
      <c r="AF1281" s="49"/>
      <c r="AG1281" s="49"/>
      <c r="AH1281" s="49"/>
      <c r="AI1281" s="49"/>
      <c r="AJ1281" s="49"/>
      <c r="AK1281" s="49"/>
      <c r="AL1281" s="49"/>
      <c r="AM1281" s="49"/>
      <c r="AN1281" s="49"/>
      <c r="AO1281" s="49"/>
      <c r="AP1281" s="51"/>
      <c r="AQ1281" s="51"/>
      <c r="AR1281" s="51"/>
      <c r="AS1281" s="51"/>
      <c r="AT1281" s="51"/>
      <c r="AU1281" s="51"/>
      <c r="AV1281" s="49"/>
      <c r="AW1281" s="49"/>
      <c r="AX1281" s="49"/>
      <c r="AY1281" s="49"/>
      <c r="AZ1281" s="49"/>
      <c r="BA1281" s="49"/>
      <c r="BB1281" s="49"/>
      <c r="BC1281" s="49"/>
      <c r="BD1281" s="49"/>
      <c r="BE1281" s="49"/>
      <c r="BF1281" s="49"/>
      <c r="BG1281" s="49"/>
      <c r="BH1281" s="51"/>
      <c r="BI1281" s="51"/>
      <c r="BJ1281" s="51"/>
      <c r="BK1281" s="51"/>
      <c r="BL1281" s="51"/>
      <c r="BM1281" s="49"/>
      <c r="BN1281" s="53"/>
      <c r="BO1281" s="49"/>
      <c r="BP1281" s="51"/>
      <c r="BQ1281" s="10"/>
    </row>
    <row r="1282">
      <c r="A1282" s="1">
        <v>4.0</v>
      </c>
      <c r="B1282" s="2" t="s">
        <v>2302</v>
      </c>
      <c r="C1282" s="2" t="s">
        <v>76</v>
      </c>
      <c r="D1282" s="93"/>
      <c r="E1282" s="93"/>
      <c r="F1282" s="93"/>
      <c r="G1282" s="93"/>
      <c r="H1282" s="93"/>
      <c r="I1282" s="3" t="str">
        <f t="shared" si="16"/>
        <v>6231301</v>
      </c>
      <c r="J1282" s="3"/>
      <c r="K1282" s="3"/>
      <c r="L1282" s="94" t="s">
        <v>2304</v>
      </c>
      <c r="M1282" s="4">
        <v>2.0</v>
      </c>
      <c r="N1282" s="3"/>
      <c r="O1282" s="93"/>
      <c r="P1282" s="3"/>
      <c r="Q1282" s="3"/>
      <c r="R1282" s="3"/>
      <c r="S1282" s="3"/>
      <c r="T1282" s="3"/>
      <c r="U1282" s="6">
        <v>1.0</v>
      </c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97"/>
      <c r="BO1282" s="3"/>
      <c r="BP1282" s="3"/>
      <c r="BQ1282" s="10"/>
    </row>
    <row r="1283">
      <c r="A1283" s="1">
        <v>4.0</v>
      </c>
      <c r="B1283" s="2" t="s">
        <v>2302</v>
      </c>
      <c r="C1283" s="2" t="s">
        <v>119</v>
      </c>
      <c r="D1283" s="93"/>
      <c r="E1283" s="93"/>
      <c r="F1283" s="93"/>
      <c r="G1283" s="93"/>
      <c r="H1283" s="93"/>
      <c r="I1283" s="3" t="str">
        <f t="shared" si="16"/>
        <v>6231302</v>
      </c>
      <c r="J1283" s="3"/>
      <c r="K1283" s="3"/>
      <c r="L1283" s="94" t="s">
        <v>2305</v>
      </c>
      <c r="M1283" s="4">
        <v>2.0</v>
      </c>
      <c r="N1283" s="3"/>
      <c r="O1283" s="93"/>
      <c r="P1283" s="3"/>
      <c r="Q1283" s="3"/>
      <c r="R1283" s="3"/>
      <c r="S1283" s="3"/>
      <c r="T1283" s="3"/>
      <c r="U1283" s="6">
        <v>1.0</v>
      </c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97"/>
      <c r="BO1283" s="3"/>
      <c r="BP1283" s="3"/>
      <c r="BQ1283" s="10"/>
    </row>
    <row r="1284">
      <c r="A1284" s="28">
        <v>1.0</v>
      </c>
      <c r="B1284" s="29" t="s">
        <v>2306</v>
      </c>
      <c r="C1284" s="30"/>
      <c r="D1284" s="30"/>
      <c r="E1284" s="30"/>
      <c r="F1284" s="30"/>
      <c r="G1284" s="30"/>
      <c r="H1284" s="30"/>
      <c r="I1284" s="31" t="str">
        <f t="shared" si="16"/>
        <v>62400</v>
      </c>
      <c r="J1284" s="74"/>
      <c r="K1284" s="74"/>
      <c r="L1284" s="31" t="s">
        <v>2307</v>
      </c>
      <c r="M1284" s="75">
        <v>1.0</v>
      </c>
      <c r="N1284" s="32"/>
      <c r="O1284" s="30"/>
      <c r="P1284" s="32"/>
      <c r="Q1284" s="32"/>
      <c r="R1284" s="32"/>
      <c r="S1284" s="32"/>
      <c r="T1284" s="74"/>
      <c r="U1284" s="34">
        <v>1.0</v>
      </c>
      <c r="V1284" s="74"/>
      <c r="W1284" s="34" t="s">
        <v>70</v>
      </c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  <c r="AH1284" s="74"/>
      <c r="AI1284" s="74"/>
      <c r="AJ1284" s="74"/>
      <c r="AK1284" s="74"/>
      <c r="AL1284" s="74"/>
      <c r="AM1284" s="74"/>
      <c r="AN1284" s="74"/>
      <c r="AO1284" s="74"/>
      <c r="AP1284" s="32"/>
      <c r="AQ1284" s="32"/>
      <c r="AR1284" s="32"/>
      <c r="AS1284" s="32"/>
      <c r="AT1284" s="32"/>
      <c r="AU1284" s="32"/>
      <c r="AV1284" s="74"/>
      <c r="AW1284" s="74"/>
      <c r="AX1284" s="74"/>
      <c r="AY1284" s="74"/>
      <c r="AZ1284" s="74"/>
      <c r="BA1284" s="74"/>
      <c r="BB1284" s="74"/>
      <c r="BC1284" s="74"/>
      <c r="BD1284" s="74"/>
      <c r="BE1284" s="74"/>
      <c r="BF1284" s="74"/>
      <c r="BG1284" s="74"/>
      <c r="BH1284" s="32"/>
      <c r="BI1284" s="32"/>
      <c r="BJ1284" s="32"/>
      <c r="BK1284" s="32"/>
      <c r="BL1284" s="32"/>
      <c r="BM1284" s="74"/>
      <c r="BN1284" s="76"/>
      <c r="BO1284" s="74"/>
      <c r="BP1284" s="32"/>
      <c r="BQ1284" s="10"/>
    </row>
    <row r="1285">
      <c r="A1285" s="36">
        <v>2.0</v>
      </c>
      <c r="B1285" s="37" t="s">
        <v>2308</v>
      </c>
      <c r="C1285" s="38"/>
      <c r="D1285" s="38"/>
      <c r="E1285" s="38"/>
      <c r="F1285" s="38"/>
      <c r="G1285" s="38"/>
      <c r="H1285" s="38"/>
      <c r="I1285" s="39" t="str">
        <f t="shared" si="16"/>
        <v>62410</v>
      </c>
      <c r="J1285" s="40"/>
      <c r="K1285" s="40"/>
      <c r="L1285" s="39" t="s">
        <v>2307</v>
      </c>
      <c r="M1285" s="41">
        <v>1.0</v>
      </c>
      <c r="N1285" s="42"/>
      <c r="O1285" s="38"/>
      <c r="P1285" s="42"/>
      <c r="Q1285" s="42"/>
      <c r="R1285" s="42"/>
      <c r="S1285" s="42"/>
      <c r="T1285" s="40"/>
      <c r="U1285" s="43">
        <v>1.0</v>
      </c>
      <c r="V1285" s="40"/>
      <c r="W1285" s="43" t="s">
        <v>70</v>
      </c>
      <c r="X1285" s="40"/>
      <c r="Y1285" s="40"/>
      <c r="Z1285" s="40"/>
      <c r="AA1285" s="40"/>
      <c r="AB1285" s="40"/>
      <c r="AC1285" s="40"/>
      <c r="AD1285" s="40"/>
      <c r="AE1285" s="40"/>
      <c r="AF1285" s="40"/>
      <c r="AG1285" s="40"/>
      <c r="AH1285" s="40"/>
      <c r="AI1285" s="40"/>
      <c r="AJ1285" s="40"/>
      <c r="AK1285" s="40"/>
      <c r="AL1285" s="40"/>
      <c r="AM1285" s="40"/>
      <c r="AN1285" s="40"/>
      <c r="AO1285" s="40"/>
      <c r="AP1285" s="42"/>
      <c r="AQ1285" s="42"/>
      <c r="AR1285" s="42"/>
      <c r="AS1285" s="42"/>
      <c r="AT1285" s="42"/>
      <c r="AU1285" s="42"/>
      <c r="AV1285" s="40"/>
      <c r="AW1285" s="40"/>
      <c r="AX1285" s="40"/>
      <c r="AY1285" s="40"/>
      <c r="AZ1285" s="40"/>
      <c r="BA1285" s="40"/>
      <c r="BB1285" s="40"/>
      <c r="BC1285" s="40"/>
      <c r="BD1285" s="40"/>
      <c r="BE1285" s="40"/>
      <c r="BF1285" s="40"/>
      <c r="BG1285" s="40"/>
      <c r="BH1285" s="42"/>
      <c r="BI1285" s="42"/>
      <c r="BJ1285" s="42"/>
      <c r="BK1285" s="42"/>
      <c r="BL1285" s="42"/>
      <c r="BM1285" s="40"/>
      <c r="BN1285" s="44"/>
      <c r="BO1285" s="40"/>
      <c r="BP1285" s="42"/>
      <c r="BQ1285" s="10"/>
    </row>
    <row r="1286">
      <c r="A1286" s="45">
        <v>3.0</v>
      </c>
      <c r="B1286" s="46" t="s">
        <v>2309</v>
      </c>
      <c r="C1286" s="47"/>
      <c r="D1286" s="47"/>
      <c r="E1286" s="47"/>
      <c r="F1286" s="47"/>
      <c r="G1286" s="47"/>
      <c r="H1286" s="47"/>
      <c r="I1286" s="48" t="str">
        <f t="shared" si="16"/>
        <v>62412</v>
      </c>
      <c r="J1286" s="49"/>
      <c r="K1286" s="49"/>
      <c r="L1286" s="48" t="s">
        <v>2310</v>
      </c>
      <c r="M1286" s="50">
        <v>1.0</v>
      </c>
      <c r="N1286" s="51"/>
      <c r="O1286" s="47"/>
      <c r="P1286" s="51"/>
      <c r="Q1286" s="51"/>
      <c r="R1286" s="51"/>
      <c r="S1286" s="51"/>
      <c r="T1286" s="49"/>
      <c r="U1286" s="52">
        <v>1.0</v>
      </c>
      <c r="V1286" s="49"/>
      <c r="W1286" s="52" t="s">
        <v>70</v>
      </c>
      <c r="X1286" s="49"/>
      <c r="Y1286" s="49"/>
      <c r="Z1286" s="49"/>
      <c r="AA1286" s="49"/>
      <c r="AB1286" s="49"/>
      <c r="AC1286" s="49"/>
      <c r="AD1286" s="49"/>
      <c r="AE1286" s="49"/>
      <c r="AF1286" s="49"/>
      <c r="AG1286" s="49"/>
      <c r="AH1286" s="49"/>
      <c r="AI1286" s="49"/>
      <c r="AJ1286" s="49"/>
      <c r="AK1286" s="49"/>
      <c r="AL1286" s="49"/>
      <c r="AM1286" s="49"/>
      <c r="AN1286" s="49"/>
      <c r="AO1286" s="49"/>
      <c r="AP1286" s="51"/>
      <c r="AQ1286" s="51"/>
      <c r="AR1286" s="51"/>
      <c r="AS1286" s="51"/>
      <c r="AT1286" s="51"/>
      <c r="AU1286" s="51"/>
      <c r="AV1286" s="49"/>
      <c r="AW1286" s="49"/>
      <c r="AX1286" s="49"/>
      <c r="AY1286" s="49"/>
      <c r="AZ1286" s="49"/>
      <c r="BA1286" s="49"/>
      <c r="BB1286" s="49"/>
      <c r="BC1286" s="49"/>
      <c r="BD1286" s="49"/>
      <c r="BE1286" s="49"/>
      <c r="BF1286" s="49"/>
      <c r="BG1286" s="49"/>
      <c r="BH1286" s="51"/>
      <c r="BI1286" s="51"/>
      <c r="BJ1286" s="51"/>
      <c r="BK1286" s="51"/>
      <c r="BL1286" s="51"/>
      <c r="BM1286" s="49"/>
      <c r="BN1286" s="53"/>
      <c r="BO1286" s="49"/>
      <c r="BP1286" s="51"/>
      <c r="BQ1286" s="10"/>
    </row>
    <row r="1287">
      <c r="A1287" s="1">
        <v>4.0</v>
      </c>
      <c r="B1287" s="2" t="s">
        <v>2309</v>
      </c>
      <c r="C1287" s="2" t="s">
        <v>76</v>
      </c>
      <c r="D1287" s="93"/>
      <c r="E1287" s="93"/>
      <c r="F1287" s="93"/>
      <c r="G1287" s="93"/>
      <c r="H1287" s="93"/>
      <c r="I1287" s="3" t="str">
        <f t="shared" si="16"/>
        <v>6241201</v>
      </c>
      <c r="J1287" s="3"/>
      <c r="K1287" s="3"/>
      <c r="L1287" s="94" t="s">
        <v>2311</v>
      </c>
      <c r="M1287" s="4">
        <v>2.0</v>
      </c>
      <c r="N1287" s="3"/>
      <c r="O1287" s="93"/>
      <c r="P1287" s="3"/>
      <c r="Q1287" s="3"/>
      <c r="R1287" s="3"/>
      <c r="S1287" s="3"/>
      <c r="T1287" s="3"/>
      <c r="U1287" s="6" t="s">
        <v>79</v>
      </c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97"/>
      <c r="BO1287" s="3"/>
      <c r="BP1287" s="3"/>
      <c r="BQ1287" s="10"/>
    </row>
    <row r="1288">
      <c r="A1288" s="1">
        <v>5.0</v>
      </c>
      <c r="B1288" s="2" t="s">
        <v>2309</v>
      </c>
      <c r="C1288" s="2" t="s">
        <v>76</v>
      </c>
      <c r="D1288" s="2" t="s">
        <v>76</v>
      </c>
      <c r="E1288" s="93"/>
      <c r="F1288" s="93"/>
      <c r="G1288" s="93"/>
      <c r="H1288" s="93"/>
      <c r="I1288" s="3" t="str">
        <f t="shared" si="16"/>
        <v>624120101</v>
      </c>
      <c r="J1288" s="3"/>
      <c r="K1288" s="3"/>
      <c r="L1288" s="94" t="s">
        <v>2312</v>
      </c>
      <c r="M1288" s="4">
        <v>2.0</v>
      </c>
      <c r="N1288" s="3"/>
      <c r="O1288" s="93"/>
      <c r="P1288" s="3"/>
      <c r="Q1288" s="3"/>
      <c r="R1288" s="3"/>
      <c r="S1288" s="3"/>
      <c r="T1288" s="3"/>
      <c r="U1288" s="6">
        <v>1.0</v>
      </c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97"/>
      <c r="BO1288" s="3"/>
      <c r="BP1288" s="3"/>
      <c r="BQ1288" s="10"/>
    </row>
    <row r="1289">
      <c r="A1289" s="1">
        <v>5.0</v>
      </c>
      <c r="B1289" s="2" t="s">
        <v>2309</v>
      </c>
      <c r="C1289" s="2" t="s">
        <v>76</v>
      </c>
      <c r="D1289" s="2" t="s">
        <v>119</v>
      </c>
      <c r="E1289" s="93"/>
      <c r="F1289" s="93"/>
      <c r="G1289" s="93"/>
      <c r="H1289" s="93"/>
      <c r="I1289" s="3" t="str">
        <f t="shared" si="16"/>
        <v>624120102</v>
      </c>
      <c r="J1289" s="3"/>
      <c r="K1289" s="3"/>
      <c r="L1289" s="94" t="s">
        <v>2313</v>
      </c>
      <c r="M1289" s="4">
        <v>2.0</v>
      </c>
      <c r="N1289" s="3"/>
      <c r="O1289" s="93"/>
      <c r="P1289" s="3"/>
      <c r="Q1289" s="3"/>
      <c r="R1289" s="3"/>
      <c r="S1289" s="3"/>
      <c r="T1289" s="3"/>
      <c r="U1289" s="6">
        <v>3.0</v>
      </c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97"/>
      <c r="BO1289" s="3"/>
      <c r="BP1289" s="3"/>
      <c r="BQ1289" s="10"/>
    </row>
    <row r="1290">
      <c r="A1290" s="1">
        <v>5.0</v>
      </c>
      <c r="B1290" s="2" t="s">
        <v>2309</v>
      </c>
      <c r="C1290" s="2" t="s">
        <v>76</v>
      </c>
      <c r="D1290" s="2" t="s">
        <v>124</v>
      </c>
      <c r="E1290" s="93"/>
      <c r="F1290" s="93"/>
      <c r="G1290" s="93"/>
      <c r="H1290" s="93"/>
      <c r="I1290" s="3" t="str">
        <f t="shared" si="16"/>
        <v>624120103</v>
      </c>
      <c r="J1290" s="3"/>
      <c r="K1290" s="3"/>
      <c r="L1290" s="94" t="s">
        <v>2314</v>
      </c>
      <c r="M1290" s="4">
        <v>2.0</v>
      </c>
      <c r="N1290" s="3"/>
      <c r="O1290" s="93"/>
      <c r="P1290" s="3"/>
      <c r="Q1290" s="3"/>
      <c r="R1290" s="3"/>
      <c r="S1290" s="3"/>
      <c r="T1290" s="3"/>
      <c r="U1290" s="6">
        <v>1.0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97"/>
      <c r="BO1290" s="3"/>
      <c r="BP1290" s="3"/>
      <c r="BQ1290" s="10"/>
    </row>
    <row r="1291">
      <c r="A1291" s="1">
        <v>5.0</v>
      </c>
      <c r="B1291" s="2" t="s">
        <v>2309</v>
      </c>
      <c r="C1291" s="2" t="s">
        <v>76</v>
      </c>
      <c r="D1291" s="2" t="s">
        <v>127</v>
      </c>
      <c r="E1291" s="93"/>
      <c r="F1291" s="93"/>
      <c r="G1291" s="93"/>
      <c r="H1291" s="93"/>
      <c r="I1291" s="3" t="str">
        <f t="shared" si="16"/>
        <v>624120104</v>
      </c>
      <c r="J1291" s="3"/>
      <c r="K1291" s="3"/>
      <c r="L1291" s="94" t="s">
        <v>2315</v>
      </c>
      <c r="M1291" s="4">
        <v>2.0</v>
      </c>
      <c r="N1291" s="3"/>
      <c r="O1291" s="93"/>
      <c r="P1291" s="3"/>
      <c r="Q1291" s="3"/>
      <c r="R1291" s="3"/>
      <c r="S1291" s="3"/>
      <c r="T1291" s="3"/>
      <c r="U1291" s="6">
        <v>1.0</v>
      </c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97"/>
      <c r="BO1291" s="3"/>
      <c r="BP1291" s="3"/>
      <c r="BQ1291" s="10"/>
    </row>
    <row r="1292">
      <c r="A1292" s="1">
        <v>4.0</v>
      </c>
      <c r="B1292" s="2" t="s">
        <v>2309</v>
      </c>
      <c r="C1292" s="2" t="s">
        <v>119</v>
      </c>
      <c r="D1292" s="93"/>
      <c r="E1292" s="93"/>
      <c r="F1292" s="93"/>
      <c r="G1292" s="93"/>
      <c r="H1292" s="93"/>
      <c r="I1292" s="3" t="str">
        <f t="shared" si="16"/>
        <v>6241202</v>
      </c>
      <c r="J1292" s="3"/>
      <c r="K1292" s="3"/>
      <c r="L1292" s="94" t="s">
        <v>2316</v>
      </c>
      <c r="M1292" s="4">
        <v>2.0</v>
      </c>
      <c r="N1292" s="3"/>
      <c r="O1292" s="93"/>
      <c r="P1292" s="3"/>
      <c r="Q1292" s="3"/>
      <c r="R1292" s="3"/>
      <c r="S1292" s="3"/>
      <c r="T1292" s="3"/>
      <c r="U1292" s="6" t="s">
        <v>79</v>
      </c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97"/>
      <c r="BO1292" s="3"/>
      <c r="BP1292" s="3"/>
      <c r="BQ1292" s="10"/>
    </row>
    <row r="1293">
      <c r="A1293" s="1">
        <v>5.0</v>
      </c>
      <c r="B1293" s="2" t="s">
        <v>2309</v>
      </c>
      <c r="C1293" s="2" t="s">
        <v>119</v>
      </c>
      <c r="D1293" s="2" t="s">
        <v>76</v>
      </c>
      <c r="E1293" s="93"/>
      <c r="F1293" s="93"/>
      <c r="G1293" s="93"/>
      <c r="H1293" s="93"/>
      <c r="I1293" s="3" t="str">
        <f t="shared" si="16"/>
        <v>624120201</v>
      </c>
      <c r="J1293" s="3"/>
      <c r="K1293" s="3"/>
      <c r="L1293" s="94" t="s">
        <v>2312</v>
      </c>
      <c r="M1293" s="4">
        <v>2.0</v>
      </c>
      <c r="N1293" s="3"/>
      <c r="O1293" s="93"/>
      <c r="P1293" s="3"/>
      <c r="Q1293" s="3"/>
      <c r="R1293" s="3"/>
      <c r="S1293" s="3"/>
      <c r="T1293" s="3"/>
      <c r="U1293" s="6">
        <v>1.0</v>
      </c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97"/>
      <c r="BO1293" s="3"/>
      <c r="BP1293" s="3"/>
      <c r="BQ1293" s="10"/>
    </row>
    <row r="1294">
      <c r="A1294" s="1">
        <v>5.0</v>
      </c>
      <c r="B1294" s="2" t="s">
        <v>2309</v>
      </c>
      <c r="C1294" s="2" t="s">
        <v>119</v>
      </c>
      <c r="D1294" s="2" t="s">
        <v>119</v>
      </c>
      <c r="E1294" s="93"/>
      <c r="F1294" s="93"/>
      <c r="G1294" s="93"/>
      <c r="H1294" s="93"/>
      <c r="I1294" s="3" t="str">
        <f t="shared" si="16"/>
        <v>624120202</v>
      </c>
      <c r="J1294" s="3"/>
      <c r="K1294" s="3"/>
      <c r="L1294" s="94" t="s">
        <v>2313</v>
      </c>
      <c r="M1294" s="4">
        <v>2.0</v>
      </c>
      <c r="N1294" s="3"/>
      <c r="O1294" s="93"/>
      <c r="P1294" s="3"/>
      <c r="Q1294" s="3"/>
      <c r="R1294" s="3"/>
      <c r="S1294" s="3"/>
      <c r="T1294" s="3"/>
      <c r="U1294" s="6">
        <v>3.0</v>
      </c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97"/>
      <c r="BO1294" s="3"/>
      <c r="BP1294" s="3"/>
      <c r="BQ1294" s="10"/>
    </row>
    <row r="1295">
      <c r="A1295" s="1">
        <v>5.0</v>
      </c>
      <c r="B1295" s="2" t="s">
        <v>2309</v>
      </c>
      <c r="C1295" s="2" t="s">
        <v>119</v>
      </c>
      <c r="D1295" s="2" t="s">
        <v>124</v>
      </c>
      <c r="E1295" s="93"/>
      <c r="F1295" s="93"/>
      <c r="G1295" s="93"/>
      <c r="H1295" s="93"/>
      <c r="I1295" s="3" t="str">
        <f t="shared" si="16"/>
        <v>624120203</v>
      </c>
      <c r="J1295" s="3"/>
      <c r="K1295" s="3"/>
      <c r="L1295" s="94" t="s">
        <v>2317</v>
      </c>
      <c r="M1295" s="4">
        <v>2.0</v>
      </c>
      <c r="N1295" s="3"/>
      <c r="O1295" s="93"/>
      <c r="P1295" s="3"/>
      <c r="Q1295" s="3"/>
      <c r="R1295" s="3"/>
      <c r="S1295" s="3"/>
      <c r="T1295" s="3"/>
      <c r="U1295" s="6">
        <v>1.0</v>
      </c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97"/>
      <c r="BO1295" s="3"/>
      <c r="BP1295" s="3"/>
      <c r="BQ1295" s="10"/>
    </row>
    <row r="1296">
      <c r="A1296" s="1">
        <v>5.0</v>
      </c>
      <c r="B1296" s="2" t="s">
        <v>2309</v>
      </c>
      <c r="C1296" s="2" t="s">
        <v>119</v>
      </c>
      <c r="D1296" s="2" t="s">
        <v>127</v>
      </c>
      <c r="E1296" s="93"/>
      <c r="F1296" s="93"/>
      <c r="G1296" s="93"/>
      <c r="H1296" s="93"/>
      <c r="I1296" s="3" t="str">
        <f t="shared" si="16"/>
        <v>624120204</v>
      </c>
      <c r="J1296" s="3"/>
      <c r="K1296" s="3"/>
      <c r="L1296" s="94" t="s">
        <v>2315</v>
      </c>
      <c r="M1296" s="4">
        <v>2.0</v>
      </c>
      <c r="N1296" s="3"/>
      <c r="O1296" s="93"/>
      <c r="P1296" s="3"/>
      <c r="Q1296" s="3"/>
      <c r="R1296" s="3"/>
      <c r="S1296" s="3"/>
      <c r="T1296" s="3"/>
      <c r="U1296" s="6">
        <v>1.0</v>
      </c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97"/>
      <c r="BO1296" s="3"/>
      <c r="BP1296" s="3"/>
      <c r="BQ1296" s="10"/>
    </row>
    <row r="1297">
      <c r="A1297" s="1">
        <v>4.0</v>
      </c>
      <c r="B1297" s="2" t="s">
        <v>2309</v>
      </c>
      <c r="C1297" s="2" t="s">
        <v>124</v>
      </c>
      <c r="D1297" s="93"/>
      <c r="E1297" s="93"/>
      <c r="F1297" s="93"/>
      <c r="G1297" s="93"/>
      <c r="H1297" s="93"/>
      <c r="I1297" s="3" t="str">
        <f t="shared" si="16"/>
        <v>6241203</v>
      </c>
      <c r="J1297" s="3"/>
      <c r="K1297" s="3"/>
      <c r="L1297" s="94" t="s">
        <v>2318</v>
      </c>
      <c r="M1297" s="4">
        <v>2.0</v>
      </c>
      <c r="N1297" s="3"/>
      <c r="O1297" s="93"/>
      <c r="P1297" s="3"/>
      <c r="Q1297" s="3"/>
      <c r="R1297" s="3"/>
      <c r="S1297" s="3"/>
      <c r="T1297" s="3"/>
      <c r="U1297" s="6" t="s">
        <v>79</v>
      </c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97"/>
      <c r="BO1297" s="3"/>
      <c r="BP1297" s="3"/>
      <c r="BQ1297" s="10"/>
    </row>
    <row r="1298">
      <c r="A1298" s="1">
        <v>5.0</v>
      </c>
      <c r="B1298" s="2" t="s">
        <v>2309</v>
      </c>
      <c r="C1298" s="2" t="s">
        <v>124</v>
      </c>
      <c r="D1298" s="2" t="s">
        <v>76</v>
      </c>
      <c r="E1298" s="93"/>
      <c r="F1298" s="93"/>
      <c r="G1298" s="93"/>
      <c r="H1298" s="93"/>
      <c r="I1298" s="3" t="str">
        <f t="shared" si="16"/>
        <v>624120301</v>
      </c>
      <c r="J1298" s="3"/>
      <c r="K1298" s="3"/>
      <c r="L1298" s="94" t="s">
        <v>2312</v>
      </c>
      <c r="M1298" s="4">
        <v>2.0</v>
      </c>
      <c r="N1298" s="3"/>
      <c r="O1298" s="93"/>
      <c r="P1298" s="3"/>
      <c r="Q1298" s="3"/>
      <c r="R1298" s="3"/>
      <c r="S1298" s="3"/>
      <c r="T1298" s="3"/>
      <c r="U1298" s="6">
        <v>1.0</v>
      </c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97"/>
      <c r="BO1298" s="3"/>
      <c r="BP1298" s="3"/>
      <c r="BQ1298" s="10"/>
    </row>
    <row r="1299">
      <c r="A1299" s="1">
        <v>5.0</v>
      </c>
      <c r="B1299" s="2" t="s">
        <v>2309</v>
      </c>
      <c r="C1299" s="2" t="s">
        <v>124</v>
      </c>
      <c r="D1299" s="2" t="s">
        <v>119</v>
      </c>
      <c r="E1299" s="93"/>
      <c r="F1299" s="93"/>
      <c r="G1299" s="93"/>
      <c r="H1299" s="93"/>
      <c r="I1299" s="3" t="str">
        <f t="shared" si="16"/>
        <v>624120302</v>
      </c>
      <c r="J1299" s="3"/>
      <c r="K1299" s="3"/>
      <c r="L1299" s="94" t="s">
        <v>2313</v>
      </c>
      <c r="M1299" s="4">
        <v>2.0</v>
      </c>
      <c r="N1299" s="3"/>
      <c r="O1299" s="93"/>
      <c r="P1299" s="3"/>
      <c r="Q1299" s="3"/>
      <c r="R1299" s="3"/>
      <c r="S1299" s="3"/>
      <c r="T1299" s="3"/>
      <c r="U1299" s="6">
        <v>3.0</v>
      </c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97"/>
      <c r="BO1299" s="3"/>
      <c r="BP1299" s="3"/>
      <c r="BQ1299" s="10"/>
    </row>
    <row r="1300">
      <c r="A1300" s="1">
        <v>5.0</v>
      </c>
      <c r="B1300" s="2" t="s">
        <v>2309</v>
      </c>
      <c r="C1300" s="2" t="s">
        <v>124</v>
      </c>
      <c r="D1300" s="2" t="s">
        <v>124</v>
      </c>
      <c r="E1300" s="93"/>
      <c r="F1300" s="93"/>
      <c r="G1300" s="93"/>
      <c r="H1300" s="93"/>
      <c r="I1300" s="3" t="str">
        <f t="shared" si="16"/>
        <v>624120303</v>
      </c>
      <c r="J1300" s="3"/>
      <c r="K1300" s="3"/>
      <c r="L1300" s="94" t="s">
        <v>2319</v>
      </c>
      <c r="M1300" s="4">
        <v>2.0</v>
      </c>
      <c r="N1300" s="3"/>
      <c r="O1300" s="93"/>
      <c r="P1300" s="3"/>
      <c r="Q1300" s="3"/>
      <c r="R1300" s="3"/>
      <c r="S1300" s="3"/>
      <c r="T1300" s="3"/>
      <c r="U1300" s="6">
        <v>1.0</v>
      </c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97"/>
      <c r="BO1300" s="3"/>
      <c r="BP1300" s="3"/>
      <c r="BQ1300" s="10"/>
    </row>
    <row r="1301">
      <c r="A1301" s="1">
        <v>4.0</v>
      </c>
      <c r="B1301" s="2" t="s">
        <v>2309</v>
      </c>
      <c r="C1301" s="2" t="s">
        <v>127</v>
      </c>
      <c r="D1301" s="93"/>
      <c r="E1301" s="93"/>
      <c r="F1301" s="93"/>
      <c r="G1301" s="93"/>
      <c r="H1301" s="93"/>
      <c r="I1301" s="3" t="str">
        <f t="shared" si="16"/>
        <v>6241204</v>
      </c>
      <c r="J1301" s="3"/>
      <c r="K1301" s="3"/>
      <c r="L1301" s="94" t="s">
        <v>2320</v>
      </c>
      <c r="M1301" s="4">
        <v>2.0</v>
      </c>
      <c r="N1301" s="3"/>
      <c r="O1301" s="93"/>
      <c r="P1301" s="3"/>
      <c r="Q1301" s="3"/>
      <c r="R1301" s="3"/>
      <c r="S1301" s="3"/>
      <c r="T1301" s="3"/>
      <c r="U1301" s="6" t="s">
        <v>79</v>
      </c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97"/>
      <c r="BO1301" s="3"/>
      <c r="BP1301" s="3"/>
      <c r="BQ1301" s="10"/>
    </row>
    <row r="1302">
      <c r="A1302" s="28">
        <v>1.0</v>
      </c>
      <c r="B1302" s="29" t="s">
        <v>2321</v>
      </c>
      <c r="C1302" s="30"/>
      <c r="D1302" s="30"/>
      <c r="E1302" s="30"/>
      <c r="F1302" s="30"/>
      <c r="G1302" s="30"/>
      <c r="H1302" s="30"/>
      <c r="I1302" s="31" t="str">
        <f t="shared" si="16"/>
        <v>62500</v>
      </c>
      <c r="J1302" s="74"/>
      <c r="K1302" s="74"/>
      <c r="L1302" s="31" t="s">
        <v>2322</v>
      </c>
      <c r="M1302" s="75">
        <v>1.0</v>
      </c>
      <c r="N1302" s="32"/>
      <c r="O1302" s="30"/>
      <c r="P1302" s="32"/>
      <c r="Q1302" s="32"/>
      <c r="R1302" s="32"/>
      <c r="S1302" s="32"/>
      <c r="T1302" s="74"/>
      <c r="U1302" s="34">
        <v>1.0</v>
      </c>
      <c r="V1302" s="74"/>
      <c r="W1302" s="34" t="s">
        <v>70</v>
      </c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  <c r="AH1302" s="74"/>
      <c r="AI1302" s="74"/>
      <c r="AJ1302" s="74"/>
      <c r="AK1302" s="74"/>
      <c r="AL1302" s="74"/>
      <c r="AM1302" s="74"/>
      <c r="AN1302" s="74"/>
      <c r="AO1302" s="74"/>
      <c r="AP1302" s="32"/>
      <c r="AQ1302" s="32"/>
      <c r="AR1302" s="32"/>
      <c r="AS1302" s="32"/>
      <c r="AT1302" s="32"/>
      <c r="AU1302" s="32"/>
      <c r="AV1302" s="74"/>
      <c r="AW1302" s="74"/>
      <c r="AX1302" s="74"/>
      <c r="AY1302" s="74"/>
      <c r="AZ1302" s="74"/>
      <c r="BA1302" s="74"/>
      <c r="BB1302" s="74"/>
      <c r="BC1302" s="74"/>
      <c r="BD1302" s="74"/>
      <c r="BE1302" s="74"/>
      <c r="BF1302" s="74"/>
      <c r="BG1302" s="74"/>
      <c r="BH1302" s="32"/>
      <c r="BI1302" s="32"/>
      <c r="BJ1302" s="32"/>
      <c r="BK1302" s="32"/>
      <c r="BL1302" s="32"/>
      <c r="BM1302" s="74"/>
      <c r="BN1302" s="76"/>
      <c r="BO1302" s="74"/>
      <c r="BP1302" s="32"/>
      <c r="BQ1302" s="10"/>
    </row>
    <row r="1303">
      <c r="A1303" s="36">
        <v>2.0</v>
      </c>
      <c r="B1303" s="37" t="s">
        <v>2323</v>
      </c>
      <c r="C1303" s="38"/>
      <c r="D1303" s="38"/>
      <c r="E1303" s="38"/>
      <c r="F1303" s="38"/>
      <c r="G1303" s="38"/>
      <c r="H1303" s="38"/>
      <c r="I1303" s="39" t="str">
        <f t="shared" si="16"/>
        <v>62510</v>
      </c>
      <c r="J1303" s="40"/>
      <c r="K1303" s="40"/>
      <c r="L1303" s="39" t="s">
        <v>2322</v>
      </c>
      <c r="M1303" s="41">
        <v>1.0</v>
      </c>
      <c r="N1303" s="42"/>
      <c r="O1303" s="38"/>
      <c r="P1303" s="42"/>
      <c r="Q1303" s="42"/>
      <c r="R1303" s="42"/>
      <c r="S1303" s="42"/>
      <c r="T1303" s="40"/>
      <c r="U1303" s="43">
        <v>1.0</v>
      </c>
      <c r="V1303" s="40"/>
      <c r="W1303" s="43" t="s">
        <v>70</v>
      </c>
      <c r="X1303" s="40"/>
      <c r="Y1303" s="40"/>
      <c r="Z1303" s="40"/>
      <c r="AA1303" s="40"/>
      <c r="AB1303" s="40"/>
      <c r="AC1303" s="40"/>
      <c r="AD1303" s="40"/>
      <c r="AE1303" s="40"/>
      <c r="AF1303" s="40"/>
      <c r="AG1303" s="40"/>
      <c r="AH1303" s="40"/>
      <c r="AI1303" s="40"/>
      <c r="AJ1303" s="40"/>
      <c r="AK1303" s="40"/>
      <c r="AL1303" s="40"/>
      <c r="AM1303" s="40"/>
      <c r="AN1303" s="40"/>
      <c r="AO1303" s="40"/>
      <c r="AP1303" s="42"/>
      <c r="AQ1303" s="42"/>
      <c r="AR1303" s="42"/>
      <c r="AS1303" s="42"/>
      <c r="AT1303" s="42"/>
      <c r="AU1303" s="42"/>
      <c r="AV1303" s="40"/>
      <c r="AW1303" s="40"/>
      <c r="AX1303" s="40"/>
      <c r="AY1303" s="40"/>
      <c r="AZ1303" s="40"/>
      <c r="BA1303" s="40"/>
      <c r="BB1303" s="40"/>
      <c r="BC1303" s="40"/>
      <c r="BD1303" s="40"/>
      <c r="BE1303" s="40"/>
      <c r="BF1303" s="40"/>
      <c r="BG1303" s="40"/>
      <c r="BH1303" s="42"/>
      <c r="BI1303" s="42"/>
      <c r="BJ1303" s="42"/>
      <c r="BK1303" s="42"/>
      <c r="BL1303" s="42"/>
      <c r="BM1303" s="40"/>
      <c r="BN1303" s="44"/>
      <c r="BO1303" s="40"/>
      <c r="BP1303" s="42"/>
      <c r="BQ1303" s="10"/>
    </row>
    <row r="1304">
      <c r="A1304" s="45">
        <v>3.0</v>
      </c>
      <c r="B1304" s="46" t="s">
        <v>2324</v>
      </c>
      <c r="C1304" s="47"/>
      <c r="D1304" s="47"/>
      <c r="E1304" s="47"/>
      <c r="F1304" s="47"/>
      <c r="G1304" s="47"/>
      <c r="H1304" s="47"/>
      <c r="I1304" s="48" t="str">
        <f t="shared" si="16"/>
        <v>62511</v>
      </c>
      <c r="J1304" s="49"/>
      <c r="K1304" s="49"/>
      <c r="L1304" s="48" t="s">
        <v>2322</v>
      </c>
      <c r="M1304" s="50">
        <v>1.0</v>
      </c>
      <c r="N1304" s="51"/>
      <c r="O1304" s="47"/>
      <c r="P1304" s="51"/>
      <c r="Q1304" s="51"/>
      <c r="R1304" s="51"/>
      <c r="S1304" s="51"/>
      <c r="T1304" s="49"/>
      <c r="U1304" s="52">
        <v>1.0</v>
      </c>
      <c r="V1304" s="49"/>
      <c r="W1304" s="52" t="s">
        <v>70</v>
      </c>
      <c r="X1304" s="49"/>
      <c r="Y1304" s="49"/>
      <c r="Z1304" s="49"/>
      <c r="AA1304" s="49"/>
      <c r="AB1304" s="49"/>
      <c r="AC1304" s="49"/>
      <c r="AD1304" s="49"/>
      <c r="AE1304" s="49"/>
      <c r="AF1304" s="49"/>
      <c r="AG1304" s="49"/>
      <c r="AH1304" s="49"/>
      <c r="AI1304" s="49"/>
      <c r="AJ1304" s="49"/>
      <c r="AK1304" s="49"/>
      <c r="AL1304" s="49"/>
      <c r="AM1304" s="49"/>
      <c r="AN1304" s="49"/>
      <c r="AO1304" s="49"/>
      <c r="AP1304" s="51"/>
      <c r="AQ1304" s="51"/>
      <c r="AR1304" s="51"/>
      <c r="AS1304" s="51"/>
      <c r="AT1304" s="51"/>
      <c r="AU1304" s="51"/>
      <c r="AV1304" s="49"/>
      <c r="AW1304" s="49"/>
      <c r="AX1304" s="49"/>
      <c r="AY1304" s="49"/>
      <c r="AZ1304" s="49"/>
      <c r="BA1304" s="49"/>
      <c r="BB1304" s="49"/>
      <c r="BC1304" s="49"/>
      <c r="BD1304" s="49"/>
      <c r="BE1304" s="49"/>
      <c r="BF1304" s="49"/>
      <c r="BG1304" s="49"/>
      <c r="BH1304" s="51"/>
      <c r="BI1304" s="51"/>
      <c r="BJ1304" s="51"/>
      <c r="BK1304" s="51"/>
      <c r="BL1304" s="51"/>
      <c r="BM1304" s="49"/>
      <c r="BN1304" s="53"/>
      <c r="BO1304" s="49"/>
      <c r="BP1304" s="51"/>
      <c r="BQ1304" s="10"/>
    </row>
    <row r="1305">
      <c r="A1305" s="1">
        <v>4.0</v>
      </c>
      <c r="B1305" s="2" t="s">
        <v>2324</v>
      </c>
      <c r="C1305" s="2" t="s">
        <v>76</v>
      </c>
      <c r="D1305" s="93"/>
      <c r="E1305" s="93"/>
      <c r="F1305" s="93"/>
      <c r="G1305" s="93"/>
      <c r="H1305" s="93"/>
      <c r="I1305" s="3" t="str">
        <f t="shared" si="16"/>
        <v>6251101</v>
      </c>
      <c r="J1305" s="3"/>
      <c r="K1305" s="3"/>
      <c r="L1305" s="94" t="s">
        <v>2325</v>
      </c>
      <c r="M1305" s="4">
        <v>2.0</v>
      </c>
      <c r="N1305" s="3"/>
      <c r="O1305" s="93"/>
      <c r="P1305" s="3"/>
      <c r="Q1305" s="3"/>
      <c r="R1305" s="3"/>
      <c r="S1305" s="3"/>
      <c r="T1305" s="3"/>
      <c r="U1305" s="6" t="s">
        <v>79</v>
      </c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97"/>
      <c r="BO1305" s="3"/>
      <c r="BP1305" s="3"/>
      <c r="BQ1305" s="10"/>
    </row>
    <row r="1306">
      <c r="A1306" s="1">
        <v>4.0</v>
      </c>
      <c r="B1306" s="2" t="s">
        <v>2324</v>
      </c>
      <c r="C1306" s="2" t="s">
        <v>119</v>
      </c>
      <c r="D1306" s="93"/>
      <c r="E1306" s="93"/>
      <c r="F1306" s="93"/>
      <c r="G1306" s="93"/>
      <c r="H1306" s="93"/>
      <c r="I1306" s="3" t="str">
        <f t="shared" si="16"/>
        <v>6251102</v>
      </c>
      <c r="J1306" s="3"/>
      <c r="K1306" s="3"/>
      <c r="L1306" s="94" t="s">
        <v>2326</v>
      </c>
      <c r="M1306" s="4">
        <v>1.0</v>
      </c>
      <c r="N1306" s="3"/>
      <c r="O1306" s="93"/>
      <c r="P1306" s="3"/>
      <c r="Q1306" s="3"/>
      <c r="R1306" s="3"/>
      <c r="S1306" s="3"/>
      <c r="T1306" s="3"/>
      <c r="U1306" s="6">
        <v>1.0</v>
      </c>
      <c r="V1306" s="3"/>
      <c r="W1306" s="6" t="s">
        <v>304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97"/>
      <c r="BO1306" s="3"/>
      <c r="BP1306" s="3"/>
      <c r="BQ1306" s="10"/>
    </row>
    <row r="1307">
      <c r="A1307" s="1">
        <v>4.0</v>
      </c>
      <c r="B1307" s="2" t="s">
        <v>2324</v>
      </c>
      <c r="C1307" s="2" t="s">
        <v>124</v>
      </c>
      <c r="D1307" s="93"/>
      <c r="E1307" s="93"/>
      <c r="F1307" s="93"/>
      <c r="G1307" s="93"/>
      <c r="H1307" s="93"/>
      <c r="I1307" s="3" t="str">
        <f t="shared" si="16"/>
        <v>6251103</v>
      </c>
      <c r="J1307" s="3"/>
      <c r="K1307" s="3"/>
      <c r="L1307" s="94" t="s">
        <v>2327</v>
      </c>
      <c r="M1307" s="4">
        <v>1.0</v>
      </c>
      <c r="N1307" s="3"/>
      <c r="O1307" s="93"/>
      <c r="P1307" s="3"/>
      <c r="Q1307" s="3"/>
      <c r="R1307" s="3"/>
      <c r="S1307" s="3"/>
      <c r="T1307" s="3"/>
      <c r="U1307" s="6">
        <v>1.0</v>
      </c>
      <c r="V1307" s="3"/>
      <c r="W1307" s="6" t="s">
        <v>304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97"/>
      <c r="BO1307" s="3"/>
      <c r="BP1307" s="3"/>
      <c r="BQ1307" s="10"/>
    </row>
    <row r="1308">
      <c r="A1308" s="1">
        <v>5.0</v>
      </c>
      <c r="B1308" s="2" t="s">
        <v>2324</v>
      </c>
      <c r="C1308" s="2" t="s">
        <v>124</v>
      </c>
      <c r="D1308" s="2" t="s">
        <v>76</v>
      </c>
      <c r="E1308" s="93"/>
      <c r="F1308" s="93"/>
      <c r="G1308" s="93"/>
      <c r="H1308" s="93"/>
      <c r="I1308" s="3" t="str">
        <f t="shared" si="16"/>
        <v>625110301</v>
      </c>
      <c r="J1308" s="3"/>
      <c r="K1308" s="3"/>
      <c r="L1308" s="94" t="s">
        <v>2328</v>
      </c>
      <c r="M1308" s="4">
        <v>1.0</v>
      </c>
      <c r="N1308" s="3"/>
      <c r="O1308" s="95" t="s">
        <v>2329</v>
      </c>
      <c r="P1308" s="3"/>
      <c r="Q1308" s="3"/>
      <c r="R1308" s="3"/>
      <c r="S1308" s="3"/>
      <c r="T1308" s="3"/>
      <c r="U1308" s="6">
        <v>1.0</v>
      </c>
      <c r="V1308" s="3"/>
      <c r="W1308" s="6" t="s">
        <v>78</v>
      </c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8" t="s">
        <v>1276</v>
      </c>
      <c r="BI1308" s="3"/>
      <c r="BJ1308" s="8" t="s">
        <v>1283</v>
      </c>
      <c r="BK1308" s="6" t="s">
        <v>2329</v>
      </c>
      <c r="BL1308" s="3"/>
      <c r="BM1308" s="3"/>
      <c r="BN1308" s="97"/>
      <c r="BO1308" s="3"/>
      <c r="BP1308" s="3"/>
      <c r="BQ1308" s="10"/>
    </row>
    <row r="1309">
      <c r="A1309" s="20">
        <v>1.0</v>
      </c>
      <c r="B1309" s="21" t="s">
        <v>2330</v>
      </c>
      <c r="C1309" s="22"/>
      <c r="D1309" s="22"/>
      <c r="E1309" s="22"/>
      <c r="F1309" s="22"/>
      <c r="G1309" s="22"/>
      <c r="H1309" s="22"/>
      <c r="I1309" s="23" t="str">
        <f t="shared" si="16"/>
        <v>63000</v>
      </c>
      <c r="J1309" s="24"/>
      <c r="K1309" s="24"/>
      <c r="L1309" s="23" t="s">
        <v>2331</v>
      </c>
      <c r="M1309" s="25">
        <v>1.0</v>
      </c>
      <c r="N1309" s="24"/>
      <c r="O1309" s="22"/>
      <c r="P1309" s="24"/>
      <c r="Q1309" s="24"/>
      <c r="R1309" s="24"/>
      <c r="S1309" s="24"/>
      <c r="T1309" s="24"/>
      <c r="U1309" s="26">
        <v>1.0</v>
      </c>
      <c r="V1309" s="24"/>
      <c r="W1309" s="26" t="s">
        <v>70</v>
      </c>
      <c r="X1309" s="24"/>
      <c r="Y1309" s="24"/>
      <c r="Z1309" s="24"/>
      <c r="AA1309" s="24"/>
      <c r="AB1309" s="24"/>
      <c r="AC1309" s="24"/>
      <c r="AD1309" s="24"/>
      <c r="AE1309" s="24"/>
      <c r="AF1309" s="24"/>
      <c r="AG1309" s="24"/>
      <c r="AH1309" s="24"/>
      <c r="AI1309" s="24"/>
      <c r="AJ1309" s="24"/>
      <c r="AK1309" s="24"/>
      <c r="AL1309" s="24"/>
      <c r="AM1309" s="24"/>
      <c r="AN1309" s="24"/>
      <c r="AO1309" s="24"/>
      <c r="AP1309" s="24"/>
      <c r="AQ1309" s="24"/>
      <c r="AR1309" s="24"/>
      <c r="AS1309" s="24"/>
      <c r="AT1309" s="24"/>
      <c r="AU1309" s="24"/>
      <c r="AV1309" s="24"/>
      <c r="AW1309" s="24"/>
      <c r="AX1309" s="24"/>
      <c r="AY1309" s="24"/>
      <c r="AZ1309" s="24"/>
      <c r="BA1309" s="24"/>
      <c r="BB1309" s="24"/>
      <c r="BC1309" s="24"/>
      <c r="BD1309" s="24"/>
      <c r="BE1309" s="24"/>
      <c r="BF1309" s="24"/>
      <c r="BG1309" s="24"/>
      <c r="BH1309" s="24"/>
      <c r="BI1309" s="24"/>
      <c r="BJ1309" s="24"/>
      <c r="BK1309" s="24"/>
      <c r="BL1309" s="24"/>
      <c r="BM1309" s="24"/>
      <c r="BN1309" s="27"/>
      <c r="BO1309" s="24"/>
      <c r="BP1309" s="24"/>
      <c r="BQ1309" s="10"/>
    </row>
    <row r="1310">
      <c r="A1310" s="28">
        <v>1.0</v>
      </c>
      <c r="B1310" s="29" t="s">
        <v>2332</v>
      </c>
      <c r="C1310" s="30"/>
      <c r="D1310" s="30"/>
      <c r="E1310" s="30"/>
      <c r="F1310" s="30"/>
      <c r="G1310" s="30"/>
      <c r="H1310" s="30"/>
      <c r="I1310" s="31" t="str">
        <f t="shared" si="16"/>
        <v>63300</v>
      </c>
      <c r="J1310" s="74"/>
      <c r="K1310" s="74"/>
      <c r="L1310" s="31" t="s">
        <v>2333</v>
      </c>
      <c r="M1310" s="75">
        <v>1.0</v>
      </c>
      <c r="N1310" s="32"/>
      <c r="O1310" s="30"/>
      <c r="P1310" s="32"/>
      <c r="Q1310" s="32"/>
      <c r="R1310" s="32"/>
      <c r="S1310" s="32"/>
      <c r="T1310" s="74"/>
      <c r="U1310" s="34">
        <v>1.0</v>
      </c>
      <c r="V1310" s="74"/>
      <c r="W1310" s="34" t="s">
        <v>70</v>
      </c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  <c r="AH1310" s="74"/>
      <c r="AI1310" s="74"/>
      <c r="AJ1310" s="74"/>
      <c r="AK1310" s="74"/>
      <c r="AL1310" s="74"/>
      <c r="AM1310" s="74"/>
      <c r="AN1310" s="74"/>
      <c r="AO1310" s="74"/>
      <c r="AP1310" s="32"/>
      <c r="AQ1310" s="32"/>
      <c r="AR1310" s="32"/>
      <c r="AS1310" s="32"/>
      <c r="AT1310" s="32"/>
      <c r="AU1310" s="32"/>
      <c r="AV1310" s="74"/>
      <c r="AW1310" s="74"/>
      <c r="AX1310" s="74"/>
      <c r="AY1310" s="74"/>
      <c r="AZ1310" s="74"/>
      <c r="BA1310" s="74"/>
      <c r="BB1310" s="74"/>
      <c r="BC1310" s="74"/>
      <c r="BD1310" s="74"/>
      <c r="BE1310" s="74"/>
      <c r="BF1310" s="74"/>
      <c r="BG1310" s="74"/>
      <c r="BH1310" s="32"/>
      <c r="BI1310" s="32"/>
      <c r="BJ1310" s="32"/>
      <c r="BK1310" s="32"/>
      <c r="BL1310" s="32"/>
      <c r="BM1310" s="74"/>
      <c r="BN1310" s="76"/>
      <c r="BO1310" s="74"/>
      <c r="BP1310" s="32"/>
      <c r="BQ1310" s="10"/>
    </row>
    <row r="1311">
      <c r="A1311" s="36">
        <v>2.0</v>
      </c>
      <c r="B1311" s="37" t="s">
        <v>2334</v>
      </c>
      <c r="C1311" s="38"/>
      <c r="D1311" s="38"/>
      <c r="E1311" s="38"/>
      <c r="F1311" s="38"/>
      <c r="G1311" s="38"/>
      <c r="H1311" s="38"/>
      <c r="I1311" s="39" t="str">
        <f t="shared" si="16"/>
        <v>63320</v>
      </c>
      <c r="J1311" s="40"/>
      <c r="K1311" s="40"/>
      <c r="L1311" s="39" t="s">
        <v>2335</v>
      </c>
      <c r="M1311" s="41">
        <v>1.0</v>
      </c>
      <c r="N1311" s="42"/>
      <c r="O1311" s="38"/>
      <c r="P1311" s="42"/>
      <c r="Q1311" s="42"/>
      <c r="R1311" s="42"/>
      <c r="S1311" s="42"/>
      <c r="T1311" s="40"/>
      <c r="U1311" s="43">
        <v>1.0</v>
      </c>
      <c r="V1311" s="40"/>
      <c r="W1311" s="43" t="s">
        <v>70</v>
      </c>
      <c r="X1311" s="40"/>
      <c r="Y1311" s="40"/>
      <c r="Z1311" s="40"/>
      <c r="AA1311" s="40"/>
      <c r="AB1311" s="40"/>
      <c r="AC1311" s="40"/>
      <c r="AD1311" s="40"/>
      <c r="AE1311" s="40"/>
      <c r="AF1311" s="40"/>
      <c r="AG1311" s="40"/>
      <c r="AH1311" s="40"/>
      <c r="AI1311" s="40"/>
      <c r="AJ1311" s="40"/>
      <c r="AK1311" s="40"/>
      <c r="AL1311" s="40"/>
      <c r="AM1311" s="40"/>
      <c r="AN1311" s="40"/>
      <c r="AO1311" s="40"/>
      <c r="AP1311" s="42"/>
      <c r="AQ1311" s="42"/>
      <c r="AR1311" s="42"/>
      <c r="AS1311" s="42"/>
      <c r="AT1311" s="42"/>
      <c r="AU1311" s="42"/>
      <c r="AV1311" s="40"/>
      <c r="AW1311" s="40"/>
      <c r="AX1311" s="40"/>
      <c r="AY1311" s="40"/>
      <c r="AZ1311" s="40"/>
      <c r="BA1311" s="40"/>
      <c r="BB1311" s="40"/>
      <c r="BC1311" s="40"/>
      <c r="BD1311" s="40"/>
      <c r="BE1311" s="40"/>
      <c r="BF1311" s="40"/>
      <c r="BG1311" s="40"/>
      <c r="BH1311" s="42"/>
      <c r="BI1311" s="42"/>
      <c r="BJ1311" s="42"/>
      <c r="BK1311" s="42"/>
      <c r="BL1311" s="42"/>
      <c r="BM1311" s="40"/>
      <c r="BN1311" s="44"/>
      <c r="BO1311" s="40"/>
      <c r="BP1311" s="42"/>
      <c r="BQ1311" s="10"/>
    </row>
    <row r="1312">
      <c r="A1312" s="65">
        <v>3.0</v>
      </c>
      <c r="B1312" s="66" t="s">
        <v>2336</v>
      </c>
      <c r="C1312" s="56"/>
      <c r="D1312" s="56"/>
      <c r="E1312" s="56"/>
      <c r="F1312" s="56"/>
      <c r="G1312" s="56"/>
      <c r="H1312" s="56"/>
      <c r="I1312" s="67" t="str">
        <f t="shared" si="16"/>
        <v>63321</v>
      </c>
      <c r="J1312" s="58"/>
      <c r="K1312" s="58"/>
      <c r="L1312" s="67" t="s">
        <v>2337</v>
      </c>
      <c r="M1312" s="68">
        <v>1.0</v>
      </c>
      <c r="N1312" s="69" t="s">
        <v>2338</v>
      </c>
      <c r="O1312" s="56"/>
      <c r="P1312" s="58"/>
      <c r="Q1312" s="114" t="s">
        <v>491</v>
      </c>
      <c r="R1312" s="69" t="s">
        <v>2339</v>
      </c>
      <c r="S1312" s="114" t="s">
        <v>1263</v>
      </c>
      <c r="T1312" s="58"/>
      <c r="U1312" s="69">
        <v>1.0</v>
      </c>
      <c r="V1312" s="58"/>
      <c r="W1312" s="69" t="s">
        <v>70</v>
      </c>
      <c r="X1312" s="58"/>
      <c r="Y1312" s="58"/>
      <c r="Z1312" s="58"/>
      <c r="AA1312" s="62" t="s">
        <v>79</v>
      </c>
      <c r="AB1312" s="62" t="s">
        <v>79</v>
      </c>
      <c r="AC1312" s="58"/>
      <c r="AD1312" s="58"/>
      <c r="AE1312" s="58"/>
      <c r="AF1312" s="58"/>
      <c r="AG1312" s="58"/>
      <c r="AH1312" s="58"/>
      <c r="AI1312" s="58"/>
      <c r="AJ1312" s="58"/>
      <c r="AK1312" s="58"/>
      <c r="AL1312" s="58"/>
      <c r="AM1312" s="58"/>
      <c r="AN1312" s="58"/>
      <c r="AO1312" s="58"/>
      <c r="AP1312" s="69">
        <v>18070.0</v>
      </c>
      <c r="AQ1312" s="58"/>
      <c r="AR1312" s="58"/>
      <c r="AS1312" s="58"/>
      <c r="AT1312" s="58"/>
      <c r="AU1312" s="58"/>
      <c r="AV1312" s="58"/>
      <c r="AW1312" s="58"/>
      <c r="AX1312" s="58"/>
      <c r="AY1312" s="58"/>
      <c r="AZ1312" s="58"/>
      <c r="BA1312" s="58"/>
      <c r="BB1312" s="58"/>
      <c r="BC1312" s="58"/>
      <c r="BD1312" s="58"/>
      <c r="BE1312" s="58"/>
      <c r="BF1312" s="58"/>
      <c r="BG1312" s="58"/>
      <c r="BH1312" s="114" t="s">
        <v>2340</v>
      </c>
      <c r="BI1312" s="69">
        <v>24.0</v>
      </c>
      <c r="BJ1312" s="114" t="s">
        <v>2339</v>
      </c>
      <c r="BK1312" s="69" t="s">
        <v>2339</v>
      </c>
      <c r="BL1312" s="66" t="s">
        <v>76</v>
      </c>
      <c r="BM1312" s="58"/>
      <c r="BN1312" s="58"/>
      <c r="BO1312" s="58"/>
      <c r="BP1312" s="58"/>
      <c r="BQ1312" s="64"/>
    </row>
    <row r="1313">
      <c r="A1313" s="28">
        <v>1.0</v>
      </c>
      <c r="B1313" s="29">
        <v>63800.0</v>
      </c>
      <c r="C1313" s="30"/>
      <c r="D1313" s="30"/>
      <c r="E1313" s="30"/>
      <c r="F1313" s="30"/>
      <c r="G1313" s="30"/>
      <c r="H1313" s="30"/>
      <c r="I1313" s="31" t="str">
        <f t="shared" si="16"/>
        <v>63800</v>
      </c>
      <c r="J1313" s="74"/>
      <c r="K1313" s="74"/>
      <c r="L1313" s="31" t="s">
        <v>2341</v>
      </c>
      <c r="M1313" s="75">
        <v>1.0</v>
      </c>
      <c r="N1313" s="32"/>
      <c r="O1313" s="30"/>
      <c r="P1313" s="32"/>
      <c r="Q1313" s="32"/>
      <c r="R1313" s="32"/>
      <c r="S1313" s="32"/>
      <c r="T1313" s="74"/>
      <c r="U1313" s="34">
        <v>1.0</v>
      </c>
      <c r="V1313" s="74"/>
      <c r="W1313" s="34" t="s">
        <v>70</v>
      </c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  <c r="AH1313" s="74"/>
      <c r="AI1313" s="74"/>
      <c r="AJ1313" s="74"/>
      <c r="AK1313" s="74"/>
      <c r="AL1313" s="74"/>
      <c r="AM1313" s="74"/>
      <c r="AN1313" s="74"/>
      <c r="AO1313" s="74"/>
      <c r="AP1313" s="32"/>
      <c r="AQ1313" s="32"/>
      <c r="AR1313" s="32"/>
      <c r="AS1313" s="32"/>
      <c r="AT1313" s="32"/>
      <c r="AU1313" s="32"/>
      <c r="AV1313" s="74"/>
      <c r="AW1313" s="74"/>
      <c r="AX1313" s="74"/>
      <c r="AY1313" s="74"/>
      <c r="AZ1313" s="74"/>
      <c r="BA1313" s="74"/>
      <c r="BB1313" s="74"/>
      <c r="BC1313" s="74"/>
      <c r="BD1313" s="74"/>
      <c r="BE1313" s="74"/>
      <c r="BF1313" s="74"/>
      <c r="BG1313" s="74"/>
      <c r="BH1313" s="32"/>
      <c r="BI1313" s="32"/>
      <c r="BJ1313" s="32"/>
      <c r="BK1313" s="32"/>
      <c r="BL1313" s="32"/>
      <c r="BM1313" s="74"/>
      <c r="BN1313" s="76"/>
      <c r="BO1313" s="74"/>
      <c r="BP1313" s="32"/>
      <c r="BQ1313" s="10"/>
    </row>
    <row r="1314">
      <c r="A1314" s="36">
        <v>2.0</v>
      </c>
      <c r="B1314" s="37">
        <v>63810.0</v>
      </c>
      <c r="C1314" s="38"/>
      <c r="D1314" s="38"/>
      <c r="E1314" s="38"/>
      <c r="F1314" s="38"/>
      <c r="G1314" s="38"/>
      <c r="H1314" s="38"/>
      <c r="I1314" s="39" t="str">
        <f t="shared" si="16"/>
        <v>63810</v>
      </c>
      <c r="J1314" s="40"/>
      <c r="K1314" s="40"/>
      <c r="L1314" s="39" t="s">
        <v>2342</v>
      </c>
      <c r="M1314" s="41">
        <v>1.0</v>
      </c>
      <c r="N1314" s="42"/>
      <c r="O1314" s="38"/>
      <c r="P1314" s="42"/>
      <c r="Q1314" s="42"/>
      <c r="R1314" s="42"/>
      <c r="S1314" s="42"/>
      <c r="T1314" s="40"/>
      <c r="U1314" s="43">
        <v>1.0</v>
      </c>
      <c r="V1314" s="40"/>
      <c r="W1314" s="43" t="s">
        <v>70</v>
      </c>
      <c r="X1314" s="40"/>
      <c r="Y1314" s="40"/>
      <c r="Z1314" s="40"/>
      <c r="AA1314" s="40"/>
      <c r="AB1314" s="40"/>
      <c r="AC1314" s="40"/>
      <c r="AD1314" s="40"/>
      <c r="AE1314" s="40"/>
      <c r="AF1314" s="40"/>
      <c r="AG1314" s="40"/>
      <c r="AH1314" s="40"/>
      <c r="AI1314" s="40"/>
      <c r="AJ1314" s="40"/>
      <c r="AK1314" s="40"/>
      <c r="AL1314" s="40"/>
      <c r="AM1314" s="40"/>
      <c r="AN1314" s="40"/>
      <c r="AO1314" s="40"/>
      <c r="AP1314" s="42"/>
      <c r="AQ1314" s="42"/>
      <c r="AR1314" s="42"/>
      <c r="AS1314" s="42"/>
      <c r="AT1314" s="42"/>
      <c r="AU1314" s="42"/>
      <c r="AV1314" s="40"/>
      <c r="AW1314" s="40"/>
      <c r="AX1314" s="40"/>
      <c r="AY1314" s="40"/>
      <c r="AZ1314" s="40"/>
      <c r="BA1314" s="40"/>
      <c r="BB1314" s="40"/>
      <c r="BC1314" s="40"/>
      <c r="BD1314" s="40"/>
      <c r="BE1314" s="40"/>
      <c r="BF1314" s="40"/>
      <c r="BG1314" s="40"/>
      <c r="BH1314" s="42"/>
      <c r="BI1314" s="42"/>
      <c r="BJ1314" s="42"/>
      <c r="BK1314" s="42"/>
      <c r="BL1314" s="42"/>
      <c r="BM1314" s="40"/>
      <c r="BN1314" s="44"/>
      <c r="BO1314" s="40"/>
      <c r="BP1314" s="42"/>
      <c r="BQ1314" s="10"/>
    </row>
    <row r="1315">
      <c r="A1315" s="45">
        <v>3.0</v>
      </c>
      <c r="B1315" s="46">
        <v>63811.0</v>
      </c>
      <c r="C1315" s="47"/>
      <c r="D1315" s="47"/>
      <c r="E1315" s="47"/>
      <c r="F1315" s="47"/>
      <c r="G1315" s="47"/>
      <c r="H1315" s="47"/>
      <c r="I1315" s="48" t="str">
        <f t="shared" si="16"/>
        <v>63811</v>
      </c>
      <c r="J1315" s="49"/>
      <c r="K1315" s="49"/>
      <c r="L1315" s="48" t="s">
        <v>2342</v>
      </c>
      <c r="M1315" s="50">
        <v>1.0</v>
      </c>
      <c r="N1315" s="51"/>
      <c r="O1315" s="47"/>
      <c r="P1315" s="51"/>
      <c r="Q1315" s="51"/>
      <c r="R1315" s="51"/>
      <c r="S1315" s="51"/>
      <c r="T1315" s="49"/>
      <c r="U1315" s="52">
        <v>1.0</v>
      </c>
      <c r="V1315" s="49"/>
      <c r="W1315" s="52" t="s">
        <v>70</v>
      </c>
      <c r="X1315" s="49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  <c r="AI1315" s="49"/>
      <c r="AJ1315" s="49"/>
      <c r="AK1315" s="49"/>
      <c r="AL1315" s="49"/>
      <c r="AM1315" s="49"/>
      <c r="AN1315" s="49"/>
      <c r="AO1315" s="49"/>
      <c r="AP1315" s="51"/>
      <c r="AQ1315" s="51"/>
      <c r="AR1315" s="51"/>
      <c r="AS1315" s="51"/>
      <c r="AT1315" s="51"/>
      <c r="AU1315" s="51"/>
      <c r="AV1315" s="49"/>
      <c r="AW1315" s="49"/>
      <c r="AX1315" s="49"/>
      <c r="AY1315" s="49"/>
      <c r="AZ1315" s="49"/>
      <c r="BA1315" s="49"/>
      <c r="BB1315" s="49"/>
      <c r="BC1315" s="49"/>
      <c r="BD1315" s="49"/>
      <c r="BE1315" s="49"/>
      <c r="BF1315" s="49"/>
      <c r="BG1315" s="49"/>
      <c r="BH1315" s="51"/>
      <c r="BI1315" s="51"/>
      <c r="BJ1315" s="51"/>
      <c r="BK1315" s="51"/>
      <c r="BL1315" s="51"/>
      <c r="BM1315" s="49"/>
      <c r="BN1315" s="53"/>
      <c r="BO1315" s="49"/>
      <c r="BP1315" s="51"/>
      <c r="BQ1315" s="10"/>
    </row>
    <row r="1316">
      <c r="A1316" s="1">
        <v>4.0</v>
      </c>
      <c r="B1316" s="2">
        <v>63811.0</v>
      </c>
      <c r="C1316" s="2" t="s">
        <v>76</v>
      </c>
      <c r="D1316" s="93"/>
      <c r="E1316" s="93"/>
      <c r="F1316" s="93"/>
      <c r="G1316" s="93"/>
      <c r="H1316" s="93"/>
      <c r="I1316" s="3" t="str">
        <f t="shared" si="16"/>
        <v>6381101</v>
      </c>
      <c r="J1316" s="3"/>
      <c r="K1316" s="3"/>
      <c r="L1316" s="94" t="s">
        <v>2343</v>
      </c>
      <c r="M1316" s="4">
        <v>1.0</v>
      </c>
      <c r="N1316" s="3"/>
      <c r="O1316" s="93"/>
      <c r="P1316" s="3"/>
      <c r="Q1316" s="3"/>
      <c r="R1316" s="3"/>
      <c r="S1316" s="3"/>
      <c r="T1316" s="3"/>
      <c r="U1316" s="6">
        <v>3.0</v>
      </c>
      <c r="V1316" s="3"/>
      <c r="W1316" s="6" t="s">
        <v>78</v>
      </c>
      <c r="X1316" s="3"/>
      <c r="Y1316" s="3"/>
      <c r="Z1316" s="3"/>
      <c r="AA1316" s="96" t="s">
        <v>79</v>
      </c>
      <c r="AB1316" s="96" t="s">
        <v>79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6" t="s">
        <v>80</v>
      </c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97"/>
      <c r="BO1316" s="3"/>
      <c r="BP1316" s="3"/>
      <c r="BQ1316" s="10"/>
    </row>
    <row r="1317">
      <c r="A1317" s="1">
        <v>5.0</v>
      </c>
      <c r="B1317" s="2">
        <v>63811.0</v>
      </c>
      <c r="C1317" s="2" t="s">
        <v>76</v>
      </c>
      <c r="D1317" s="2" t="s">
        <v>76</v>
      </c>
      <c r="E1317" s="93"/>
      <c r="F1317" s="93"/>
      <c r="G1317" s="93"/>
      <c r="H1317" s="93"/>
      <c r="I1317" s="3" t="str">
        <f t="shared" si="16"/>
        <v>638110101</v>
      </c>
      <c r="J1317" s="3"/>
      <c r="K1317" s="3"/>
      <c r="L1317" s="94" t="s">
        <v>1146</v>
      </c>
      <c r="M1317" s="4">
        <v>2.0</v>
      </c>
      <c r="N1317" s="3"/>
      <c r="O1317" s="93"/>
      <c r="P1317" s="3"/>
      <c r="Q1317" s="3"/>
      <c r="R1317" s="3"/>
      <c r="S1317" s="3"/>
      <c r="T1317" s="3"/>
      <c r="U1317" s="6">
        <v>1.0</v>
      </c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97"/>
      <c r="BO1317" s="3"/>
      <c r="BP1317" s="3"/>
      <c r="BQ1317" s="10"/>
    </row>
    <row r="1318">
      <c r="A1318" s="1">
        <v>5.0</v>
      </c>
      <c r="B1318" s="2">
        <v>63811.0</v>
      </c>
      <c r="C1318" s="2" t="s">
        <v>76</v>
      </c>
      <c r="D1318" s="2" t="s">
        <v>119</v>
      </c>
      <c r="E1318" s="93"/>
      <c r="F1318" s="93"/>
      <c r="G1318" s="93"/>
      <c r="H1318" s="93"/>
      <c r="I1318" s="3" t="str">
        <f t="shared" si="16"/>
        <v>638110102</v>
      </c>
      <c r="J1318" s="3"/>
      <c r="K1318" s="3"/>
      <c r="L1318" s="94" t="s">
        <v>2344</v>
      </c>
      <c r="M1318" s="4">
        <v>2.0</v>
      </c>
      <c r="N1318" s="3"/>
      <c r="O1318" s="93"/>
      <c r="P1318" s="3"/>
      <c r="Q1318" s="3"/>
      <c r="R1318" s="3"/>
      <c r="S1318" s="3"/>
      <c r="T1318" s="3"/>
      <c r="U1318" s="6">
        <v>1.0</v>
      </c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97"/>
      <c r="BO1318" s="3"/>
      <c r="BP1318" s="3"/>
      <c r="BQ1318" s="10"/>
    </row>
    <row r="1319">
      <c r="A1319" s="20">
        <v>1.0</v>
      </c>
      <c r="B1319" s="21" t="s">
        <v>2345</v>
      </c>
      <c r="C1319" s="22"/>
      <c r="D1319" s="22"/>
      <c r="E1319" s="22"/>
      <c r="F1319" s="22"/>
      <c r="G1319" s="22"/>
      <c r="H1319" s="22"/>
      <c r="I1319" s="23" t="str">
        <f t="shared" si="16"/>
        <v>64000</v>
      </c>
      <c r="J1319" s="24"/>
      <c r="K1319" s="24"/>
      <c r="L1319" s="23" t="s">
        <v>2346</v>
      </c>
      <c r="M1319" s="25">
        <v>1.0</v>
      </c>
      <c r="N1319" s="24"/>
      <c r="O1319" s="22"/>
      <c r="P1319" s="24"/>
      <c r="Q1319" s="24"/>
      <c r="R1319" s="24"/>
      <c r="S1319" s="24"/>
      <c r="T1319" s="24"/>
      <c r="U1319" s="26">
        <v>1.0</v>
      </c>
      <c r="V1319" s="24"/>
      <c r="W1319" s="26" t="s">
        <v>70</v>
      </c>
      <c r="X1319" s="24"/>
      <c r="Y1319" s="24"/>
      <c r="Z1319" s="24"/>
      <c r="AA1319" s="24"/>
      <c r="AB1319" s="24"/>
      <c r="AC1319" s="24"/>
      <c r="AD1319" s="24"/>
      <c r="AE1319" s="24"/>
      <c r="AF1319" s="24"/>
      <c r="AG1319" s="24"/>
      <c r="AH1319" s="24"/>
      <c r="AI1319" s="24"/>
      <c r="AJ1319" s="24"/>
      <c r="AK1319" s="24"/>
      <c r="AL1319" s="24"/>
      <c r="AM1319" s="24"/>
      <c r="AN1319" s="24"/>
      <c r="AO1319" s="24"/>
      <c r="AP1319" s="24"/>
      <c r="AQ1319" s="24"/>
      <c r="AR1319" s="24"/>
      <c r="AS1319" s="24"/>
      <c r="AT1319" s="24"/>
      <c r="AU1319" s="24"/>
      <c r="AV1319" s="24"/>
      <c r="AW1319" s="24"/>
      <c r="AX1319" s="24"/>
      <c r="AY1319" s="24"/>
      <c r="AZ1319" s="24"/>
      <c r="BA1319" s="24"/>
      <c r="BB1319" s="24"/>
      <c r="BC1319" s="24"/>
      <c r="BD1319" s="24"/>
      <c r="BE1319" s="24"/>
      <c r="BF1319" s="24"/>
      <c r="BG1319" s="24"/>
      <c r="BH1319" s="24"/>
      <c r="BI1319" s="24"/>
      <c r="BJ1319" s="24"/>
      <c r="BK1319" s="24"/>
      <c r="BL1319" s="24"/>
      <c r="BM1319" s="24"/>
      <c r="BN1319" s="27"/>
      <c r="BO1319" s="24"/>
      <c r="BP1319" s="24"/>
      <c r="BQ1319" s="10"/>
    </row>
    <row r="1320">
      <c r="A1320" s="28">
        <v>1.0</v>
      </c>
      <c r="B1320" s="29" t="s">
        <v>2347</v>
      </c>
      <c r="C1320" s="30"/>
      <c r="D1320" s="30"/>
      <c r="E1320" s="30"/>
      <c r="F1320" s="30"/>
      <c r="G1320" s="30"/>
      <c r="H1320" s="30"/>
      <c r="I1320" s="31" t="str">
        <f t="shared" si="16"/>
        <v>64100</v>
      </c>
      <c r="J1320" s="74"/>
      <c r="K1320" s="74"/>
      <c r="L1320" s="31" t="s">
        <v>2348</v>
      </c>
      <c r="M1320" s="75">
        <v>1.0</v>
      </c>
      <c r="N1320" s="32"/>
      <c r="O1320" s="30"/>
      <c r="P1320" s="32"/>
      <c r="Q1320" s="32"/>
      <c r="R1320" s="32"/>
      <c r="S1320" s="32"/>
      <c r="T1320" s="74"/>
      <c r="U1320" s="34">
        <v>1.0</v>
      </c>
      <c r="V1320" s="74"/>
      <c r="W1320" s="34" t="s">
        <v>70</v>
      </c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  <c r="AH1320" s="74"/>
      <c r="AI1320" s="74"/>
      <c r="AJ1320" s="74"/>
      <c r="AK1320" s="74"/>
      <c r="AL1320" s="74"/>
      <c r="AM1320" s="74"/>
      <c r="AN1320" s="74"/>
      <c r="AO1320" s="74"/>
      <c r="AP1320" s="32"/>
      <c r="AQ1320" s="32"/>
      <c r="AR1320" s="32"/>
      <c r="AS1320" s="32"/>
      <c r="AT1320" s="32"/>
      <c r="AU1320" s="32"/>
      <c r="AV1320" s="74"/>
      <c r="AW1320" s="74"/>
      <c r="AX1320" s="74"/>
      <c r="AY1320" s="74"/>
      <c r="AZ1320" s="74"/>
      <c r="BA1320" s="74"/>
      <c r="BB1320" s="74"/>
      <c r="BC1320" s="74"/>
      <c r="BD1320" s="74"/>
      <c r="BE1320" s="74"/>
      <c r="BF1320" s="74"/>
      <c r="BG1320" s="74"/>
      <c r="BH1320" s="32"/>
      <c r="BI1320" s="32"/>
      <c r="BJ1320" s="32"/>
      <c r="BK1320" s="32"/>
      <c r="BL1320" s="32"/>
      <c r="BM1320" s="74"/>
      <c r="BN1320" s="76"/>
      <c r="BO1320" s="74"/>
      <c r="BP1320" s="32"/>
      <c r="BQ1320" s="10"/>
    </row>
    <row r="1321">
      <c r="A1321" s="36">
        <v>2.0</v>
      </c>
      <c r="B1321" s="37" t="s">
        <v>2349</v>
      </c>
      <c r="C1321" s="38"/>
      <c r="D1321" s="38"/>
      <c r="E1321" s="38"/>
      <c r="F1321" s="38"/>
      <c r="G1321" s="38"/>
      <c r="H1321" s="38"/>
      <c r="I1321" s="39" t="str">
        <f t="shared" si="16"/>
        <v>64110</v>
      </c>
      <c r="J1321" s="40"/>
      <c r="K1321" s="40"/>
      <c r="L1321" s="39" t="s">
        <v>2350</v>
      </c>
      <c r="M1321" s="41">
        <v>1.0</v>
      </c>
      <c r="N1321" s="42"/>
      <c r="O1321" s="38"/>
      <c r="P1321" s="42"/>
      <c r="Q1321" s="42"/>
      <c r="R1321" s="42"/>
      <c r="S1321" s="42"/>
      <c r="T1321" s="40"/>
      <c r="U1321" s="43">
        <v>1.0</v>
      </c>
      <c r="V1321" s="40"/>
      <c r="W1321" s="43" t="s">
        <v>70</v>
      </c>
      <c r="X1321" s="40"/>
      <c r="Y1321" s="40"/>
      <c r="Z1321" s="40"/>
      <c r="AA1321" s="40"/>
      <c r="AB1321" s="40"/>
      <c r="AC1321" s="40"/>
      <c r="AD1321" s="40"/>
      <c r="AE1321" s="40"/>
      <c r="AF1321" s="40"/>
      <c r="AG1321" s="40"/>
      <c r="AH1321" s="40"/>
      <c r="AI1321" s="40"/>
      <c r="AJ1321" s="40"/>
      <c r="AK1321" s="40"/>
      <c r="AL1321" s="40"/>
      <c r="AM1321" s="40"/>
      <c r="AN1321" s="40"/>
      <c r="AO1321" s="40"/>
      <c r="AP1321" s="42"/>
      <c r="AQ1321" s="42"/>
      <c r="AR1321" s="42"/>
      <c r="AS1321" s="42"/>
      <c r="AT1321" s="42"/>
      <c r="AU1321" s="42"/>
      <c r="AV1321" s="40"/>
      <c r="AW1321" s="40"/>
      <c r="AX1321" s="40"/>
      <c r="AY1321" s="40"/>
      <c r="AZ1321" s="40"/>
      <c r="BA1321" s="40"/>
      <c r="BB1321" s="40"/>
      <c r="BC1321" s="40"/>
      <c r="BD1321" s="40"/>
      <c r="BE1321" s="40"/>
      <c r="BF1321" s="40"/>
      <c r="BG1321" s="40"/>
      <c r="BH1321" s="42"/>
      <c r="BI1321" s="42"/>
      <c r="BJ1321" s="42"/>
      <c r="BK1321" s="42"/>
      <c r="BL1321" s="42"/>
      <c r="BM1321" s="40"/>
      <c r="BN1321" s="44"/>
      <c r="BO1321" s="40"/>
      <c r="BP1321" s="42"/>
      <c r="BQ1321" s="10"/>
    </row>
    <row r="1322">
      <c r="A1322" s="45">
        <v>3.0</v>
      </c>
      <c r="B1322" s="46" t="s">
        <v>2351</v>
      </c>
      <c r="C1322" s="47"/>
      <c r="D1322" s="47"/>
      <c r="E1322" s="47"/>
      <c r="F1322" s="47"/>
      <c r="G1322" s="47"/>
      <c r="H1322" s="47"/>
      <c r="I1322" s="48" t="str">
        <f t="shared" si="16"/>
        <v>64111</v>
      </c>
      <c r="J1322" s="49"/>
      <c r="K1322" s="49"/>
      <c r="L1322" s="48" t="s">
        <v>2352</v>
      </c>
      <c r="M1322" s="50">
        <v>1.0</v>
      </c>
      <c r="N1322" s="51"/>
      <c r="O1322" s="47"/>
      <c r="P1322" s="51"/>
      <c r="Q1322" s="51"/>
      <c r="R1322" s="51"/>
      <c r="S1322" s="51"/>
      <c r="T1322" s="49"/>
      <c r="U1322" s="52">
        <v>1.0</v>
      </c>
      <c r="V1322" s="49"/>
      <c r="W1322" s="52" t="s">
        <v>70</v>
      </c>
      <c r="X1322" s="49"/>
      <c r="Y1322" s="49"/>
      <c r="Z1322" s="49"/>
      <c r="AA1322" s="49"/>
      <c r="AB1322" s="49"/>
      <c r="AC1322" s="49"/>
      <c r="AD1322" s="49"/>
      <c r="AE1322" s="49"/>
      <c r="AF1322" s="49"/>
      <c r="AG1322" s="49"/>
      <c r="AH1322" s="49"/>
      <c r="AI1322" s="49"/>
      <c r="AJ1322" s="49"/>
      <c r="AK1322" s="49"/>
      <c r="AL1322" s="49"/>
      <c r="AM1322" s="49"/>
      <c r="AN1322" s="49"/>
      <c r="AO1322" s="49"/>
      <c r="AP1322" s="51"/>
      <c r="AQ1322" s="51"/>
      <c r="AR1322" s="51"/>
      <c r="AS1322" s="51"/>
      <c r="AT1322" s="51"/>
      <c r="AU1322" s="51"/>
      <c r="AV1322" s="49"/>
      <c r="AW1322" s="49"/>
      <c r="AX1322" s="49"/>
      <c r="AY1322" s="49"/>
      <c r="AZ1322" s="49"/>
      <c r="BA1322" s="49"/>
      <c r="BB1322" s="49"/>
      <c r="BC1322" s="49"/>
      <c r="BD1322" s="49"/>
      <c r="BE1322" s="49"/>
      <c r="BF1322" s="49"/>
      <c r="BG1322" s="49"/>
      <c r="BH1322" s="51"/>
      <c r="BI1322" s="51"/>
      <c r="BJ1322" s="51"/>
      <c r="BK1322" s="51"/>
      <c r="BL1322" s="51"/>
      <c r="BM1322" s="49"/>
      <c r="BN1322" s="53"/>
      <c r="BO1322" s="49"/>
      <c r="BP1322" s="51"/>
      <c r="BQ1322" s="10"/>
    </row>
    <row r="1323">
      <c r="A1323" s="1">
        <v>4.0</v>
      </c>
      <c r="B1323" s="2" t="s">
        <v>2351</v>
      </c>
      <c r="C1323" s="2" t="s">
        <v>76</v>
      </c>
      <c r="D1323" s="93"/>
      <c r="E1323" s="93"/>
      <c r="F1323" s="93"/>
      <c r="G1323" s="93"/>
      <c r="H1323" s="93"/>
      <c r="I1323" s="3" t="str">
        <f t="shared" si="16"/>
        <v>6411101</v>
      </c>
      <c r="J1323" s="3"/>
      <c r="K1323" s="3"/>
      <c r="L1323" s="94" t="s">
        <v>2353</v>
      </c>
      <c r="M1323" s="4">
        <v>1.0</v>
      </c>
      <c r="N1323" s="3"/>
      <c r="O1323" s="93"/>
      <c r="P1323" s="3"/>
      <c r="Q1323" s="3"/>
      <c r="R1323" s="3"/>
      <c r="S1323" s="3"/>
      <c r="T1323" s="3"/>
      <c r="U1323" s="6">
        <v>2.0</v>
      </c>
      <c r="V1323" s="3"/>
      <c r="W1323" s="6" t="s">
        <v>435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97"/>
      <c r="BO1323" s="3"/>
      <c r="BP1323" s="3"/>
      <c r="BQ1323" s="10"/>
    </row>
    <row r="1324">
      <c r="A1324" s="1">
        <v>5.0</v>
      </c>
      <c r="B1324" s="2" t="s">
        <v>2351</v>
      </c>
      <c r="C1324" s="2" t="s">
        <v>76</v>
      </c>
      <c r="D1324" s="2" t="s">
        <v>76</v>
      </c>
      <c r="E1324" s="93"/>
      <c r="F1324" s="93"/>
      <c r="G1324" s="93"/>
      <c r="H1324" s="93"/>
      <c r="I1324" s="3" t="str">
        <f t="shared" si="16"/>
        <v>641110101</v>
      </c>
      <c r="J1324" s="3"/>
      <c r="K1324" s="3"/>
      <c r="L1324" s="94" t="s">
        <v>2354</v>
      </c>
      <c r="M1324" s="4">
        <v>2.0</v>
      </c>
      <c r="N1324" s="3"/>
      <c r="O1324" s="93"/>
      <c r="P1324" s="3"/>
      <c r="Q1324" s="3"/>
      <c r="R1324" s="3"/>
      <c r="S1324" s="3"/>
      <c r="T1324" s="3"/>
      <c r="U1324" s="6">
        <v>1.0</v>
      </c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97"/>
      <c r="BO1324" s="3"/>
      <c r="BP1324" s="3"/>
      <c r="BQ1324" s="10"/>
    </row>
    <row r="1325">
      <c r="A1325" s="1">
        <v>5.0</v>
      </c>
      <c r="B1325" s="2" t="s">
        <v>2351</v>
      </c>
      <c r="C1325" s="2" t="s">
        <v>76</v>
      </c>
      <c r="D1325" s="2" t="s">
        <v>119</v>
      </c>
      <c r="E1325" s="93"/>
      <c r="F1325" s="93"/>
      <c r="G1325" s="93"/>
      <c r="H1325" s="93"/>
      <c r="I1325" s="3" t="str">
        <f t="shared" si="16"/>
        <v>641110102</v>
      </c>
      <c r="J1325" s="3"/>
      <c r="K1325" s="3"/>
      <c r="L1325" s="94" t="s">
        <v>2355</v>
      </c>
      <c r="M1325" s="4">
        <v>2.0</v>
      </c>
      <c r="N1325" s="3"/>
      <c r="O1325" s="93"/>
      <c r="P1325" s="3"/>
      <c r="Q1325" s="3"/>
      <c r="R1325" s="3"/>
      <c r="S1325" s="3"/>
      <c r="T1325" s="3"/>
      <c r="U1325" s="6">
        <v>1.0</v>
      </c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97"/>
      <c r="BO1325" s="3"/>
      <c r="BP1325" s="3"/>
      <c r="BQ1325" s="10"/>
    </row>
    <row r="1326">
      <c r="A1326" s="1">
        <v>5.0</v>
      </c>
      <c r="B1326" s="2" t="s">
        <v>2351</v>
      </c>
      <c r="C1326" s="2" t="s">
        <v>76</v>
      </c>
      <c r="D1326" s="2" t="s">
        <v>124</v>
      </c>
      <c r="E1326" s="93"/>
      <c r="F1326" s="93"/>
      <c r="G1326" s="93"/>
      <c r="H1326" s="93"/>
      <c r="I1326" s="3" t="str">
        <f t="shared" si="16"/>
        <v>641110103</v>
      </c>
      <c r="J1326" s="3"/>
      <c r="K1326" s="3"/>
      <c r="L1326" s="94" t="s">
        <v>2356</v>
      </c>
      <c r="M1326" s="4">
        <v>2.0</v>
      </c>
      <c r="N1326" s="3"/>
      <c r="O1326" s="93"/>
      <c r="P1326" s="3"/>
      <c r="Q1326" s="3"/>
      <c r="R1326" s="3"/>
      <c r="S1326" s="3"/>
      <c r="T1326" s="3"/>
      <c r="U1326" s="6">
        <v>1.0</v>
      </c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97"/>
      <c r="BO1326" s="3"/>
      <c r="BP1326" s="3"/>
      <c r="BQ1326" s="10"/>
    </row>
    <row r="1327">
      <c r="A1327" s="1">
        <v>5.0</v>
      </c>
      <c r="B1327" s="2" t="s">
        <v>2351</v>
      </c>
      <c r="C1327" s="2" t="s">
        <v>76</v>
      </c>
      <c r="D1327" s="2" t="s">
        <v>127</v>
      </c>
      <c r="E1327" s="93"/>
      <c r="F1327" s="93"/>
      <c r="G1327" s="93"/>
      <c r="H1327" s="93"/>
      <c r="I1327" s="3" t="str">
        <f t="shared" si="16"/>
        <v>641110104</v>
      </c>
      <c r="J1327" s="3"/>
      <c r="K1327" s="3"/>
      <c r="L1327" s="94" t="s">
        <v>2357</v>
      </c>
      <c r="M1327" s="4">
        <v>2.0</v>
      </c>
      <c r="N1327" s="3"/>
      <c r="O1327" s="93"/>
      <c r="P1327" s="3"/>
      <c r="Q1327" s="3"/>
      <c r="R1327" s="3"/>
      <c r="S1327" s="3"/>
      <c r="T1327" s="3"/>
      <c r="U1327" s="6">
        <v>1.0</v>
      </c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97"/>
      <c r="BO1327" s="3"/>
      <c r="BP1327" s="3"/>
      <c r="BQ1327" s="10"/>
    </row>
    <row r="1328">
      <c r="A1328" s="1">
        <v>5.0</v>
      </c>
      <c r="B1328" s="2" t="s">
        <v>2351</v>
      </c>
      <c r="C1328" s="2" t="s">
        <v>76</v>
      </c>
      <c r="D1328" s="2" t="s">
        <v>91</v>
      </c>
      <c r="E1328" s="93"/>
      <c r="F1328" s="93"/>
      <c r="G1328" s="93"/>
      <c r="H1328" s="93"/>
      <c r="I1328" s="3" t="str">
        <f t="shared" si="16"/>
        <v>641110105</v>
      </c>
      <c r="J1328" s="3"/>
      <c r="K1328" s="3"/>
      <c r="L1328" s="94" t="s">
        <v>2358</v>
      </c>
      <c r="M1328" s="4">
        <v>2.0</v>
      </c>
      <c r="N1328" s="3"/>
      <c r="O1328" s="93"/>
      <c r="P1328" s="3"/>
      <c r="Q1328" s="3"/>
      <c r="R1328" s="3"/>
      <c r="S1328" s="3"/>
      <c r="T1328" s="3"/>
      <c r="U1328" s="6">
        <v>1.0</v>
      </c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97"/>
      <c r="BO1328" s="3"/>
      <c r="BP1328" s="3"/>
      <c r="BQ1328" s="10"/>
    </row>
    <row r="1329">
      <c r="A1329" s="1">
        <v>5.0</v>
      </c>
      <c r="B1329" s="2" t="s">
        <v>2351</v>
      </c>
      <c r="C1329" s="2" t="s">
        <v>76</v>
      </c>
      <c r="D1329" s="2" t="s">
        <v>133</v>
      </c>
      <c r="E1329" s="93"/>
      <c r="F1329" s="93"/>
      <c r="G1329" s="93"/>
      <c r="H1329" s="93"/>
      <c r="I1329" s="3" t="str">
        <f t="shared" si="16"/>
        <v>641110106</v>
      </c>
      <c r="J1329" s="3"/>
      <c r="K1329" s="3"/>
      <c r="L1329" s="94" t="s">
        <v>2359</v>
      </c>
      <c r="M1329" s="4">
        <v>2.0</v>
      </c>
      <c r="N1329" s="3"/>
      <c r="O1329" s="93"/>
      <c r="P1329" s="3"/>
      <c r="Q1329" s="3"/>
      <c r="R1329" s="3"/>
      <c r="S1329" s="3"/>
      <c r="T1329" s="3"/>
      <c r="U1329" s="6">
        <v>1.0</v>
      </c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97"/>
      <c r="BO1329" s="3"/>
      <c r="BP1329" s="3"/>
      <c r="BQ1329" s="10"/>
    </row>
    <row r="1330">
      <c r="A1330" s="1">
        <v>5.0</v>
      </c>
      <c r="B1330" s="2" t="s">
        <v>2351</v>
      </c>
      <c r="C1330" s="2" t="s">
        <v>76</v>
      </c>
      <c r="D1330" s="2" t="s">
        <v>136</v>
      </c>
      <c r="E1330" s="93"/>
      <c r="F1330" s="93"/>
      <c r="G1330" s="93"/>
      <c r="H1330" s="93"/>
      <c r="I1330" s="3" t="str">
        <f t="shared" si="16"/>
        <v>641110107</v>
      </c>
      <c r="J1330" s="3"/>
      <c r="K1330" s="3"/>
      <c r="L1330" s="94" t="s">
        <v>2360</v>
      </c>
      <c r="M1330" s="4">
        <v>2.0</v>
      </c>
      <c r="N1330" s="3"/>
      <c r="O1330" s="93"/>
      <c r="P1330" s="3"/>
      <c r="Q1330" s="3"/>
      <c r="R1330" s="3"/>
      <c r="S1330" s="3"/>
      <c r="T1330" s="3"/>
      <c r="U1330" s="6">
        <v>1.0</v>
      </c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97"/>
      <c r="BO1330" s="3"/>
      <c r="BP1330" s="3"/>
      <c r="BQ1330" s="10"/>
    </row>
    <row r="1331">
      <c r="A1331" s="1">
        <v>4.0</v>
      </c>
      <c r="B1331" s="2" t="s">
        <v>2351</v>
      </c>
      <c r="C1331" s="2" t="s">
        <v>119</v>
      </c>
      <c r="D1331" s="93"/>
      <c r="E1331" s="93"/>
      <c r="F1331" s="93"/>
      <c r="G1331" s="93"/>
      <c r="H1331" s="93"/>
      <c r="I1331" s="3" t="str">
        <f t="shared" si="16"/>
        <v>6411102</v>
      </c>
      <c r="J1331" s="3"/>
      <c r="K1331" s="3"/>
      <c r="L1331" s="94" t="s">
        <v>2361</v>
      </c>
      <c r="M1331" s="4">
        <v>1.0</v>
      </c>
      <c r="N1331" s="3"/>
      <c r="O1331" s="93"/>
      <c r="P1331" s="3"/>
      <c r="Q1331" s="3"/>
      <c r="R1331" s="3"/>
      <c r="S1331" s="3"/>
      <c r="T1331" s="3"/>
      <c r="U1331" s="6">
        <v>2.0</v>
      </c>
      <c r="V1331" s="3"/>
      <c r="W1331" s="6" t="s">
        <v>435</v>
      </c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97"/>
      <c r="BO1331" s="3"/>
      <c r="BP1331" s="3"/>
      <c r="BQ1331" s="10"/>
    </row>
    <row r="1332">
      <c r="A1332" s="1">
        <v>5.0</v>
      </c>
      <c r="B1332" s="2" t="s">
        <v>2351</v>
      </c>
      <c r="C1332" s="2" t="s">
        <v>119</v>
      </c>
      <c r="D1332" s="2" t="s">
        <v>76</v>
      </c>
      <c r="E1332" s="93"/>
      <c r="F1332" s="93"/>
      <c r="G1332" s="93"/>
      <c r="H1332" s="93"/>
      <c r="I1332" s="3" t="str">
        <f t="shared" si="16"/>
        <v>641110201</v>
      </c>
      <c r="J1332" s="3"/>
      <c r="K1332" s="3"/>
      <c r="L1332" s="94" t="s">
        <v>2354</v>
      </c>
      <c r="M1332" s="4">
        <v>2.0</v>
      </c>
      <c r="N1332" s="3"/>
      <c r="O1332" s="93"/>
      <c r="P1332" s="3"/>
      <c r="Q1332" s="3"/>
      <c r="R1332" s="3"/>
      <c r="S1332" s="3"/>
      <c r="T1332" s="3"/>
      <c r="U1332" s="6">
        <v>1.0</v>
      </c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97"/>
      <c r="BO1332" s="3"/>
      <c r="BP1332" s="3"/>
      <c r="BQ1332" s="10"/>
    </row>
    <row r="1333">
      <c r="A1333" s="1">
        <v>5.0</v>
      </c>
      <c r="B1333" s="2" t="s">
        <v>2351</v>
      </c>
      <c r="C1333" s="2" t="s">
        <v>119</v>
      </c>
      <c r="D1333" s="2" t="s">
        <v>119</v>
      </c>
      <c r="E1333" s="93"/>
      <c r="F1333" s="93"/>
      <c r="G1333" s="93"/>
      <c r="H1333" s="93"/>
      <c r="I1333" s="3" t="str">
        <f t="shared" si="16"/>
        <v>641110202</v>
      </c>
      <c r="J1333" s="3"/>
      <c r="K1333" s="3"/>
      <c r="L1333" s="94" t="s">
        <v>2357</v>
      </c>
      <c r="M1333" s="4">
        <v>2.0</v>
      </c>
      <c r="N1333" s="3"/>
      <c r="O1333" s="93"/>
      <c r="P1333" s="3"/>
      <c r="Q1333" s="3"/>
      <c r="R1333" s="3"/>
      <c r="S1333" s="3"/>
      <c r="T1333" s="3"/>
      <c r="U1333" s="6">
        <v>1.0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97"/>
      <c r="BO1333" s="3"/>
      <c r="BP1333" s="3"/>
      <c r="BQ1333" s="10"/>
    </row>
    <row r="1334">
      <c r="A1334" s="1">
        <v>5.0</v>
      </c>
      <c r="B1334" s="2" t="s">
        <v>2351</v>
      </c>
      <c r="C1334" s="2" t="s">
        <v>119</v>
      </c>
      <c r="D1334" s="2" t="s">
        <v>124</v>
      </c>
      <c r="E1334" s="93"/>
      <c r="F1334" s="93"/>
      <c r="G1334" s="93"/>
      <c r="H1334" s="93"/>
      <c r="I1334" s="3" t="str">
        <f t="shared" si="16"/>
        <v>641110203</v>
      </c>
      <c r="J1334" s="3"/>
      <c r="K1334" s="3"/>
      <c r="L1334" s="94" t="s">
        <v>2362</v>
      </c>
      <c r="M1334" s="4">
        <v>2.0</v>
      </c>
      <c r="N1334" s="3"/>
      <c r="O1334" s="93"/>
      <c r="P1334" s="3"/>
      <c r="Q1334" s="3"/>
      <c r="R1334" s="3"/>
      <c r="S1334" s="3"/>
      <c r="T1334" s="3"/>
      <c r="U1334" s="6">
        <v>1.0</v>
      </c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97"/>
      <c r="BO1334" s="3"/>
      <c r="BP1334" s="3"/>
      <c r="BQ1334" s="10"/>
    </row>
    <row r="1335">
      <c r="A1335" s="1">
        <v>5.0</v>
      </c>
      <c r="B1335" s="2" t="s">
        <v>2351</v>
      </c>
      <c r="C1335" s="2" t="s">
        <v>119</v>
      </c>
      <c r="D1335" s="2" t="s">
        <v>127</v>
      </c>
      <c r="E1335" s="93"/>
      <c r="F1335" s="93"/>
      <c r="G1335" s="93"/>
      <c r="H1335" s="93"/>
      <c r="I1335" s="3" t="str">
        <f t="shared" si="16"/>
        <v>641110204</v>
      </c>
      <c r="J1335" s="3"/>
      <c r="K1335" s="3"/>
      <c r="L1335" s="94" t="s">
        <v>2363</v>
      </c>
      <c r="M1335" s="4">
        <v>2.0</v>
      </c>
      <c r="N1335" s="3"/>
      <c r="O1335" s="93"/>
      <c r="P1335" s="3"/>
      <c r="Q1335" s="3"/>
      <c r="R1335" s="3"/>
      <c r="S1335" s="3"/>
      <c r="T1335" s="3"/>
      <c r="U1335" s="6">
        <v>1.0</v>
      </c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97"/>
      <c r="BO1335" s="3"/>
      <c r="BP1335" s="3"/>
      <c r="BQ1335" s="10"/>
    </row>
    <row r="1336">
      <c r="A1336" s="1">
        <v>4.0</v>
      </c>
      <c r="B1336" s="2" t="s">
        <v>2351</v>
      </c>
      <c r="C1336" s="2" t="s">
        <v>124</v>
      </c>
      <c r="D1336" s="93"/>
      <c r="E1336" s="93"/>
      <c r="F1336" s="93"/>
      <c r="G1336" s="93"/>
      <c r="H1336" s="93"/>
      <c r="I1336" s="3" t="str">
        <f t="shared" si="16"/>
        <v>6411103</v>
      </c>
      <c r="J1336" s="3"/>
      <c r="K1336" s="3"/>
      <c r="L1336" s="94" t="s">
        <v>2364</v>
      </c>
      <c r="M1336" s="4">
        <v>1.0</v>
      </c>
      <c r="N1336" s="3"/>
      <c r="O1336" s="93"/>
      <c r="P1336" s="3"/>
      <c r="Q1336" s="3"/>
      <c r="R1336" s="3"/>
      <c r="S1336" s="3"/>
      <c r="T1336" s="3"/>
      <c r="U1336" s="6">
        <v>4.0</v>
      </c>
      <c r="V1336" s="3"/>
      <c r="W1336" s="6" t="s">
        <v>435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97"/>
      <c r="BO1336" s="3"/>
      <c r="BP1336" s="3"/>
      <c r="BQ1336" s="10"/>
    </row>
    <row r="1337">
      <c r="A1337" s="1">
        <v>5.0</v>
      </c>
      <c r="B1337" s="2" t="s">
        <v>2351</v>
      </c>
      <c r="C1337" s="2" t="s">
        <v>124</v>
      </c>
      <c r="D1337" s="2" t="s">
        <v>76</v>
      </c>
      <c r="E1337" s="93"/>
      <c r="F1337" s="93"/>
      <c r="G1337" s="93"/>
      <c r="H1337" s="93"/>
      <c r="I1337" s="3" t="str">
        <f t="shared" si="16"/>
        <v>641110301</v>
      </c>
      <c r="J1337" s="3"/>
      <c r="K1337" s="3"/>
      <c r="L1337" s="94" t="s">
        <v>2365</v>
      </c>
      <c r="M1337" s="4">
        <v>2.0</v>
      </c>
      <c r="N1337" s="3"/>
      <c r="O1337" s="93"/>
      <c r="P1337" s="3"/>
      <c r="Q1337" s="3"/>
      <c r="R1337" s="3"/>
      <c r="S1337" s="3"/>
      <c r="T1337" s="3"/>
      <c r="U1337" s="6">
        <v>1.0</v>
      </c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97"/>
      <c r="BO1337" s="3"/>
      <c r="BP1337" s="3"/>
      <c r="BQ1337" s="10"/>
    </row>
    <row r="1338">
      <c r="A1338" s="1">
        <v>5.0</v>
      </c>
      <c r="B1338" s="2" t="s">
        <v>2351</v>
      </c>
      <c r="C1338" s="2" t="s">
        <v>124</v>
      </c>
      <c r="D1338" s="2" t="s">
        <v>119</v>
      </c>
      <c r="E1338" s="93"/>
      <c r="F1338" s="93"/>
      <c r="G1338" s="93"/>
      <c r="H1338" s="93"/>
      <c r="I1338" s="3" t="str">
        <f t="shared" si="16"/>
        <v>641110302</v>
      </c>
      <c r="J1338" s="3"/>
      <c r="K1338" s="3"/>
      <c r="L1338" s="94" t="s">
        <v>2362</v>
      </c>
      <c r="M1338" s="4">
        <v>2.0</v>
      </c>
      <c r="N1338" s="3"/>
      <c r="O1338" s="93"/>
      <c r="P1338" s="3"/>
      <c r="Q1338" s="3"/>
      <c r="R1338" s="3"/>
      <c r="S1338" s="3"/>
      <c r="T1338" s="3"/>
      <c r="U1338" s="6">
        <v>1.0</v>
      </c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97"/>
      <c r="BO1338" s="3"/>
      <c r="BP1338" s="3"/>
      <c r="BQ1338" s="10"/>
    </row>
    <row r="1339">
      <c r="A1339" s="1">
        <v>5.0</v>
      </c>
      <c r="B1339" s="2" t="s">
        <v>2351</v>
      </c>
      <c r="C1339" s="2" t="s">
        <v>124</v>
      </c>
      <c r="D1339" s="2" t="s">
        <v>124</v>
      </c>
      <c r="E1339" s="93"/>
      <c r="F1339" s="93"/>
      <c r="G1339" s="93"/>
      <c r="H1339" s="93"/>
      <c r="I1339" s="3" t="str">
        <f t="shared" si="16"/>
        <v>641110303</v>
      </c>
      <c r="J1339" s="3"/>
      <c r="K1339" s="3"/>
      <c r="L1339" s="94" t="s">
        <v>2357</v>
      </c>
      <c r="M1339" s="4">
        <v>2.0</v>
      </c>
      <c r="N1339" s="3"/>
      <c r="O1339" s="93"/>
      <c r="P1339" s="3"/>
      <c r="Q1339" s="3"/>
      <c r="R1339" s="3"/>
      <c r="S1339" s="3"/>
      <c r="T1339" s="3"/>
      <c r="U1339" s="6">
        <v>1.0</v>
      </c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97"/>
      <c r="BO1339" s="3"/>
      <c r="BP1339" s="3"/>
      <c r="BQ1339" s="10"/>
    </row>
    <row r="1340">
      <c r="A1340" s="36">
        <v>2.0</v>
      </c>
      <c r="B1340" s="37" t="s">
        <v>2366</v>
      </c>
      <c r="C1340" s="38"/>
      <c r="D1340" s="38"/>
      <c r="E1340" s="38"/>
      <c r="F1340" s="38"/>
      <c r="G1340" s="38"/>
      <c r="H1340" s="38"/>
      <c r="I1340" s="39" t="str">
        <f t="shared" si="16"/>
        <v>64120</v>
      </c>
      <c r="J1340" s="40"/>
      <c r="K1340" s="40"/>
      <c r="L1340" s="39" t="s">
        <v>2350</v>
      </c>
      <c r="M1340" s="41">
        <v>1.0</v>
      </c>
      <c r="N1340" s="42"/>
      <c r="O1340" s="38"/>
      <c r="P1340" s="42"/>
      <c r="Q1340" s="42"/>
      <c r="R1340" s="42"/>
      <c r="S1340" s="42"/>
      <c r="T1340" s="40"/>
      <c r="U1340" s="43">
        <v>1.0</v>
      </c>
      <c r="V1340" s="40"/>
      <c r="W1340" s="43" t="s">
        <v>70</v>
      </c>
      <c r="X1340" s="40"/>
      <c r="Y1340" s="40"/>
      <c r="Z1340" s="40"/>
      <c r="AA1340" s="40"/>
      <c r="AB1340" s="40"/>
      <c r="AC1340" s="40"/>
      <c r="AD1340" s="40"/>
      <c r="AE1340" s="40"/>
      <c r="AF1340" s="40"/>
      <c r="AG1340" s="40"/>
      <c r="AH1340" s="40"/>
      <c r="AI1340" s="40"/>
      <c r="AJ1340" s="40"/>
      <c r="AK1340" s="40"/>
      <c r="AL1340" s="40"/>
      <c r="AM1340" s="40"/>
      <c r="AN1340" s="40"/>
      <c r="AO1340" s="40"/>
      <c r="AP1340" s="42"/>
      <c r="AQ1340" s="42"/>
      <c r="AR1340" s="42"/>
      <c r="AS1340" s="42"/>
      <c r="AT1340" s="42"/>
      <c r="AU1340" s="42"/>
      <c r="AV1340" s="40"/>
      <c r="AW1340" s="40"/>
      <c r="AX1340" s="40"/>
      <c r="AY1340" s="40"/>
      <c r="AZ1340" s="40"/>
      <c r="BA1340" s="40"/>
      <c r="BB1340" s="40"/>
      <c r="BC1340" s="40"/>
      <c r="BD1340" s="40"/>
      <c r="BE1340" s="40"/>
      <c r="BF1340" s="40"/>
      <c r="BG1340" s="40"/>
      <c r="BH1340" s="42"/>
      <c r="BI1340" s="42"/>
      <c r="BJ1340" s="42"/>
      <c r="BK1340" s="42"/>
      <c r="BL1340" s="42"/>
      <c r="BM1340" s="40"/>
      <c r="BN1340" s="44"/>
      <c r="BO1340" s="40"/>
      <c r="BP1340" s="42"/>
      <c r="BQ1340" s="10"/>
    </row>
    <row r="1341">
      <c r="A1341" s="45">
        <v>3.0</v>
      </c>
      <c r="B1341" s="46" t="s">
        <v>2367</v>
      </c>
      <c r="C1341" s="47"/>
      <c r="D1341" s="47"/>
      <c r="E1341" s="47"/>
      <c r="F1341" s="47"/>
      <c r="G1341" s="47"/>
      <c r="H1341" s="47"/>
      <c r="I1341" s="48" t="str">
        <f t="shared" si="16"/>
        <v>64121</v>
      </c>
      <c r="J1341" s="49"/>
      <c r="K1341" s="49"/>
      <c r="L1341" s="48" t="s">
        <v>2352</v>
      </c>
      <c r="M1341" s="50">
        <v>1.0</v>
      </c>
      <c r="N1341" s="51"/>
      <c r="O1341" s="47"/>
      <c r="P1341" s="51"/>
      <c r="Q1341" s="51"/>
      <c r="R1341" s="51"/>
      <c r="S1341" s="51"/>
      <c r="T1341" s="49"/>
      <c r="U1341" s="52">
        <v>1.0</v>
      </c>
      <c r="V1341" s="49"/>
      <c r="W1341" s="52" t="s">
        <v>70</v>
      </c>
      <c r="X1341" s="49"/>
      <c r="Y1341" s="49"/>
      <c r="Z1341" s="49"/>
      <c r="AA1341" s="49"/>
      <c r="AB1341" s="49"/>
      <c r="AC1341" s="49"/>
      <c r="AD1341" s="49"/>
      <c r="AE1341" s="49"/>
      <c r="AF1341" s="49"/>
      <c r="AG1341" s="49"/>
      <c r="AH1341" s="49"/>
      <c r="AI1341" s="49"/>
      <c r="AJ1341" s="49"/>
      <c r="AK1341" s="49"/>
      <c r="AL1341" s="49"/>
      <c r="AM1341" s="49"/>
      <c r="AN1341" s="49"/>
      <c r="AO1341" s="49"/>
      <c r="AP1341" s="51"/>
      <c r="AQ1341" s="51"/>
      <c r="AR1341" s="51"/>
      <c r="AS1341" s="51"/>
      <c r="AT1341" s="51"/>
      <c r="AU1341" s="51"/>
      <c r="AV1341" s="49"/>
      <c r="AW1341" s="49"/>
      <c r="AX1341" s="49"/>
      <c r="AY1341" s="49"/>
      <c r="AZ1341" s="49"/>
      <c r="BA1341" s="49"/>
      <c r="BB1341" s="49"/>
      <c r="BC1341" s="49"/>
      <c r="BD1341" s="49"/>
      <c r="BE1341" s="49"/>
      <c r="BF1341" s="49"/>
      <c r="BG1341" s="49"/>
      <c r="BH1341" s="51"/>
      <c r="BI1341" s="51"/>
      <c r="BJ1341" s="51"/>
      <c r="BK1341" s="51"/>
      <c r="BL1341" s="51"/>
      <c r="BM1341" s="49"/>
      <c r="BN1341" s="53"/>
      <c r="BO1341" s="49"/>
      <c r="BP1341" s="51"/>
      <c r="BQ1341" s="10"/>
    </row>
    <row r="1342">
      <c r="A1342" s="1">
        <v>4.0</v>
      </c>
      <c r="B1342" s="2" t="s">
        <v>2367</v>
      </c>
      <c r="C1342" s="2" t="s">
        <v>76</v>
      </c>
      <c r="D1342" s="93"/>
      <c r="E1342" s="93"/>
      <c r="F1342" s="93"/>
      <c r="G1342" s="93"/>
      <c r="H1342" s="93"/>
      <c r="I1342" s="3" t="str">
        <f t="shared" si="16"/>
        <v>6412101</v>
      </c>
      <c r="J1342" s="3"/>
      <c r="K1342" s="3"/>
      <c r="L1342" s="94" t="s">
        <v>2368</v>
      </c>
      <c r="M1342" s="4">
        <v>2.0</v>
      </c>
      <c r="N1342" s="3"/>
      <c r="O1342" s="93"/>
      <c r="P1342" s="3"/>
      <c r="Q1342" s="3"/>
      <c r="R1342" s="3"/>
      <c r="S1342" s="3"/>
      <c r="T1342" s="3"/>
      <c r="U1342" s="6">
        <v>1.0</v>
      </c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97"/>
      <c r="BO1342" s="3"/>
      <c r="BP1342" s="3"/>
      <c r="BQ1342" s="10"/>
    </row>
    <row r="1343">
      <c r="A1343" s="1">
        <v>5.0</v>
      </c>
      <c r="B1343" s="2" t="s">
        <v>2367</v>
      </c>
      <c r="C1343" s="2" t="s">
        <v>76</v>
      </c>
      <c r="D1343" s="2" t="s">
        <v>76</v>
      </c>
      <c r="E1343" s="93"/>
      <c r="F1343" s="93"/>
      <c r="G1343" s="93"/>
      <c r="H1343" s="93"/>
      <c r="I1343" s="3" t="str">
        <f t="shared" si="16"/>
        <v>641210101</v>
      </c>
      <c r="J1343" s="3"/>
      <c r="K1343" s="3"/>
      <c r="L1343" s="94" t="s">
        <v>2358</v>
      </c>
      <c r="M1343" s="4">
        <v>2.0</v>
      </c>
      <c r="N1343" s="3"/>
      <c r="O1343" s="93"/>
      <c r="P1343" s="3"/>
      <c r="Q1343" s="3"/>
      <c r="R1343" s="3"/>
      <c r="S1343" s="3"/>
      <c r="T1343" s="3"/>
      <c r="U1343" s="6">
        <v>1.0</v>
      </c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97"/>
      <c r="BO1343" s="3"/>
      <c r="BP1343" s="3"/>
      <c r="BQ1343" s="10"/>
    </row>
    <row r="1344">
      <c r="A1344" s="1">
        <v>5.0</v>
      </c>
      <c r="B1344" s="2" t="s">
        <v>2367</v>
      </c>
      <c r="C1344" s="2" t="s">
        <v>76</v>
      </c>
      <c r="D1344" s="2" t="s">
        <v>119</v>
      </c>
      <c r="E1344" s="93"/>
      <c r="F1344" s="93"/>
      <c r="G1344" s="93"/>
      <c r="H1344" s="93"/>
      <c r="I1344" s="3" t="str">
        <f t="shared" si="16"/>
        <v>641210102</v>
      </c>
      <c r="J1344" s="3"/>
      <c r="K1344" s="3"/>
      <c r="L1344" s="94" t="s">
        <v>2369</v>
      </c>
      <c r="M1344" s="4">
        <v>2.0</v>
      </c>
      <c r="N1344" s="3"/>
      <c r="O1344" s="93"/>
      <c r="P1344" s="3"/>
      <c r="Q1344" s="3"/>
      <c r="R1344" s="3"/>
      <c r="S1344" s="3"/>
      <c r="T1344" s="3"/>
      <c r="U1344" s="6">
        <v>1.0</v>
      </c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97"/>
      <c r="BO1344" s="3"/>
      <c r="BP1344" s="3"/>
      <c r="BQ1344" s="10"/>
    </row>
    <row r="1345">
      <c r="A1345" s="1">
        <v>5.0</v>
      </c>
      <c r="B1345" s="2" t="s">
        <v>2367</v>
      </c>
      <c r="C1345" s="2" t="s">
        <v>76</v>
      </c>
      <c r="D1345" s="2" t="s">
        <v>124</v>
      </c>
      <c r="E1345" s="93"/>
      <c r="F1345" s="93"/>
      <c r="G1345" s="93"/>
      <c r="H1345" s="93"/>
      <c r="I1345" s="3" t="str">
        <f t="shared" si="16"/>
        <v>641210103</v>
      </c>
      <c r="J1345" s="3"/>
      <c r="K1345" s="3"/>
      <c r="L1345" s="94" t="s">
        <v>2370</v>
      </c>
      <c r="M1345" s="4">
        <v>2.0</v>
      </c>
      <c r="N1345" s="3"/>
      <c r="O1345" s="93"/>
      <c r="P1345" s="3"/>
      <c r="Q1345" s="3"/>
      <c r="R1345" s="3"/>
      <c r="S1345" s="3"/>
      <c r="T1345" s="3"/>
      <c r="U1345" s="6">
        <v>1.0</v>
      </c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97"/>
      <c r="BO1345" s="3"/>
      <c r="BP1345" s="3"/>
      <c r="BQ1345" s="10"/>
    </row>
    <row r="1346">
      <c r="A1346" s="28">
        <v>1.0</v>
      </c>
      <c r="B1346" s="29">
        <v>64200.0</v>
      </c>
      <c r="C1346" s="30"/>
      <c r="D1346" s="30"/>
      <c r="E1346" s="30"/>
      <c r="F1346" s="30"/>
      <c r="G1346" s="30"/>
      <c r="H1346" s="30"/>
      <c r="I1346" s="31" t="str">
        <f t="shared" si="16"/>
        <v>64200</v>
      </c>
      <c r="J1346" s="74"/>
      <c r="K1346" s="74"/>
      <c r="L1346" s="31" t="s">
        <v>2371</v>
      </c>
      <c r="M1346" s="75">
        <v>1.0</v>
      </c>
      <c r="N1346" s="32"/>
      <c r="O1346" s="30"/>
      <c r="P1346" s="32"/>
      <c r="Q1346" s="32"/>
      <c r="R1346" s="32"/>
      <c r="S1346" s="32"/>
      <c r="T1346" s="74"/>
      <c r="U1346" s="34">
        <v>1.0</v>
      </c>
      <c r="V1346" s="74"/>
      <c r="W1346" s="34" t="s">
        <v>70</v>
      </c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  <c r="AH1346" s="74"/>
      <c r="AI1346" s="74"/>
      <c r="AJ1346" s="74"/>
      <c r="AK1346" s="74"/>
      <c r="AL1346" s="74"/>
      <c r="AM1346" s="74"/>
      <c r="AN1346" s="74"/>
      <c r="AO1346" s="74"/>
      <c r="AP1346" s="32"/>
      <c r="AQ1346" s="32"/>
      <c r="AR1346" s="32"/>
      <c r="AS1346" s="32"/>
      <c r="AT1346" s="32"/>
      <c r="AU1346" s="32"/>
      <c r="AV1346" s="74"/>
      <c r="AW1346" s="74"/>
      <c r="AX1346" s="74"/>
      <c r="AY1346" s="74"/>
      <c r="AZ1346" s="74"/>
      <c r="BA1346" s="74"/>
      <c r="BB1346" s="74"/>
      <c r="BC1346" s="74"/>
      <c r="BD1346" s="74"/>
      <c r="BE1346" s="74"/>
      <c r="BF1346" s="74"/>
      <c r="BG1346" s="74"/>
      <c r="BH1346" s="32"/>
      <c r="BI1346" s="32"/>
      <c r="BJ1346" s="32"/>
      <c r="BK1346" s="32"/>
      <c r="BL1346" s="32"/>
      <c r="BM1346" s="74"/>
      <c r="BN1346" s="76"/>
      <c r="BO1346" s="74"/>
      <c r="BP1346" s="32"/>
      <c r="BQ1346" s="10"/>
    </row>
    <row r="1347">
      <c r="A1347" s="36">
        <v>2.0</v>
      </c>
      <c r="B1347" s="37">
        <v>64210.0</v>
      </c>
      <c r="C1347" s="38"/>
      <c r="D1347" s="38"/>
      <c r="E1347" s="38"/>
      <c r="F1347" s="38"/>
      <c r="G1347" s="38"/>
      <c r="H1347" s="38"/>
      <c r="I1347" s="39" t="str">
        <f t="shared" si="16"/>
        <v>64210</v>
      </c>
      <c r="J1347" s="40"/>
      <c r="K1347" s="40"/>
      <c r="L1347" s="39" t="s">
        <v>2372</v>
      </c>
      <c r="M1347" s="41">
        <v>1.0</v>
      </c>
      <c r="N1347" s="42"/>
      <c r="O1347" s="38"/>
      <c r="P1347" s="42"/>
      <c r="Q1347" s="42"/>
      <c r="R1347" s="42"/>
      <c r="S1347" s="42"/>
      <c r="T1347" s="40"/>
      <c r="U1347" s="43">
        <v>1.0</v>
      </c>
      <c r="V1347" s="40"/>
      <c r="W1347" s="43" t="s">
        <v>70</v>
      </c>
      <c r="X1347" s="40"/>
      <c r="Y1347" s="40"/>
      <c r="Z1347" s="40"/>
      <c r="AA1347" s="40"/>
      <c r="AB1347" s="40"/>
      <c r="AC1347" s="40"/>
      <c r="AD1347" s="40"/>
      <c r="AE1347" s="40"/>
      <c r="AF1347" s="40"/>
      <c r="AG1347" s="40"/>
      <c r="AH1347" s="40"/>
      <c r="AI1347" s="40"/>
      <c r="AJ1347" s="40"/>
      <c r="AK1347" s="40"/>
      <c r="AL1347" s="40"/>
      <c r="AM1347" s="40"/>
      <c r="AN1347" s="40"/>
      <c r="AO1347" s="40"/>
      <c r="AP1347" s="42"/>
      <c r="AQ1347" s="42"/>
      <c r="AR1347" s="42"/>
      <c r="AS1347" s="42"/>
      <c r="AT1347" s="42"/>
      <c r="AU1347" s="42"/>
      <c r="AV1347" s="40"/>
      <c r="AW1347" s="40"/>
      <c r="AX1347" s="40"/>
      <c r="AY1347" s="40"/>
      <c r="AZ1347" s="40"/>
      <c r="BA1347" s="40"/>
      <c r="BB1347" s="40"/>
      <c r="BC1347" s="40"/>
      <c r="BD1347" s="40"/>
      <c r="BE1347" s="40"/>
      <c r="BF1347" s="40"/>
      <c r="BG1347" s="40"/>
      <c r="BH1347" s="42"/>
      <c r="BI1347" s="42"/>
      <c r="BJ1347" s="42"/>
      <c r="BK1347" s="42"/>
      <c r="BL1347" s="42"/>
      <c r="BM1347" s="40"/>
      <c r="BN1347" s="44"/>
      <c r="BO1347" s="40"/>
      <c r="BP1347" s="42"/>
      <c r="BQ1347" s="10"/>
    </row>
    <row r="1348">
      <c r="A1348" s="45">
        <v>3.0</v>
      </c>
      <c r="B1348" s="46">
        <v>64211.0</v>
      </c>
      <c r="C1348" s="47"/>
      <c r="D1348" s="47"/>
      <c r="E1348" s="47"/>
      <c r="F1348" s="47"/>
      <c r="G1348" s="47"/>
      <c r="H1348" s="47"/>
      <c r="I1348" s="48" t="str">
        <f t="shared" si="16"/>
        <v>64211</v>
      </c>
      <c r="J1348" s="49"/>
      <c r="K1348" s="49"/>
      <c r="L1348" s="48" t="s">
        <v>2372</v>
      </c>
      <c r="M1348" s="50">
        <v>1.0</v>
      </c>
      <c r="N1348" s="51"/>
      <c r="O1348" s="47"/>
      <c r="P1348" s="51"/>
      <c r="Q1348" s="51"/>
      <c r="R1348" s="51"/>
      <c r="S1348" s="51"/>
      <c r="T1348" s="49"/>
      <c r="U1348" s="52">
        <v>1.0</v>
      </c>
      <c r="V1348" s="49"/>
      <c r="W1348" s="52" t="s">
        <v>70</v>
      </c>
      <c r="X1348" s="49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  <c r="AI1348" s="49"/>
      <c r="AJ1348" s="49"/>
      <c r="AK1348" s="49"/>
      <c r="AL1348" s="49"/>
      <c r="AM1348" s="49"/>
      <c r="AN1348" s="49"/>
      <c r="AO1348" s="49"/>
      <c r="AP1348" s="51"/>
      <c r="AQ1348" s="51"/>
      <c r="AR1348" s="51"/>
      <c r="AS1348" s="51"/>
      <c r="AT1348" s="51"/>
      <c r="AU1348" s="51"/>
      <c r="AV1348" s="49"/>
      <c r="AW1348" s="49"/>
      <c r="AX1348" s="49"/>
      <c r="AY1348" s="49"/>
      <c r="AZ1348" s="49"/>
      <c r="BA1348" s="49"/>
      <c r="BB1348" s="49"/>
      <c r="BC1348" s="49"/>
      <c r="BD1348" s="49"/>
      <c r="BE1348" s="49"/>
      <c r="BF1348" s="49"/>
      <c r="BG1348" s="49"/>
      <c r="BH1348" s="51"/>
      <c r="BI1348" s="51"/>
      <c r="BJ1348" s="51"/>
      <c r="BK1348" s="51"/>
      <c r="BL1348" s="51"/>
      <c r="BM1348" s="49"/>
      <c r="BN1348" s="53"/>
      <c r="BO1348" s="49"/>
      <c r="BP1348" s="51"/>
      <c r="BQ1348" s="10"/>
    </row>
    <row r="1349">
      <c r="A1349" s="1">
        <v>4.0</v>
      </c>
      <c r="B1349" s="2">
        <v>64211.0</v>
      </c>
      <c r="C1349" s="2" t="s">
        <v>76</v>
      </c>
      <c r="D1349" s="93"/>
      <c r="E1349" s="93"/>
      <c r="F1349" s="93"/>
      <c r="G1349" s="93"/>
      <c r="H1349" s="93"/>
      <c r="I1349" s="3" t="str">
        <f t="shared" si="16"/>
        <v>6421101</v>
      </c>
      <c r="J1349" s="3"/>
      <c r="K1349" s="3"/>
      <c r="L1349" s="94" t="s">
        <v>2373</v>
      </c>
      <c r="M1349" s="4">
        <v>1.0</v>
      </c>
      <c r="N1349" s="3"/>
      <c r="O1349" s="93"/>
      <c r="P1349" s="3"/>
      <c r="Q1349" s="3"/>
      <c r="R1349" s="3"/>
      <c r="S1349" s="3"/>
      <c r="T1349" s="3"/>
      <c r="U1349" s="6">
        <v>3.0</v>
      </c>
      <c r="V1349" s="3"/>
      <c r="W1349" s="6" t="s">
        <v>435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97"/>
      <c r="BO1349" s="3"/>
      <c r="BP1349" s="3"/>
      <c r="BQ1349" s="10"/>
    </row>
    <row r="1350">
      <c r="A1350" s="1">
        <v>5.0</v>
      </c>
      <c r="B1350" s="2">
        <v>64211.0</v>
      </c>
      <c r="C1350" s="2" t="s">
        <v>76</v>
      </c>
      <c r="D1350" s="2" t="s">
        <v>76</v>
      </c>
      <c r="E1350" s="93"/>
      <c r="F1350" s="93"/>
      <c r="G1350" s="93"/>
      <c r="H1350" s="93"/>
      <c r="I1350" s="3" t="str">
        <f t="shared" si="16"/>
        <v>642110101</v>
      </c>
      <c r="J1350" s="3"/>
      <c r="K1350" s="3"/>
      <c r="L1350" s="94" t="s">
        <v>2365</v>
      </c>
      <c r="M1350" s="4">
        <v>2.0</v>
      </c>
      <c r="N1350" s="3"/>
      <c r="O1350" s="93"/>
      <c r="P1350" s="3"/>
      <c r="Q1350" s="3"/>
      <c r="R1350" s="3"/>
      <c r="S1350" s="3"/>
      <c r="T1350" s="3"/>
      <c r="U1350" s="6">
        <v>1.0</v>
      </c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97"/>
      <c r="BO1350" s="3"/>
      <c r="BP1350" s="3"/>
      <c r="BQ1350" s="10"/>
    </row>
    <row r="1351">
      <c r="A1351" s="1">
        <v>5.0</v>
      </c>
      <c r="B1351" s="2">
        <v>64211.0</v>
      </c>
      <c r="C1351" s="2" t="s">
        <v>76</v>
      </c>
      <c r="D1351" s="2" t="s">
        <v>119</v>
      </c>
      <c r="E1351" s="93"/>
      <c r="F1351" s="93"/>
      <c r="G1351" s="93"/>
      <c r="H1351" s="93"/>
      <c r="I1351" s="3" t="str">
        <f t="shared" si="16"/>
        <v>642110102</v>
      </c>
      <c r="J1351" s="3"/>
      <c r="K1351" s="3"/>
      <c r="L1351" s="94" t="s">
        <v>2362</v>
      </c>
      <c r="M1351" s="4">
        <v>2.0</v>
      </c>
      <c r="N1351" s="3"/>
      <c r="O1351" s="93"/>
      <c r="P1351" s="3"/>
      <c r="Q1351" s="3"/>
      <c r="R1351" s="3"/>
      <c r="S1351" s="3"/>
      <c r="T1351" s="3"/>
      <c r="U1351" s="6">
        <v>1.0</v>
      </c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97"/>
      <c r="BO1351" s="3"/>
      <c r="BP1351" s="3"/>
      <c r="BQ1351" s="10"/>
    </row>
    <row r="1352">
      <c r="A1352" s="1">
        <v>5.0</v>
      </c>
      <c r="B1352" s="2">
        <v>64211.0</v>
      </c>
      <c r="C1352" s="2" t="s">
        <v>76</v>
      </c>
      <c r="D1352" s="2" t="s">
        <v>124</v>
      </c>
      <c r="E1352" s="93"/>
      <c r="F1352" s="93"/>
      <c r="G1352" s="93"/>
      <c r="H1352" s="93"/>
      <c r="I1352" s="3" t="str">
        <f t="shared" si="16"/>
        <v>642110103</v>
      </c>
      <c r="J1352" s="3"/>
      <c r="K1352" s="3"/>
      <c r="L1352" s="94" t="s">
        <v>2357</v>
      </c>
      <c r="M1352" s="4">
        <v>2.0</v>
      </c>
      <c r="N1352" s="3"/>
      <c r="O1352" s="93"/>
      <c r="P1352" s="3"/>
      <c r="Q1352" s="3"/>
      <c r="R1352" s="3"/>
      <c r="S1352" s="3"/>
      <c r="T1352" s="3"/>
      <c r="U1352" s="6">
        <v>1.0</v>
      </c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97"/>
      <c r="BO1352" s="3"/>
      <c r="BP1352" s="3"/>
      <c r="BQ1352" s="10"/>
    </row>
    <row r="1353">
      <c r="A1353" s="1">
        <v>4.0</v>
      </c>
      <c r="B1353" s="2">
        <v>64211.0</v>
      </c>
      <c r="C1353" s="2" t="s">
        <v>119</v>
      </c>
      <c r="D1353" s="93"/>
      <c r="E1353" s="93"/>
      <c r="F1353" s="93"/>
      <c r="G1353" s="93"/>
      <c r="H1353" s="93"/>
      <c r="I1353" s="3" t="str">
        <f t="shared" si="16"/>
        <v>6421102</v>
      </c>
      <c r="J1353" s="3"/>
      <c r="K1353" s="3"/>
      <c r="L1353" s="94" t="s">
        <v>2374</v>
      </c>
      <c r="M1353" s="4">
        <v>1.0</v>
      </c>
      <c r="N1353" s="3"/>
      <c r="O1353" s="93"/>
      <c r="P1353" s="3"/>
      <c r="Q1353" s="3"/>
      <c r="R1353" s="3"/>
      <c r="S1353" s="3"/>
      <c r="T1353" s="3"/>
      <c r="U1353" s="6">
        <v>1.0</v>
      </c>
      <c r="V1353" s="3"/>
      <c r="W1353" s="6" t="s">
        <v>435</v>
      </c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97"/>
      <c r="BO1353" s="3"/>
      <c r="BP1353" s="3"/>
      <c r="BQ1353" s="10"/>
    </row>
    <row r="1354">
      <c r="A1354" s="1">
        <v>5.0</v>
      </c>
      <c r="B1354" s="2">
        <v>64211.0</v>
      </c>
      <c r="C1354" s="2" t="s">
        <v>119</v>
      </c>
      <c r="D1354" s="2" t="s">
        <v>76</v>
      </c>
      <c r="E1354" s="93"/>
      <c r="F1354" s="93"/>
      <c r="G1354" s="93"/>
      <c r="H1354" s="93"/>
      <c r="I1354" s="3" t="str">
        <f t="shared" si="16"/>
        <v>642110201</v>
      </c>
      <c r="J1354" s="3"/>
      <c r="K1354" s="3"/>
      <c r="L1354" s="94" t="s">
        <v>2375</v>
      </c>
      <c r="M1354" s="4">
        <v>2.0</v>
      </c>
      <c r="N1354" s="3"/>
      <c r="O1354" s="93"/>
      <c r="P1354" s="3"/>
      <c r="Q1354" s="3"/>
      <c r="R1354" s="3"/>
      <c r="S1354" s="3"/>
      <c r="T1354" s="3"/>
      <c r="U1354" s="6">
        <v>1.0</v>
      </c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97"/>
      <c r="BO1354" s="3"/>
      <c r="BP1354" s="3"/>
      <c r="BQ1354" s="10"/>
    </row>
    <row r="1355">
      <c r="A1355" s="1">
        <v>5.0</v>
      </c>
      <c r="B1355" s="2">
        <v>64211.0</v>
      </c>
      <c r="C1355" s="2" t="s">
        <v>119</v>
      </c>
      <c r="D1355" s="2" t="s">
        <v>119</v>
      </c>
      <c r="E1355" s="93"/>
      <c r="F1355" s="93"/>
      <c r="G1355" s="93"/>
      <c r="H1355" s="93"/>
      <c r="I1355" s="3" t="str">
        <f t="shared" si="16"/>
        <v>642110202</v>
      </c>
      <c r="J1355" s="3"/>
      <c r="K1355" s="3"/>
      <c r="L1355" s="94" t="s">
        <v>2362</v>
      </c>
      <c r="M1355" s="4">
        <v>2.0</v>
      </c>
      <c r="N1355" s="3"/>
      <c r="O1355" s="93"/>
      <c r="P1355" s="3"/>
      <c r="Q1355" s="3"/>
      <c r="R1355" s="3"/>
      <c r="S1355" s="3"/>
      <c r="T1355" s="3"/>
      <c r="U1355" s="6">
        <v>1.0</v>
      </c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97"/>
      <c r="BO1355" s="3"/>
      <c r="BP1355" s="3"/>
      <c r="BQ1355" s="10"/>
    </row>
    <row r="1356">
      <c r="A1356" s="1">
        <v>5.0</v>
      </c>
      <c r="B1356" s="2">
        <v>64211.0</v>
      </c>
      <c r="C1356" s="2" t="s">
        <v>119</v>
      </c>
      <c r="D1356" s="2" t="s">
        <v>124</v>
      </c>
      <c r="E1356" s="93"/>
      <c r="F1356" s="93"/>
      <c r="G1356" s="93"/>
      <c r="H1356" s="93"/>
      <c r="I1356" s="3" t="str">
        <f t="shared" si="16"/>
        <v>642110203</v>
      </c>
      <c r="J1356" s="3"/>
      <c r="K1356" s="3"/>
      <c r="L1356" s="94" t="s">
        <v>2357</v>
      </c>
      <c r="M1356" s="4">
        <v>2.0</v>
      </c>
      <c r="N1356" s="3"/>
      <c r="O1356" s="93"/>
      <c r="P1356" s="3"/>
      <c r="Q1356" s="3"/>
      <c r="R1356" s="3"/>
      <c r="S1356" s="3"/>
      <c r="T1356" s="3"/>
      <c r="U1356" s="6">
        <v>1.0</v>
      </c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97"/>
      <c r="BO1356" s="3"/>
      <c r="BP1356" s="3"/>
      <c r="BQ1356" s="10"/>
    </row>
    <row r="1357">
      <c r="A1357" s="1">
        <v>4.0</v>
      </c>
      <c r="B1357" s="2">
        <v>64211.0</v>
      </c>
      <c r="C1357" s="2" t="s">
        <v>124</v>
      </c>
      <c r="D1357" s="93"/>
      <c r="E1357" s="93"/>
      <c r="F1357" s="93"/>
      <c r="G1357" s="93"/>
      <c r="H1357" s="93"/>
      <c r="I1357" s="3" t="str">
        <f t="shared" si="16"/>
        <v>6421103</v>
      </c>
      <c r="J1357" s="3"/>
      <c r="K1357" s="3"/>
      <c r="L1357" s="94" t="s">
        <v>2376</v>
      </c>
      <c r="M1357" s="4">
        <v>1.0</v>
      </c>
      <c r="N1357" s="3"/>
      <c r="O1357" s="93"/>
      <c r="P1357" s="3"/>
      <c r="Q1357" s="3"/>
      <c r="R1357" s="3"/>
      <c r="S1357" s="3"/>
      <c r="T1357" s="3"/>
      <c r="U1357" s="6">
        <v>1.0</v>
      </c>
      <c r="V1357" s="3"/>
      <c r="W1357" s="6" t="s">
        <v>435</v>
      </c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97"/>
      <c r="BO1357" s="3"/>
      <c r="BP1357" s="3"/>
      <c r="BQ1357" s="10"/>
    </row>
    <row r="1358">
      <c r="A1358" s="1">
        <v>5.0</v>
      </c>
      <c r="B1358" s="2">
        <v>64211.0</v>
      </c>
      <c r="C1358" s="2" t="s">
        <v>124</v>
      </c>
      <c r="D1358" s="2" t="s">
        <v>76</v>
      </c>
      <c r="E1358" s="93"/>
      <c r="F1358" s="93"/>
      <c r="G1358" s="93"/>
      <c r="H1358" s="93"/>
      <c r="I1358" s="3" t="str">
        <f t="shared" si="16"/>
        <v>642110301</v>
      </c>
      <c r="J1358" s="3"/>
      <c r="K1358" s="3"/>
      <c r="L1358" s="94" t="s">
        <v>2365</v>
      </c>
      <c r="M1358" s="4">
        <v>2.0</v>
      </c>
      <c r="N1358" s="3"/>
      <c r="O1358" s="93"/>
      <c r="P1358" s="3"/>
      <c r="Q1358" s="3"/>
      <c r="R1358" s="3"/>
      <c r="S1358" s="3"/>
      <c r="T1358" s="3"/>
      <c r="U1358" s="6">
        <v>1.0</v>
      </c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97"/>
      <c r="BO1358" s="3"/>
      <c r="BP1358" s="3"/>
      <c r="BQ1358" s="10"/>
    </row>
    <row r="1359">
      <c r="A1359" s="1">
        <v>5.0</v>
      </c>
      <c r="B1359" s="2">
        <v>64211.0</v>
      </c>
      <c r="C1359" s="2" t="s">
        <v>124</v>
      </c>
      <c r="D1359" s="2" t="s">
        <v>119</v>
      </c>
      <c r="E1359" s="93"/>
      <c r="F1359" s="93"/>
      <c r="G1359" s="93"/>
      <c r="H1359" s="93"/>
      <c r="I1359" s="3" t="str">
        <f t="shared" si="16"/>
        <v>642110302</v>
      </c>
      <c r="J1359" s="3"/>
      <c r="K1359" s="3"/>
      <c r="L1359" s="94" t="s">
        <v>2362</v>
      </c>
      <c r="M1359" s="4">
        <v>2.0</v>
      </c>
      <c r="N1359" s="3"/>
      <c r="O1359" s="93"/>
      <c r="P1359" s="3"/>
      <c r="Q1359" s="3"/>
      <c r="R1359" s="3"/>
      <c r="S1359" s="3"/>
      <c r="T1359" s="3"/>
      <c r="U1359" s="6">
        <v>1.0</v>
      </c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97"/>
      <c r="BO1359" s="3"/>
      <c r="BP1359" s="3"/>
      <c r="BQ1359" s="10"/>
    </row>
    <row r="1360">
      <c r="A1360" s="1">
        <v>5.0</v>
      </c>
      <c r="B1360" s="2">
        <v>64211.0</v>
      </c>
      <c r="C1360" s="2" t="s">
        <v>124</v>
      </c>
      <c r="D1360" s="2" t="s">
        <v>124</v>
      </c>
      <c r="E1360" s="93"/>
      <c r="F1360" s="93"/>
      <c r="G1360" s="93"/>
      <c r="H1360" s="93"/>
      <c r="I1360" s="3" t="str">
        <f t="shared" si="16"/>
        <v>642110303</v>
      </c>
      <c r="J1360" s="3"/>
      <c r="K1360" s="3"/>
      <c r="L1360" s="94" t="s">
        <v>2357</v>
      </c>
      <c r="M1360" s="4">
        <v>2.0</v>
      </c>
      <c r="N1360" s="3"/>
      <c r="O1360" s="93"/>
      <c r="P1360" s="3"/>
      <c r="Q1360" s="3"/>
      <c r="R1360" s="3"/>
      <c r="S1360" s="3"/>
      <c r="T1360" s="3"/>
      <c r="U1360" s="6">
        <v>1.0</v>
      </c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97"/>
      <c r="BO1360" s="3"/>
      <c r="BP1360" s="3"/>
      <c r="BQ1360" s="10"/>
    </row>
    <row r="1361">
      <c r="A1361" s="28">
        <v>1.0</v>
      </c>
      <c r="B1361" s="29">
        <v>64300.0</v>
      </c>
      <c r="C1361" s="30"/>
      <c r="D1361" s="30"/>
      <c r="E1361" s="30"/>
      <c r="F1361" s="30"/>
      <c r="G1361" s="30"/>
      <c r="H1361" s="30"/>
      <c r="I1361" s="31" t="str">
        <f t="shared" si="16"/>
        <v>64300</v>
      </c>
      <c r="J1361" s="74"/>
      <c r="K1361" s="74"/>
      <c r="L1361" s="31" t="s">
        <v>2377</v>
      </c>
      <c r="M1361" s="75">
        <v>1.0</v>
      </c>
      <c r="N1361" s="32"/>
      <c r="O1361" s="30"/>
      <c r="P1361" s="32"/>
      <c r="Q1361" s="32"/>
      <c r="R1361" s="32"/>
      <c r="S1361" s="32"/>
      <c r="T1361" s="74"/>
      <c r="U1361" s="34">
        <v>1.0</v>
      </c>
      <c r="V1361" s="74"/>
      <c r="W1361" s="34" t="s">
        <v>70</v>
      </c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  <c r="AI1361" s="74"/>
      <c r="AJ1361" s="74"/>
      <c r="AK1361" s="74"/>
      <c r="AL1361" s="74"/>
      <c r="AM1361" s="74"/>
      <c r="AN1361" s="74"/>
      <c r="AO1361" s="74"/>
      <c r="AP1361" s="32"/>
      <c r="AQ1361" s="32"/>
      <c r="AR1361" s="32"/>
      <c r="AS1361" s="32"/>
      <c r="AT1361" s="32"/>
      <c r="AU1361" s="32"/>
      <c r="AV1361" s="74"/>
      <c r="AW1361" s="74"/>
      <c r="AX1361" s="74"/>
      <c r="AY1361" s="74"/>
      <c r="AZ1361" s="74"/>
      <c r="BA1361" s="74"/>
      <c r="BB1361" s="74"/>
      <c r="BC1361" s="74"/>
      <c r="BD1361" s="74"/>
      <c r="BE1361" s="74"/>
      <c r="BF1361" s="74"/>
      <c r="BG1361" s="74"/>
      <c r="BH1361" s="32"/>
      <c r="BI1361" s="32"/>
      <c r="BJ1361" s="32"/>
      <c r="BK1361" s="32"/>
      <c r="BL1361" s="32"/>
      <c r="BM1361" s="74"/>
      <c r="BN1361" s="76"/>
      <c r="BO1361" s="74"/>
      <c r="BP1361" s="32"/>
      <c r="BQ1361" s="10"/>
    </row>
    <row r="1362">
      <c r="A1362" s="36">
        <v>2.0</v>
      </c>
      <c r="B1362" s="37" t="s">
        <v>2378</v>
      </c>
      <c r="C1362" s="38"/>
      <c r="D1362" s="38"/>
      <c r="E1362" s="38"/>
      <c r="F1362" s="38"/>
      <c r="G1362" s="38"/>
      <c r="H1362" s="38"/>
      <c r="I1362" s="39" t="str">
        <f t="shared" si="16"/>
        <v>64310</v>
      </c>
      <c r="J1362" s="40"/>
      <c r="K1362" s="40"/>
      <c r="L1362" s="39" t="s">
        <v>2377</v>
      </c>
      <c r="M1362" s="41">
        <v>1.0</v>
      </c>
      <c r="N1362" s="42"/>
      <c r="O1362" s="38"/>
      <c r="P1362" s="42"/>
      <c r="Q1362" s="42"/>
      <c r="R1362" s="42"/>
      <c r="S1362" s="42"/>
      <c r="T1362" s="40"/>
      <c r="U1362" s="43">
        <v>1.0</v>
      </c>
      <c r="V1362" s="40"/>
      <c r="W1362" s="43" t="s">
        <v>70</v>
      </c>
      <c r="X1362" s="40"/>
      <c r="Y1362" s="40"/>
      <c r="Z1362" s="40"/>
      <c r="AA1362" s="40"/>
      <c r="AB1362" s="40"/>
      <c r="AC1362" s="40"/>
      <c r="AD1362" s="40"/>
      <c r="AE1362" s="40"/>
      <c r="AF1362" s="40"/>
      <c r="AG1362" s="40"/>
      <c r="AH1362" s="40"/>
      <c r="AI1362" s="40"/>
      <c r="AJ1362" s="40"/>
      <c r="AK1362" s="40"/>
      <c r="AL1362" s="40"/>
      <c r="AM1362" s="40"/>
      <c r="AN1362" s="40"/>
      <c r="AO1362" s="40"/>
      <c r="AP1362" s="42"/>
      <c r="AQ1362" s="42"/>
      <c r="AR1362" s="42"/>
      <c r="AS1362" s="42"/>
      <c r="AT1362" s="42"/>
      <c r="AU1362" s="42"/>
      <c r="AV1362" s="40"/>
      <c r="AW1362" s="40"/>
      <c r="AX1362" s="40"/>
      <c r="AY1362" s="40"/>
      <c r="AZ1362" s="40"/>
      <c r="BA1362" s="40"/>
      <c r="BB1362" s="40"/>
      <c r="BC1362" s="40"/>
      <c r="BD1362" s="40"/>
      <c r="BE1362" s="40"/>
      <c r="BF1362" s="40"/>
      <c r="BG1362" s="40"/>
      <c r="BH1362" s="42"/>
      <c r="BI1362" s="42"/>
      <c r="BJ1362" s="42"/>
      <c r="BK1362" s="42"/>
      <c r="BL1362" s="42"/>
      <c r="BM1362" s="40"/>
      <c r="BN1362" s="44"/>
      <c r="BO1362" s="40"/>
      <c r="BP1362" s="42"/>
      <c r="BQ1362" s="10"/>
    </row>
    <row r="1363">
      <c r="A1363" s="45">
        <v>3.0</v>
      </c>
      <c r="B1363" s="46" t="s">
        <v>2379</v>
      </c>
      <c r="C1363" s="47"/>
      <c r="D1363" s="47"/>
      <c r="E1363" s="47"/>
      <c r="F1363" s="47"/>
      <c r="G1363" s="47"/>
      <c r="H1363" s="47"/>
      <c r="I1363" s="48" t="str">
        <f t="shared" si="16"/>
        <v>64311</v>
      </c>
      <c r="J1363" s="49"/>
      <c r="K1363" s="49"/>
      <c r="L1363" s="48" t="s">
        <v>2377</v>
      </c>
      <c r="M1363" s="50">
        <v>1.0</v>
      </c>
      <c r="N1363" s="51"/>
      <c r="O1363" s="47"/>
      <c r="P1363" s="51"/>
      <c r="Q1363" s="51"/>
      <c r="R1363" s="51"/>
      <c r="S1363" s="51"/>
      <c r="T1363" s="49"/>
      <c r="U1363" s="52">
        <v>1.0</v>
      </c>
      <c r="V1363" s="49"/>
      <c r="W1363" s="52" t="s">
        <v>70</v>
      </c>
      <c r="X1363" s="49"/>
      <c r="Y1363" s="49"/>
      <c r="Z1363" s="49"/>
      <c r="AA1363" s="49"/>
      <c r="AB1363" s="49"/>
      <c r="AC1363" s="49"/>
      <c r="AD1363" s="49"/>
      <c r="AE1363" s="49"/>
      <c r="AF1363" s="49"/>
      <c r="AG1363" s="49"/>
      <c r="AH1363" s="49"/>
      <c r="AI1363" s="49"/>
      <c r="AJ1363" s="49"/>
      <c r="AK1363" s="49"/>
      <c r="AL1363" s="49"/>
      <c r="AM1363" s="49"/>
      <c r="AN1363" s="49"/>
      <c r="AO1363" s="49"/>
      <c r="AP1363" s="51"/>
      <c r="AQ1363" s="51"/>
      <c r="AR1363" s="51"/>
      <c r="AS1363" s="51"/>
      <c r="AT1363" s="51"/>
      <c r="AU1363" s="51"/>
      <c r="AV1363" s="49"/>
      <c r="AW1363" s="49"/>
      <c r="AX1363" s="49"/>
      <c r="AY1363" s="49"/>
      <c r="AZ1363" s="49"/>
      <c r="BA1363" s="49"/>
      <c r="BB1363" s="49"/>
      <c r="BC1363" s="49"/>
      <c r="BD1363" s="49"/>
      <c r="BE1363" s="49"/>
      <c r="BF1363" s="49"/>
      <c r="BG1363" s="49"/>
      <c r="BH1363" s="51"/>
      <c r="BI1363" s="51"/>
      <c r="BJ1363" s="51"/>
      <c r="BK1363" s="51"/>
      <c r="BL1363" s="51"/>
      <c r="BM1363" s="49"/>
      <c r="BN1363" s="53"/>
      <c r="BO1363" s="49"/>
      <c r="BP1363" s="51"/>
      <c r="BQ1363" s="10"/>
    </row>
    <row r="1364">
      <c r="A1364" s="1">
        <v>4.0</v>
      </c>
      <c r="B1364" s="2" t="s">
        <v>2379</v>
      </c>
      <c r="C1364" s="2" t="s">
        <v>76</v>
      </c>
      <c r="D1364" s="93"/>
      <c r="E1364" s="93"/>
      <c r="F1364" s="93"/>
      <c r="G1364" s="93"/>
      <c r="H1364" s="93"/>
      <c r="I1364" s="3" t="str">
        <f t="shared" si="16"/>
        <v>6431101</v>
      </c>
      <c r="J1364" s="3"/>
      <c r="K1364" s="3"/>
      <c r="L1364" s="94" t="s">
        <v>2380</v>
      </c>
      <c r="M1364" s="4">
        <v>1.0</v>
      </c>
      <c r="N1364" s="3"/>
      <c r="O1364" s="93"/>
      <c r="P1364" s="3"/>
      <c r="Q1364" s="3"/>
      <c r="R1364" s="3"/>
      <c r="S1364" s="3"/>
      <c r="T1364" s="3"/>
      <c r="U1364" s="6">
        <v>4.0</v>
      </c>
      <c r="V1364" s="3"/>
      <c r="W1364" s="6" t="s">
        <v>435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97"/>
      <c r="BO1364" s="3"/>
      <c r="BP1364" s="3"/>
      <c r="BQ1364" s="10"/>
    </row>
    <row r="1365">
      <c r="A1365" s="1">
        <v>5.0</v>
      </c>
      <c r="B1365" s="2" t="s">
        <v>2379</v>
      </c>
      <c r="C1365" s="2" t="s">
        <v>76</v>
      </c>
      <c r="D1365" s="2" t="s">
        <v>76</v>
      </c>
      <c r="E1365" s="93"/>
      <c r="F1365" s="93"/>
      <c r="G1365" s="93"/>
      <c r="H1365" s="93"/>
      <c r="I1365" s="3" t="str">
        <f t="shared" si="16"/>
        <v>643110101</v>
      </c>
      <c r="J1365" s="3"/>
      <c r="K1365" s="3"/>
      <c r="L1365" s="94" t="s">
        <v>2365</v>
      </c>
      <c r="M1365" s="4">
        <v>2.0</v>
      </c>
      <c r="N1365" s="3"/>
      <c r="O1365" s="93"/>
      <c r="P1365" s="3"/>
      <c r="Q1365" s="3"/>
      <c r="R1365" s="3"/>
      <c r="S1365" s="3"/>
      <c r="T1365" s="3"/>
      <c r="U1365" s="6">
        <v>1.0</v>
      </c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97"/>
      <c r="BO1365" s="3"/>
      <c r="BP1365" s="3"/>
      <c r="BQ1365" s="10"/>
    </row>
    <row r="1366">
      <c r="A1366" s="1">
        <v>5.0</v>
      </c>
      <c r="B1366" s="2" t="s">
        <v>2379</v>
      </c>
      <c r="C1366" s="2" t="s">
        <v>76</v>
      </c>
      <c r="D1366" s="2" t="s">
        <v>119</v>
      </c>
      <c r="E1366" s="93"/>
      <c r="F1366" s="93"/>
      <c r="G1366" s="93"/>
      <c r="H1366" s="93"/>
      <c r="I1366" s="3" t="str">
        <f t="shared" si="16"/>
        <v>643110102</v>
      </c>
      <c r="J1366" s="3"/>
      <c r="K1366" s="3"/>
      <c r="L1366" s="94" t="s">
        <v>2362</v>
      </c>
      <c r="M1366" s="4">
        <v>2.0</v>
      </c>
      <c r="N1366" s="3"/>
      <c r="O1366" s="93"/>
      <c r="P1366" s="3"/>
      <c r="Q1366" s="3"/>
      <c r="R1366" s="3"/>
      <c r="S1366" s="3"/>
      <c r="T1366" s="3"/>
      <c r="U1366" s="6">
        <v>1.0</v>
      </c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97"/>
      <c r="BO1366" s="3"/>
      <c r="BP1366" s="3"/>
      <c r="BQ1366" s="10"/>
    </row>
    <row r="1367">
      <c r="A1367" s="1">
        <v>5.0</v>
      </c>
      <c r="B1367" s="2" t="s">
        <v>2379</v>
      </c>
      <c r="C1367" s="2" t="s">
        <v>76</v>
      </c>
      <c r="D1367" s="2" t="s">
        <v>124</v>
      </c>
      <c r="E1367" s="93"/>
      <c r="F1367" s="93"/>
      <c r="G1367" s="93"/>
      <c r="H1367" s="93"/>
      <c r="I1367" s="3" t="str">
        <f t="shared" si="16"/>
        <v>643110103</v>
      </c>
      <c r="J1367" s="3"/>
      <c r="K1367" s="3"/>
      <c r="L1367" s="94" t="s">
        <v>2357</v>
      </c>
      <c r="M1367" s="4">
        <v>2.0</v>
      </c>
      <c r="N1367" s="3"/>
      <c r="O1367" s="93"/>
      <c r="P1367" s="3"/>
      <c r="Q1367" s="3"/>
      <c r="R1367" s="3"/>
      <c r="S1367" s="3"/>
      <c r="T1367" s="3"/>
      <c r="U1367" s="6">
        <v>1.0</v>
      </c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97"/>
      <c r="BO1367" s="3"/>
      <c r="BP1367" s="3"/>
      <c r="BQ1367" s="10"/>
    </row>
    <row r="1368">
      <c r="A1368" s="36">
        <v>2.0</v>
      </c>
      <c r="B1368" s="37">
        <v>64320.0</v>
      </c>
      <c r="C1368" s="38"/>
      <c r="D1368" s="38"/>
      <c r="E1368" s="38"/>
      <c r="F1368" s="38"/>
      <c r="G1368" s="38"/>
      <c r="H1368" s="38"/>
      <c r="I1368" s="39" t="str">
        <f t="shared" si="16"/>
        <v>64320</v>
      </c>
      <c r="J1368" s="40"/>
      <c r="K1368" s="40"/>
      <c r="L1368" s="39" t="s">
        <v>2381</v>
      </c>
      <c r="M1368" s="41">
        <v>1.0</v>
      </c>
      <c r="N1368" s="42"/>
      <c r="O1368" s="38"/>
      <c r="P1368" s="42"/>
      <c r="Q1368" s="42"/>
      <c r="R1368" s="42"/>
      <c r="S1368" s="42"/>
      <c r="T1368" s="40"/>
      <c r="U1368" s="43">
        <v>1.0</v>
      </c>
      <c r="V1368" s="40"/>
      <c r="W1368" s="43" t="s">
        <v>70</v>
      </c>
      <c r="X1368" s="40"/>
      <c r="Y1368" s="40"/>
      <c r="Z1368" s="40"/>
      <c r="AA1368" s="40"/>
      <c r="AB1368" s="40"/>
      <c r="AC1368" s="40"/>
      <c r="AD1368" s="40"/>
      <c r="AE1368" s="40"/>
      <c r="AF1368" s="40"/>
      <c r="AG1368" s="40"/>
      <c r="AH1368" s="40"/>
      <c r="AI1368" s="40"/>
      <c r="AJ1368" s="40"/>
      <c r="AK1368" s="40"/>
      <c r="AL1368" s="40"/>
      <c r="AM1368" s="40"/>
      <c r="AN1368" s="40"/>
      <c r="AO1368" s="40"/>
      <c r="AP1368" s="42"/>
      <c r="AQ1368" s="42"/>
      <c r="AR1368" s="42"/>
      <c r="AS1368" s="42"/>
      <c r="AT1368" s="42"/>
      <c r="AU1368" s="42"/>
      <c r="AV1368" s="40"/>
      <c r="AW1368" s="40"/>
      <c r="AX1368" s="40"/>
      <c r="AY1368" s="40"/>
      <c r="AZ1368" s="40"/>
      <c r="BA1368" s="40"/>
      <c r="BB1368" s="40"/>
      <c r="BC1368" s="40"/>
      <c r="BD1368" s="40"/>
      <c r="BE1368" s="40"/>
      <c r="BF1368" s="40"/>
      <c r="BG1368" s="40"/>
      <c r="BH1368" s="42"/>
      <c r="BI1368" s="42"/>
      <c r="BJ1368" s="42"/>
      <c r="BK1368" s="42"/>
      <c r="BL1368" s="42"/>
      <c r="BM1368" s="40"/>
      <c r="BN1368" s="44"/>
      <c r="BO1368" s="40"/>
      <c r="BP1368" s="42"/>
      <c r="BQ1368" s="10"/>
    </row>
    <row r="1369">
      <c r="A1369" s="45">
        <v>3.0</v>
      </c>
      <c r="B1369" s="46">
        <v>64321.0</v>
      </c>
      <c r="C1369" s="47"/>
      <c r="D1369" s="47"/>
      <c r="E1369" s="47"/>
      <c r="F1369" s="47"/>
      <c r="G1369" s="47"/>
      <c r="H1369" s="47"/>
      <c r="I1369" s="48" t="str">
        <f t="shared" si="16"/>
        <v>64321</v>
      </c>
      <c r="J1369" s="49"/>
      <c r="K1369" s="49"/>
      <c r="L1369" s="48" t="s">
        <v>2382</v>
      </c>
      <c r="M1369" s="50">
        <v>1.0</v>
      </c>
      <c r="N1369" s="51"/>
      <c r="O1369" s="47"/>
      <c r="P1369" s="51"/>
      <c r="Q1369" s="51"/>
      <c r="R1369" s="51"/>
      <c r="S1369" s="51"/>
      <c r="T1369" s="49"/>
      <c r="U1369" s="52">
        <v>1.0</v>
      </c>
      <c r="V1369" s="49"/>
      <c r="W1369" s="52" t="s">
        <v>70</v>
      </c>
      <c r="X1369" s="49"/>
      <c r="Y1369" s="49"/>
      <c r="Z1369" s="49"/>
      <c r="AA1369" s="49"/>
      <c r="AB1369" s="49"/>
      <c r="AC1369" s="49"/>
      <c r="AD1369" s="49"/>
      <c r="AE1369" s="49"/>
      <c r="AF1369" s="49"/>
      <c r="AG1369" s="49"/>
      <c r="AH1369" s="49"/>
      <c r="AI1369" s="49"/>
      <c r="AJ1369" s="49"/>
      <c r="AK1369" s="49"/>
      <c r="AL1369" s="49"/>
      <c r="AM1369" s="49"/>
      <c r="AN1369" s="49"/>
      <c r="AO1369" s="49"/>
      <c r="AP1369" s="51"/>
      <c r="AQ1369" s="51"/>
      <c r="AR1369" s="51"/>
      <c r="AS1369" s="51"/>
      <c r="AT1369" s="51"/>
      <c r="AU1369" s="51"/>
      <c r="AV1369" s="49"/>
      <c r="AW1369" s="49"/>
      <c r="AX1369" s="49"/>
      <c r="AY1369" s="49"/>
      <c r="AZ1369" s="49"/>
      <c r="BA1369" s="49"/>
      <c r="BB1369" s="49"/>
      <c r="BC1369" s="49"/>
      <c r="BD1369" s="49"/>
      <c r="BE1369" s="49"/>
      <c r="BF1369" s="49"/>
      <c r="BG1369" s="49"/>
      <c r="BH1369" s="51"/>
      <c r="BI1369" s="51"/>
      <c r="BJ1369" s="51"/>
      <c r="BK1369" s="51"/>
      <c r="BL1369" s="51"/>
      <c r="BM1369" s="49"/>
      <c r="BN1369" s="53"/>
      <c r="BO1369" s="49"/>
      <c r="BP1369" s="51"/>
      <c r="BQ1369" s="10"/>
    </row>
    <row r="1370">
      <c r="A1370" s="1">
        <v>4.0</v>
      </c>
      <c r="B1370" s="2">
        <v>64321.0</v>
      </c>
      <c r="C1370" s="2" t="s">
        <v>76</v>
      </c>
      <c r="D1370" s="93"/>
      <c r="E1370" s="93"/>
      <c r="F1370" s="93"/>
      <c r="G1370" s="93"/>
      <c r="H1370" s="93"/>
      <c r="I1370" s="3" t="str">
        <f t="shared" si="16"/>
        <v>6432101</v>
      </c>
      <c r="J1370" s="3"/>
      <c r="K1370" s="3"/>
      <c r="L1370" s="94" t="s">
        <v>2368</v>
      </c>
      <c r="M1370" s="4">
        <v>2.0</v>
      </c>
      <c r="N1370" s="3"/>
      <c r="O1370" s="93"/>
      <c r="P1370" s="3"/>
      <c r="Q1370" s="3"/>
      <c r="R1370" s="3"/>
      <c r="S1370" s="3"/>
      <c r="T1370" s="3"/>
      <c r="U1370" s="6">
        <v>1.0</v>
      </c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97"/>
      <c r="BO1370" s="3"/>
      <c r="BP1370" s="3"/>
      <c r="BQ1370" s="10"/>
    </row>
    <row r="1371">
      <c r="A1371" s="1">
        <v>5.0</v>
      </c>
      <c r="B1371" s="2">
        <v>64321.0</v>
      </c>
      <c r="C1371" s="2" t="s">
        <v>76</v>
      </c>
      <c r="D1371" s="2" t="s">
        <v>76</v>
      </c>
      <c r="E1371" s="93"/>
      <c r="F1371" s="93"/>
      <c r="G1371" s="93"/>
      <c r="H1371" s="93"/>
      <c r="I1371" s="3" t="str">
        <f t="shared" si="16"/>
        <v>643210101</v>
      </c>
      <c r="J1371" s="3"/>
      <c r="K1371" s="3"/>
      <c r="L1371" s="94" t="s">
        <v>2358</v>
      </c>
      <c r="M1371" s="4">
        <v>2.0</v>
      </c>
      <c r="N1371" s="3"/>
      <c r="O1371" s="93"/>
      <c r="P1371" s="3"/>
      <c r="Q1371" s="3"/>
      <c r="R1371" s="3"/>
      <c r="S1371" s="3"/>
      <c r="T1371" s="3"/>
      <c r="U1371" s="6">
        <v>1.0</v>
      </c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97"/>
      <c r="BO1371" s="3"/>
      <c r="BP1371" s="3"/>
      <c r="BQ1371" s="10"/>
    </row>
    <row r="1372">
      <c r="A1372" s="1">
        <v>5.0</v>
      </c>
      <c r="B1372" s="2">
        <v>64321.0</v>
      </c>
      <c r="C1372" s="2" t="s">
        <v>76</v>
      </c>
      <c r="D1372" s="2" t="s">
        <v>119</v>
      </c>
      <c r="E1372" s="93"/>
      <c r="F1372" s="93"/>
      <c r="G1372" s="93"/>
      <c r="H1372" s="93"/>
      <c r="I1372" s="3" t="str">
        <f t="shared" si="16"/>
        <v>643210102</v>
      </c>
      <c r="J1372" s="3"/>
      <c r="K1372" s="3"/>
      <c r="L1372" s="94" t="s">
        <v>2369</v>
      </c>
      <c r="M1372" s="4">
        <v>2.0</v>
      </c>
      <c r="N1372" s="3"/>
      <c r="O1372" s="93"/>
      <c r="P1372" s="3"/>
      <c r="Q1372" s="3"/>
      <c r="R1372" s="3"/>
      <c r="S1372" s="3"/>
      <c r="T1372" s="3"/>
      <c r="U1372" s="6">
        <v>1.0</v>
      </c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97"/>
      <c r="BO1372" s="3"/>
      <c r="BP1372" s="3"/>
      <c r="BQ1372" s="10"/>
    </row>
    <row r="1373">
      <c r="A1373" s="1">
        <v>5.0</v>
      </c>
      <c r="B1373" s="2">
        <v>64321.0</v>
      </c>
      <c r="C1373" s="2" t="s">
        <v>76</v>
      </c>
      <c r="D1373" s="2" t="s">
        <v>124</v>
      </c>
      <c r="E1373" s="93"/>
      <c r="F1373" s="93"/>
      <c r="G1373" s="93"/>
      <c r="H1373" s="93"/>
      <c r="I1373" s="3" t="str">
        <f t="shared" si="16"/>
        <v>643210103</v>
      </c>
      <c r="J1373" s="3"/>
      <c r="K1373" s="3"/>
      <c r="L1373" s="94" t="s">
        <v>2370</v>
      </c>
      <c r="M1373" s="4">
        <v>2.0</v>
      </c>
      <c r="N1373" s="3"/>
      <c r="O1373" s="93"/>
      <c r="P1373" s="3"/>
      <c r="Q1373" s="3"/>
      <c r="R1373" s="3"/>
      <c r="S1373" s="3"/>
      <c r="T1373" s="3"/>
      <c r="U1373" s="6">
        <v>1.0</v>
      </c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97"/>
      <c r="BO1373" s="3"/>
      <c r="BP1373" s="3"/>
      <c r="BQ1373" s="10"/>
    </row>
    <row r="1374">
      <c r="A1374" s="28">
        <v>1.0</v>
      </c>
      <c r="B1374" s="29" t="s">
        <v>2383</v>
      </c>
      <c r="C1374" s="30"/>
      <c r="D1374" s="30"/>
      <c r="E1374" s="30"/>
      <c r="F1374" s="30"/>
      <c r="G1374" s="30"/>
      <c r="H1374" s="30"/>
      <c r="I1374" s="31" t="str">
        <f t="shared" si="16"/>
        <v>64400</v>
      </c>
      <c r="J1374" s="74"/>
      <c r="K1374" s="74"/>
      <c r="L1374" s="31" t="s">
        <v>2346</v>
      </c>
      <c r="M1374" s="75">
        <v>1.0</v>
      </c>
      <c r="N1374" s="32"/>
      <c r="O1374" s="30"/>
      <c r="P1374" s="32"/>
      <c r="Q1374" s="32"/>
      <c r="R1374" s="32"/>
      <c r="S1374" s="32"/>
      <c r="T1374" s="74"/>
      <c r="U1374" s="34">
        <v>1.0</v>
      </c>
      <c r="V1374" s="74"/>
      <c r="W1374" s="34" t="s">
        <v>70</v>
      </c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  <c r="AH1374" s="74"/>
      <c r="AI1374" s="74"/>
      <c r="AJ1374" s="74"/>
      <c r="AK1374" s="74"/>
      <c r="AL1374" s="74"/>
      <c r="AM1374" s="74"/>
      <c r="AN1374" s="74"/>
      <c r="AO1374" s="74"/>
      <c r="AP1374" s="32"/>
      <c r="AQ1374" s="32"/>
      <c r="AR1374" s="32"/>
      <c r="AS1374" s="32"/>
      <c r="AT1374" s="32"/>
      <c r="AU1374" s="32"/>
      <c r="AV1374" s="74"/>
      <c r="AW1374" s="74"/>
      <c r="AX1374" s="74"/>
      <c r="AY1374" s="74"/>
      <c r="AZ1374" s="74"/>
      <c r="BA1374" s="74"/>
      <c r="BB1374" s="74"/>
      <c r="BC1374" s="74"/>
      <c r="BD1374" s="74"/>
      <c r="BE1374" s="74"/>
      <c r="BF1374" s="74"/>
      <c r="BG1374" s="74"/>
      <c r="BH1374" s="32"/>
      <c r="BI1374" s="32"/>
      <c r="BJ1374" s="32"/>
      <c r="BK1374" s="32"/>
      <c r="BL1374" s="32"/>
      <c r="BM1374" s="74"/>
      <c r="BN1374" s="76"/>
      <c r="BO1374" s="74"/>
      <c r="BP1374" s="32"/>
      <c r="BQ1374" s="10"/>
    </row>
    <row r="1375">
      <c r="A1375" s="36">
        <v>2.0</v>
      </c>
      <c r="B1375" s="37" t="s">
        <v>2384</v>
      </c>
      <c r="C1375" s="38"/>
      <c r="D1375" s="38"/>
      <c r="E1375" s="38"/>
      <c r="F1375" s="38"/>
      <c r="G1375" s="38"/>
      <c r="H1375" s="38"/>
      <c r="I1375" s="39" t="str">
        <f t="shared" si="16"/>
        <v>64410</v>
      </c>
      <c r="J1375" s="40"/>
      <c r="K1375" s="40"/>
      <c r="L1375" s="39" t="s">
        <v>2385</v>
      </c>
      <c r="M1375" s="41">
        <v>1.0</v>
      </c>
      <c r="N1375" s="42"/>
      <c r="O1375" s="38"/>
      <c r="P1375" s="42"/>
      <c r="Q1375" s="42"/>
      <c r="R1375" s="42"/>
      <c r="S1375" s="42"/>
      <c r="T1375" s="40"/>
      <c r="U1375" s="43">
        <v>1.0</v>
      </c>
      <c r="V1375" s="40"/>
      <c r="W1375" s="43" t="s">
        <v>70</v>
      </c>
      <c r="X1375" s="40"/>
      <c r="Y1375" s="40"/>
      <c r="Z1375" s="40"/>
      <c r="AA1375" s="40"/>
      <c r="AB1375" s="40"/>
      <c r="AC1375" s="40"/>
      <c r="AD1375" s="40"/>
      <c r="AE1375" s="40"/>
      <c r="AF1375" s="40"/>
      <c r="AG1375" s="40"/>
      <c r="AH1375" s="40"/>
      <c r="AI1375" s="40"/>
      <c r="AJ1375" s="40"/>
      <c r="AK1375" s="40"/>
      <c r="AL1375" s="40"/>
      <c r="AM1375" s="40"/>
      <c r="AN1375" s="40"/>
      <c r="AO1375" s="40"/>
      <c r="AP1375" s="42"/>
      <c r="AQ1375" s="42"/>
      <c r="AR1375" s="42"/>
      <c r="AS1375" s="42"/>
      <c r="AT1375" s="42"/>
      <c r="AU1375" s="42"/>
      <c r="AV1375" s="40"/>
      <c r="AW1375" s="40"/>
      <c r="AX1375" s="40"/>
      <c r="AY1375" s="40"/>
      <c r="AZ1375" s="40"/>
      <c r="BA1375" s="40"/>
      <c r="BB1375" s="40"/>
      <c r="BC1375" s="40"/>
      <c r="BD1375" s="40"/>
      <c r="BE1375" s="40"/>
      <c r="BF1375" s="40"/>
      <c r="BG1375" s="40"/>
      <c r="BH1375" s="42"/>
      <c r="BI1375" s="42"/>
      <c r="BJ1375" s="42"/>
      <c r="BK1375" s="42"/>
      <c r="BL1375" s="42"/>
      <c r="BM1375" s="40"/>
      <c r="BN1375" s="44"/>
      <c r="BO1375" s="40"/>
      <c r="BP1375" s="42"/>
      <c r="BQ1375" s="10"/>
    </row>
    <row r="1376">
      <c r="A1376" s="45">
        <v>3.0</v>
      </c>
      <c r="B1376" s="46" t="s">
        <v>2386</v>
      </c>
      <c r="C1376" s="47"/>
      <c r="D1376" s="47"/>
      <c r="E1376" s="47"/>
      <c r="F1376" s="47"/>
      <c r="G1376" s="47"/>
      <c r="H1376" s="47"/>
      <c r="I1376" s="48" t="str">
        <f t="shared" si="16"/>
        <v>64411</v>
      </c>
      <c r="J1376" s="49"/>
      <c r="K1376" s="49"/>
      <c r="L1376" s="48" t="s">
        <v>2387</v>
      </c>
      <c r="M1376" s="50">
        <v>1.0</v>
      </c>
      <c r="N1376" s="51"/>
      <c r="O1376" s="47"/>
      <c r="P1376" s="51"/>
      <c r="Q1376" s="51"/>
      <c r="R1376" s="51"/>
      <c r="S1376" s="51"/>
      <c r="T1376" s="49"/>
      <c r="U1376" s="52">
        <v>1.0</v>
      </c>
      <c r="V1376" s="49"/>
      <c r="W1376" s="52" t="s">
        <v>70</v>
      </c>
      <c r="X1376" s="49"/>
      <c r="Y1376" s="49"/>
      <c r="Z1376" s="49"/>
      <c r="AA1376" s="49"/>
      <c r="AB1376" s="49"/>
      <c r="AC1376" s="49"/>
      <c r="AD1376" s="49"/>
      <c r="AE1376" s="49"/>
      <c r="AF1376" s="49"/>
      <c r="AG1376" s="49"/>
      <c r="AH1376" s="49"/>
      <c r="AI1376" s="49"/>
      <c r="AJ1376" s="49"/>
      <c r="AK1376" s="49"/>
      <c r="AL1376" s="49"/>
      <c r="AM1376" s="49"/>
      <c r="AN1376" s="49"/>
      <c r="AO1376" s="49"/>
      <c r="AP1376" s="51"/>
      <c r="AQ1376" s="51"/>
      <c r="AR1376" s="51"/>
      <c r="AS1376" s="51"/>
      <c r="AT1376" s="51"/>
      <c r="AU1376" s="51"/>
      <c r="AV1376" s="49"/>
      <c r="AW1376" s="49"/>
      <c r="AX1376" s="49"/>
      <c r="AY1376" s="49"/>
      <c r="AZ1376" s="49"/>
      <c r="BA1376" s="49"/>
      <c r="BB1376" s="49"/>
      <c r="BC1376" s="49"/>
      <c r="BD1376" s="49"/>
      <c r="BE1376" s="49"/>
      <c r="BF1376" s="49"/>
      <c r="BG1376" s="49"/>
      <c r="BH1376" s="51"/>
      <c r="BI1376" s="51"/>
      <c r="BJ1376" s="51"/>
      <c r="BK1376" s="51"/>
      <c r="BL1376" s="51"/>
      <c r="BM1376" s="49"/>
      <c r="BN1376" s="53"/>
      <c r="BO1376" s="49"/>
      <c r="BP1376" s="51"/>
      <c r="BQ1376" s="10"/>
    </row>
    <row r="1377">
      <c r="A1377" s="1">
        <v>4.0</v>
      </c>
      <c r="B1377" s="2" t="s">
        <v>2386</v>
      </c>
      <c r="C1377" s="2" t="s">
        <v>76</v>
      </c>
      <c r="D1377" s="93"/>
      <c r="E1377" s="93"/>
      <c r="F1377" s="93"/>
      <c r="G1377" s="93"/>
      <c r="H1377" s="93"/>
      <c r="I1377" s="3" t="str">
        <f t="shared" si="16"/>
        <v>6441101</v>
      </c>
      <c r="J1377" s="3"/>
      <c r="K1377" s="3"/>
      <c r="L1377" s="94" t="s">
        <v>2388</v>
      </c>
      <c r="M1377" s="4">
        <v>2.0</v>
      </c>
      <c r="N1377" s="3"/>
      <c r="O1377" s="93"/>
      <c r="P1377" s="3"/>
      <c r="Q1377" s="3"/>
      <c r="R1377" s="3"/>
      <c r="S1377" s="3"/>
      <c r="T1377" s="3"/>
      <c r="U1377" s="6">
        <v>1.0</v>
      </c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97"/>
      <c r="BO1377" s="3"/>
      <c r="BP1377" s="3"/>
      <c r="BQ1377" s="10"/>
    </row>
    <row r="1378">
      <c r="A1378" s="1">
        <v>5.0</v>
      </c>
      <c r="B1378" s="2" t="s">
        <v>2386</v>
      </c>
      <c r="C1378" s="2" t="s">
        <v>76</v>
      </c>
      <c r="D1378" s="2" t="s">
        <v>76</v>
      </c>
      <c r="E1378" s="93"/>
      <c r="F1378" s="93"/>
      <c r="G1378" s="93"/>
      <c r="H1378" s="93"/>
      <c r="I1378" s="3" t="str">
        <f t="shared" si="16"/>
        <v>644110101</v>
      </c>
      <c r="J1378" s="3"/>
      <c r="K1378" s="3"/>
      <c r="L1378" s="94" t="s">
        <v>2389</v>
      </c>
      <c r="M1378" s="4">
        <v>2.0</v>
      </c>
      <c r="N1378" s="3"/>
      <c r="O1378" s="93"/>
      <c r="P1378" s="3"/>
      <c r="Q1378" s="3"/>
      <c r="R1378" s="3"/>
      <c r="S1378" s="3"/>
      <c r="T1378" s="3"/>
      <c r="U1378" s="6">
        <v>1.0</v>
      </c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97"/>
      <c r="BO1378" s="3"/>
      <c r="BP1378" s="3"/>
      <c r="BQ1378" s="10"/>
    </row>
    <row r="1379">
      <c r="A1379" s="1">
        <v>5.0</v>
      </c>
      <c r="B1379" s="2" t="s">
        <v>2386</v>
      </c>
      <c r="C1379" s="2" t="s">
        <v>76</v>
      </c>
      <c r="D1379" s="2" t="s">
        <v>119</v>
      </c>
      <c r="E1379" s="93"/>
      <c r="F1379" s="93"/>
      <c r="G1379" s="93"/>
      <c r="H1379" s="93"/>
      <c r="I1379" s="3" t="str">
        <f t="shared" si="16"/>
        <v>644110102</v>
      </c>
      <c r="J1379" s="3"/>
      <c r="K1379" s="3"/>
      <c r="L1379" s="94" t="s">
        <v>2390</v>
      </c>
      <c r="M1379" s="4">
        <v>2.0</v>
      </c>
      <c r="N1379" s="3"/>
      <c r="O1379" s="93"/>
      <c r="P1379" s="3"/>
      <c r="Q1379" s="3"/>
      <c r="R1379" s="3"/>
      <c r="S1379" s="3"/>
      <c r="T1379" s="3"/>
      <c r="U1379" s="6">
        <v>1.0</v>
      </c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97"/>
      <c r="BO1379" s="3"/>
      <c r="BP1379" s="3"/>
      <c r="BQ1379" s="10"/>
    </row>
    <row r="1380">
      <c r="A1380" s="1">
        <v>5.0</v>
      </c>
      <c r="B1380" s="2" t="s">
        <v>2386</v>
      </c>
      <c r="C1380" s="2" t="s">
        <v>76</v>
      </c>
      <c r="D1380" s="2" t="s">
        <v>124</v>
      </c>
      <c r="E1380" s="93"/>
      <c r="F1380" s="93"/>
      <c r="G1380" s="93"/>
      <c r="H1380" s="93"/>
      <c r="I1380" s="3" t="str">
        <f t="shared" si="16"/>
        <v>644110103</v>
      </c>
      <c r="J1380" s="3"/>
      <c r="K1380" s="3"/>
      <c r="L1380" s="94" t="s">
        <v>2391</v>
      </c>
      <c r="M1380" s="4">
        <v>2.0</v>
      </c>
      <c r="N1380" s="3"/>
      <c r="O1380" s="93"/>
      <c r="P1380" s="3"/>
      <c r="Q1380" s="3"/>
      <c r="R1380" s="3"/>
      <c r="S1380" s="3"/>
      <c r="T1380" s="3"/>
      <c r="U1380" s="6">
        <v>1.0</v>
      </c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97"/>
      <c r="BO1380" s="3"/>
      <c r="BP1380" s="3"/>
      <c r="BQ1380" s="10"/>
    </row>
    <row r="1381">
      <c r="A1381" s="1">
        <v>5.0</v>
      </c>
      <c r="B1381" s="2" t="s">
        <v>2386</v>
      </c>
      <c r="C1381" s="2" t="s">
        <v>76</v>
      </c>
      <c r="D1381" s="2" t="s">
        <v>127</v>
      </c>
      <c r="E1381" s="93"/>
      <c r="F1381" s="93"/>
      <c r="G1381" s="93"/>
      <c r="H1381" s="93"/>
      <c r="I1381" s="3" t="str">
        <f t="shared" si="16"/>
        <v>644110104</v>
      </c>
      <c r="J1381" s="3"/>
      <c r="K1381" s="3"/>
      <c r="L1381" s="94" t="s">
        <v>2392</v>
      </c>
      <c r="M1381" s="4">
        <v>2.0</v>
      </c>
      <c r="N1381" s="3"/>
      <c r="O1381" s="93"/>
      <c r="P1381" s="3"/>
      <c r="Q1381" s="3"/>
      <c r="R1381" s="3"/>
      <c r="S1381" s="3"/>
      <c r="T1381" s="3"/>
      <c r="U1381" s="6">
        <v>1.0</v>
      </c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97"/>
      <c r="BO1381" s="3"/>
      <c r="BP1381" s="3"/>
      <c r="BQ1381" s="10"/>
    </row>
    <row r="1382">
      <c r="A1382" s="1">
        <v>4.0</v>
      </c>
      <c r="B1382" s="2" t="s">
        <v>2386</v>
      </c>
      <c r="C1382" s="2" t="s">
        <v>119</v>
      </c>
      <c r="D1382" s="93"/>
      <c r="E1382" s="93"/>
      <c r="F1382" s="93"/>
      <c r="G1382" s="93"/>
      <c r="H1382" s="93"/>
      <c r="I1382" s="3" t="str">
        <f t="shared" si="16"/>
        <v>6441102</v>
      </c>
      <c r="J1382" s="3"/>
      <c r="K1382" s="3"/>
      <c r="L1382" s="94" t="s">
        <v>2393</v>
      </c>
      <c r="M1382" s="4">
        <v>2.0</v>
      </c>
      <c r="N1382" s="3"/>
      <c r="O1382" s="93"/>
      <c r="P1382" s="3"/>
      <c r="Q1382" s="3"/>
      <c r="R1382" s="3"/>
      <c r="S1382" s="3"/>
      <c r="T1382" s="3"/>
      <c r="U1382" s="6">
        <v>1.0</v>
      </c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97"/>
      <c r="BO1382" s="3"/>
      <c r="BP1382" s="3"/>
      <c r="BQ1382" s="10"/>
    </row>
    <row r="1383">
      <c r="A1383" s="1">
        <v>5.0</v>
      </c>
      <c r="B1383" s="2" t="s">
        <v>2386</v>
      </c>
      <c r="C1383" s="2" t="s">
        <v>119</v>
      </c>
      <c r="D1383" s="2" t="s">
        <v>76</v>
      </c>
      <c r="E1383" s="93"/>
      <c r="F1383" s="93"/>
      <c r="G1383" s="93"/>
      <c r="H1383" s="93"/>
      <c r="I1383" s="3" t="str">
        <f t="shared" si="16"/>
        <v>644110201</v>
      </c>
      <c r="J1383" s="3"/>
      <c r="K1383" s="3"/>
      <c r="L1383" s="94" t="s">
        <v>2390</v>
      </c>
      <c r="M1383" s="4">
        <v>2.0</v>
      </c>
      <c r="N1383" s="3"/>
      <c r="O1383" s="93"/>
      <c r="P1383" s="3"/>
      <c r="Q1383" s="3"/>
      <c r="R1383" s="3"/>
      <c r="S1383" s="3"/>
      <c r="T1383" s="3"/>
      <c r="U1383" s="6">
        <v>1.0</v>
      </c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97"/>
      <c r="BO1383" s="3"/>
      <c r="BP1383" s="3"/>
      <c r="BQ1383" s="10"/>
    </row>
    <row r="1384">
      <c r="A1384" s="1">
        <v>5.0</v>
      </c>
      <c r="B1384" s="2" t="s">
        <v>2386</v>
      </c>
      <c r="C1384" s="2" t="s">
        <v>119</v>
      </c>
      <c r="D1384" s="2" t="s">
        <v>119</v>
      </c>
      <c r="E1384" s="93"/>
      <c r="F1384" s="93"/>
      <c r="G1384" s="93"/>
      <c r="H1384" s="93"/>
      <c r="I1384" s="3" t="str">
        <f t="shared" si="16"/>
        <v>644110202</v>
      </c>
      <c r="J1384" s="3"/>
      <c r="K1384" s="3"/>
      <c r="L1384" s="94" t="s">
        <v>2391</v>
      </c>
      <c r="M1384" s="4">
        <v>2.0</v>
      </c>
      <c r="N1384" s="3"/>
      <c r="O1384" s="93"/>
      <c r="P1384" s="3"/>
      <c r="Q1384" s="3"/>
      <c r="R1384" s="3"/>
      <c r="S1384" s="3"/>
      <c r="T1384" s="3"/>
      <c r="U1384" s="6">
        <v>1.0</v>
      </c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97"/>
      <c r="BO1384" s="3"/>
      <c r="BP1384" s="3"/>
      <c r="BQ1384" s="10"/>
    </row>
    <row r="1385">
      <c r="A1385" s="1">
        <v>5.0</v>
      </c>
      <c r="B1385" s="2" t="s">
        <v>2386</v>
      </c>
      <c r="C1385" s="2" t="s">
        <v>119</v>
      </c>
      <c r="D1385" s="2" t="s">
        <v>124</v>
      </c>
      <c r="E1385" s="93"/>
      <c r="F1385" s="93"/>
      <c r="G1385" s="93"/>
      <c r="H1385" s="93"/>
      <c r="I1385" s="3" t="str">
        <f t="shared" si="16"/>
        <v>644110203</v>
      </c>
      <c r="J1385" s="3"/>
      <c r="K1385" s="3"/>
      <c r="L1385" s="94" t="s">
        <v>2394</v>
      </c>
      <c r="M1385" s="4">
        <v>2.0</v>
      </c>
      <c r="N1385" s="3"/>
      <c r="O1385" s="93"/>
      <c r="P1385" s="3"/>
      <c r="Q1385" s="3"/>
      <c r="R1385" s="3"/>
      <c r="S1385" s="3"/>
      <c r="T1385" s="3"/>
      <c r="U1385" s="6">
        <v>1.0</v>
      </c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97"/>
      <c r="BO1385" s="3"/>
      <c r="BP1385" s="3"/>
      <c r="BQ1385" s="10"/>
    </row>
    <row r="1386">
      <c r="A1386" s="1">
        <v>5.0</v>
      </c>
      <c r="B1386" s="2" t="s">
        <v>2386</v>
      </c>
      <c r="C1386" s="2" t="s">
        <v>119</v>
      </c>
      <c r="D1386" s="2" t="s">
        <v>127</v>
      </c>
      <c r="E1386" s="93"/>
      <c r="F1386" s="93"/>
      <c r="G1386" s="93"/>
      <c r="H1386" s="93"/>
      <c r="I1386" s="3" t="str">
        <f t="shared" si="16"/>
        <v>644110204</v>
      </c>
      <c r="J1386" s="3"/>
      <c r="K1386" s="3"/>
      <c r="L1386" s="94" t="s">
        <v>2395</v>
      </c>
      <c r="M1386" s="4">
        <v>2.0</v>
      </c>
      <c r="N1386" s="3"/>
      <c r="O1386" s="93"/>
      <c r="P1386" s="3"/>
      <c r="Q1386" s="3"/>
      <c r="R1386" s="3"/>
      <c r="S1386" s="3"/>
      <c r="T1386" s="3"/>
      <c r="U1386" s="6">
        <v>1.0</v>
      </c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97"/>
      <c r="BO1386" s="3"/>
      <c r="BP1386" s="3"/>
      <c r="BQ1386" s="10"/>
    </row>
    <row r="1387">
      <c r="A1387" s="1">
        <v>4.0</v>
      </c>
      <c r="B1387" s="2" t="s">
        <v>2386</v>
      </c>
      <c r="C1387" s="2" t="s">
        <v>124</v>
      </c>
      <c r="D1387" s="93"/>
      <c r="E1387" s="93"/>
      <c r="F1387" s="93"/>
      <c r="G1387" s="93"/>
      <c r="H1387" s="93"/>
      <c r="I1387" s="3" t="str">
        <f t="shared" si="16"/>
        <v>6441103</v>
      </c>
      <c r="J1387" s="3"/>
      <c r="K1387" s="3"/>
      <c r="L1387" s="94" t="s">
        <v>2396</v>
      </c>
      <c r="M1387" s="4">
        <v>2.0</v>
      </c>
      <c r="N1387" s="3"/>
      <c r="O1387" s="93"/>
      <c r="P1387" s="3"/>
      <c r="Q1387" s="3"/>
      <c r="R1387" s="3"/>
      <c r="S1387" s="3"/>
      <c r="T1387" s="3"/>
      <c r="U1387" s="6">
        <v>1.0</v>
      </c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97"/>
      <c r="BO1387" s="3"/>
      <c r="BP1387" s="3"/>
      <c r="BQ1387" s="10"/>
    </row>
    <row r="1388">
      <c r="A1388" s="1">
        <v>4.0</v>
      </c>
      <c r="B1388" s="2" t="s">
        <v>2386</v>
      </c>
      <c r="C1388" s="2" t="s">
        <v>127</v>
      </c>
      <c r="D1388" s="93"/>
      <c r="E1388" s="93"/>
      <c r="F1388" s="93"/>
      <c r="G1388" s="93"/>
      <c r="H1388" s="93"/>
      <c r="I1388" s="3" t="str">
        <f t="shared" si="16"/>
        <v>6441104</v>
      </c>
      <c r="J1388" s="3"/>
      <c r="K1388" s="3"/>
      <c r="L1388" s="164" t="s">
        <v>2397</v>
      </c>
      <c r="M1388" s="4">
        <v>2.0</v>
      </c>
      <c r="N1388" s="3"/>
      <c r="O1388" s="93"/>
      <c r="P1388" s="3"/>
      <c r="Q1388" s="3"/>
      <c r="R1388" s="3"/>
      <c r="S1388" s="3"/>
      <c r="T1388" s="3"/>
      <c r="U1388" s="6">
        <v>1.0</v>
      </c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97"/>
      <c r="BO1388" s="3"/>
      <c r="BP1388" s="3"/>
      <c r="BQ1388" s="10"/>
    </row>
    <row r="1389">
      <c r="A1389" s="1">
        <v>5.0</v>
      </c>
      <c r="B1389" s="2" t="s">
        <v>2386</v>
      </c>
      <c r="C1389" s="2" t="s">
        <v>127</v>
      </c>
      <c r="D1389" s="2" t="s">
        <v>76</v>
      </c>
      <c r="E1389" s="93"/>
      <c r="F1389" s="93"/>
      <c r="G1389" s="93"/>
      <c r="H1389" s="93"/>
      <c r="I1389" s="3" t="str">
        <f t="shared" si="16"/>
        <v>644110401</v>
      </c>
      <c r="J1389" s="3"/>
      <c r="K1389" s="3"/>
      <c r="L1389" s="164" t="s">
        <v>2398</v>
      </c>
      <c r="M1389" s="4">
        <v>2.0</v>
      </c>
      <c r="N1389" s="3"/>
      <c r="O1389" s="93"/>
      <c r="P1389" s="3"/>
      <c r="Q1389" s="3"/>
      <c r="R1389" s="3"/>
      <c r="S1389" s="3"/>
      <c r="T1389" s="3"/>
      <c r="U1389" s="6">
        <v>1.0</v>
      </c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97"/>
      <c r="BO1389" s="3"/>
      <c r="BP1389" s="3"/>
      <c r="BQ1389" s="10"/>
    </row>
    <row r="1390">
      <c r="A1390" s="1">
        <v>6.0</v>
      </c>
      <c r="B1390" s="2" t="s">
        <v>2386</v>
      </c>
      <c r="C1390" s="2" t="s">
        <v>127</v>
      </c>
      <c r="D1390" s="2" t="s">
        <v>76</v>
      </c>
      <c r="E1390" s="2" t="s">
        <v>76</v>
      </c>
      <c r="F1390" s="93"/>
      <c r="G1390" s="93"/>
      <c r="H1390" s="93"/>
      <c r="I1390" s="3" t="str">
        <f t="shared" si="16"/>
        <v>64411040101</v>
      </c>
      <c r="J1390" s="3"/>
      <c r="K1390" s="3"/>
      <c r="L1390" s="164" t="s">
        <v>2394</v>
      </c>
      <c r="M1390" s="4">
        <v>2.0</v>
      </c>
      <c r="N1390" s="3"/>
      <c r="O1390" s="93"/>
      <c r="P1390" s="3"/>
      <c r="Q1390" s="3"/>
      <c r="R1390" s="3"/>
      <c r="S1390" s="3"/>
      <c r="T1390" s="3"/>
      <c r="U1390" s="6">
        <v>1.0</v>
      </c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97"/>
      <c r="BO1390" s="3"/>
      <c r="BP1390" s="3"/>
      <c r="BQ1390" s="10"/>
    </row>
    <row r="1391">
      <c r="A1391" s="1">
        <v>6.0</v>
      </c>
      <c r="B1391" s="2" t="s">
        <v>2386</v>
      </c>
      <c r="C1391" s="2" t="s">
        <v>127</v>
      </c>
      <c r="D1391" s="2" t="s">
        <v>76</v>
      </c>
      <c r="E1391" s="2" t="s">
        <v>119</v>
      </c>
      <c r="F1391" s="93"/>
      <c r="G1391" s="93"/>
      <c r="H1391" s="93"/>
      <c r="I1391" s="3" t="str">
        <f t="shared" si="16"/>
        <v>64411040102</v>
      </c>
      <c r="J1391" s="3"/>
      <c r="K1391" s="3"/>
      <c r="L1391" s="164" t="s">
        <v>2399</v>
      </c>
      <c r="M1391" s="4">
        <v>2.0</v>
      </c>
      <c r="N1391" s="3"/>
      <c r="O1391" s="93"/>
      <c r="P1391" s="3"/>
      <c r="Q1391" s="3"/>
      <c r="R1391" s="3"/>
      <c r="S1391" s="3"/>
      <c r="T1391" s="3"/>
      <c r="U1391" s="6">
        <v>1.0</v>
      </c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97"/>
      <c r="BO1391" s="3"/>
      <c r="BP1391" s="3"/>
      <c r="BQ1391" s="10"/>
    </row>
    <row r="1392">
      <c r="A1392" s="1">
        <v>5.0</v>
      </c>
      <c r="B1392" s="2" t="s">
        <v>2386</v>
      </c>
      <c r="C1392" s="2" t="s">
        <v>127</v>
      </c>
      <c r="D1392" s="2" t="s">
        <v>119</v>
      </c>
      <c r="E1392" s="93"/>
      <c r="F1392" s="93"/>
      <c r="G1392" s="93"/>
      <c r="H1392" s="93"/>
      <c r="I1392" s="3" t="str">
        <f t="shared" si="16"/>
        <v>644110402</v>
      </c>
      <c r="J1392" s="3"/>
      <c r="K1392" s="3"/>
      <c r="L1392" s="164" t="s">
        <v>2390</v>
      </c>
      <c r="M1392" s="4">
        <v>2.0</v>
      </c>
      <c r="N1392" s="3"/>
      <c r="O1392" s="93"/>
      <c r="P1392" s="3"/>
      <c r="Q1392" s="3"/>
      <c r="R1392" s="3"/>
      <c r="S1392" s="3"/>
      <c r="T1392" s="3"/>
      <c r="U1392" s="6">
        <v>1.0</v>
      </c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97"/>
      <c r="BO1392" s="3"/>
      <c r="BP1392" s="3"/>
      <c r="BQ1392" s="10"/>
    </row>
    <row r="1393">
      <c r="A1393" s="1">
        <v>5.0</v>
      </c>
      <c r="B1393" s="2" t="s">
        <v>2386</v>
      </c>
      <c r="C1393" s="2" t="s">
        <v>127</v>
      </c>
      <c r="D1393" s="2" t="s">
        <v>124</v>
      </c>
      <c r="E1393" s="93"/>
      <c r="F1393" s="93"/>
      <c r="G1393" s="93"/>
      <c r="H1393" s="93"/>
      <c r="I1393" s="3" t="str">
        <f t="shared" si="16"/>
        <v>644110403</v>
      </c>
      <c r="J1393" s="3"/>
      <c r="K1393" s="3"/>
      <c r="L1393" s="164" t="s">
        <v>2391</v>
      </c>
      <c r="M1393" s="4">
        <v>2.0</v>
      </c>
      <c r="N1393" s="3"/>
      <c r="O1393" s="93"/>
      <c r="P1393" s="3"/>
      <c r="Q1393" s="3"/>
      <c r="R1393" s="3"/>
      <c r="S1393" s="3"/>
      <c r="T1393" s="3"/>
      <c r="U1393" s="6">
        <v>1.0</v>
      </c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97"/>
      <c r="BO1393" s="3"/>
      <c r="BP1393" s="3"/>
      <c r="BQ1393" s="10"/>
    </row>
    <row r="1394">
      <c r="A1394" s="1">
        <v>6.0</v>
      </c>
      <c r="B1394" s="2" t="s">
        <v>2386</v>
      </c>
      <c r="C1394" s="2" t="s">
        <v>127</v>
      </c>
      <c r="D1394" s="2" t="s">
        <v>124</v>
      </c>
      <c r="E1394" s="2" t="s">
        <v>76</v>
      </c>
      <c r="F1394" s="93"/>
      <c r="G1394" s="93"/>
      <c r="H1394" s="93"/>
      <c r="I1394" s="3" t="str">
        <f t="shared" si="16"/>
        <v>64411040301</v>
      </c>
      <c r="J1394" s="3"/>
      <c r="K1394" s="3"/>
      <c r="L1394" s="164" t="s">
        <v>2394</v>
      </c>
      <c r="M1394" s="4">
        <v>2.0</v>
      </c>
      <c r="N1394" s="3"/>
      <c r="O1394" s="93"/>
      <c r="P1394" s="3"/>
      <c r="Q1394" s="3"/>
      <c r="R1394" s="3"/>
      <c r="S1394" s="3"/>
      <c r="T1394" s="3"/>
      <c r="U1394" s="6">
        <v>1.0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97"/>
      <c r="BO1394" s="3"/>
      <c r="BP1394" s="3"/>
      <c r="BQ1394" s="10"/>
    </row>
    <row r="1395">
      <c r="A1395" s="1">
        <v>5.0</v>
      </c>
      <c r="B1395" s="2" t="s">
        <v>2386</v>
      </c>
      <c r="C1395" s="2" t="s">
        <v>127</v>
      </c>
      <c r="D1395" s="2" t="s">
        <v>127</v>
      </c>
      <c r="E1395" s="93"/>
      <c r="F1395" s="93"/>
      <c r="G1395" s="93"/>
      <c r="H1395" s="93"/>
      <c r="I1395" s="3" t="str">
        <f t="shared" si="16"/>
        <v>644110404</v>
      </c>
      <c r="J1395" s="3"/>
      <c r="K1395" s="3"/>
      <c r="L1395" s="164" t="s">
        <v>2395</v>
      </c>
      <c r="M1395" s="4">
        <v>2.0</v>
      </c>
      <c r="N1395" s="3"/>
      <c r="O1395" s="93"/>
      <c r="P1395" s="3"/>
      <c r="Q1395" s="3"/>
      <c r="R1395" s="3"/>
      <c r="S1395" s="3"/>
      <c r="T1395" s="3"/>
      <c r="U1395" s="6">
        <v>1.0</v>
      </c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97"/>
      <c r="BO1395" s="3"/>
      <c r="BP1395" s="3"/>
      <c r="BQ1395" s="10"/>
    </row>
    <row r="1396">
      <c r="A1396" s="1">
        <v>5.0</v>
      </c>
      <c r="B1396" s="2" t="s">
        <v>2386</v>
      </c>
      <c r="C1396" s="2" t="s">
        <v>127</v>
      </c>
      <c r="D1396" s="2" t="s">
        <v>91</v>
      </c>
      <c r="E1396" s="93"/>
      <c r="F1396" s="93"/>
      <c r="G1396" s="93"/>
      <c r="H1396" s="93"/>
      <c r="I1396" s="3" t="str">
        <f t="shared" si="16"/>
        <v>644110405</v>
      </c>
      <c r="J1396" s="3"/>
      <c r="K1396" s="3"/>
      <c r="L1396" s="164" t="s">
        <v>2400</v>
      </c>
      <c r="M1396" s="4">
        <v>2.0</v>
      </c>
      <c r="N1396" s="3"/>
      <c r="O1396" s="93"/>
      <c r="P1396" s="3"/>
      <c r="Q1396" s="3"/>
      <c r="R1396" s="3"/>
      <c r="S1396" s="3"/>
      <c r="T1396" s="3"/>
      <c r="U1396" s="6">
        <v>1.0</v>
      </c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97"/>
      <c r="BO1396" s="3"/>
      <c r="BP1396" s="3"/>
      <c r="BQ1396" s="10"/>
    </row>
    <row r="1397">
      <c r="A1397" s="1">
        <v>4.0</v>
      </c>
      <c r="B1397" s="2" t="s">
        <v>2386</v>
      </c>
      <c r="C1397" s="2" t="s">
        <v>91</v>
      </c>
      <c r="D1397" s="93"/>
      <c r="E1397" s="93"/>
      <c r="F1397" s="93"/>
      <c r="G1397" s="93"/>
      <c r="H1397" s="93"/>
      <c r="I1397" s="3" t="str">
        <f t="shared" si="16"/>
        <v>6441105</v>
      </c>
      <c r="J1397" s="3"/>
      <c r="K1397" s="3"/>
      <c r="L1397" s="164" t="s">
        <v>2401</v>
      </c>
      <c r="M1397" s="4">
        <v>2.0</v>
      </c>
      <c r="N1397" s="3"/>
      <c r="O1397" s="93"/>
      <c r="P1397" s="3"/>
      <c r="Q1397" s="3"/>
      <c r="R1397" s="3"/>
      <c r="S1397" s="3"/>
      <c r="T1397" s="3"/>
      <c r="U1397" s="6">
        <v>17.0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97"/>
      <c r="BO1397" s="3"/>
      <c r="BP1397" s="3"/>
      <c r="BQ1397" s="10"/>
    </row>
    <row r="1398">
      <c r="A1398" s="1">
        <v>5.0</v>
      </c>
      <c r="B1398" s="2" t="s">
        <v>2386</v>
      </c>
      <c r="C1398" s="2" t="s">
        <v>91</v>
      </c>
      <c r="D1398" s="2" t="s">
        <v>76</v>
      </c>
      <c r="E1398" s="93"/>
      <c r="F1398" s="93"/>
      <c r="G1398" s="93"/>
      <c r="H1398" s="93"/>
      <c r="I1398" s="3" t="str">
        <f t="shared" si="16"/>
        <v>644110501</v>
      </c>
      <c r="J1398" s="3"/>
      <c r="K1398" s="3"/>
      <c r="L1398" s="164" t="s">
        <v>2398</v>
      </c>
      <c r="M1398" s="4">
        <v>2.0</v>
      </c>
      <c r="N1398" s="3"/>
      <c r="O1398" s="93"/>
      <c r="P1398" s="3"/>
      <c r="Q1398" s="3"/>
      <c r="R1398" s="3"/>
      <c r="S1398" s="3"/>
      <c r="T1398" s="3"/>
      <c r="U1398" s="6">
        <v>1.0</v>
      </c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97"/>
      <c r="BO1398" s="3"/>
      <c r="BP1398" s="3"/>
      <c r="BQ1398" s="10"/>
    </row>
    <row r="1399">
      <c r="A1399" s="1">
        <v>6.0</v>
      </c>
      <c r="B1399" s="2" t="s">
        <v>2386</v>
      </c>
      <c r="C1399" s="2" t="s">
        <v>91</v>
      </c>
      <c r="D1399" s="2" t="s">
        <v>76</v>
      </c>
      <c r="E1399" s="2" t="s">
        <v>76</v>
      </c>
      <c r="F1399" s="93"/>
      <c r="G1399" s="93"/>
      <c r="H1399" s="93"/>
      <c r="I1399" s="3" t="str">
        <f t="shared" si="16"/>
        <v>64411050101</v>
      </c>
      <c r="J1399" s="3"/>
      <c r="K1399" s="3"/>
      <c r="L1399" s="164" t="s">
        <v>2394</v>
      </c>
      <c r="M1399" s="4">
        <v>2.0</v>
      </c>
      <c r="N1399" s="3"/>
      <c r="O1399" s="93"/>
      <c r="P1399" s="3"/>
      <c r="Q1399" s="3"/>
      <c r="R1399" s="3"/>
      <c r="S1399" s="3"/>
      <c r="T1399" s="3"/>
      <c r="U1399" s="6">
        <v>1.0</v>
      </c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97"/>
      <c r="BO1399" s="3"/>
      <c r="BP1399" s="3"/>
      <c r="BQ1399" s="10"/>
    </row>
    <row r="1400">
      <c r="A1400" s="1">
        <v>6.0</v>
      </c>
      <c r="B1400" s="2" t="s">
        <v>2386</v>
      </c>
      <c r="C1400" s="2" t="s">
        <v>91</v>
      </c>
      <c r="D1400" s="2" t="s">
        <v>76</v>
      </c>
      <c r="E1400" s="2" t="s">
        <v>119</v>
      </c>
      <c r="F1400" s="93"/>
      <c r="G1400" s="93"/>
      <c r="H1400" s="93"/>
      <c r="I1400" s="3" t="str">
        <f t="shared" si="16"/>
        <v>64411050102</v>
      </c>
      <c r="J1400" s="3"/>
      <c r="K1400" s="3"/>
      <c r="L1400" s="164" t="s">
        <v>2399</v>
      </c>
      <c r="M1400" s="4">
        <v>2.0</v>
      </c>
      <c r="N1400" s="3"/>
      <c r="O1400" s="93"/>
      <c r="P1400" s="3"/>
      <c r="Q1400" s="3"/>
      <c r="R1400" s="3"/>
      <c r="S1400" s="3"/>
      <c r="T1400" s="3"/>
      <c r="U1400" s="6">
        <v>1.0</v>
      </c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97"/>
      <c r="BO1400" s="3"/>
      <c r="BP1400" s="3"/>
      <c r="BQ1400" s="10"/>
    </row>
    <row r="1401">
      <c r="A1401" s="1">
        <v>5.0</v>
      </c>
      <c r="B1401" s="2" t="s">
        <v>2386</v>
      </c>
      <c r="C1401" s="2" t="s">
        <v>91</v>
      </c>
      <c r="D1401" s="2" t="s">
        <v>119</v>
      </c>
      <c r="E1401" s="93"/>
      <c r="F1401" s="93"/>
      <c r="G1401" s="93"/>
      <c r="H1401" s="93"/>
      <c r="I1401" s="3" t="str">
        <f t="shared" si="16"/>
        <v>644110502</v>
      </c>
      <c r="J1401" s="3"/>
      <c r="K1401" s="3"/>
      <c r="L1401" s="164" t="s">
        <v>2390</v>
      </c>
      <c r="M1401" s="4">
        <v>2.0</v>
      </c>
      <c r="N1401" s="3"/>
      <c r="O1401" s="93"/>
      <c r="P1401" s="3"/>
      <c r="Q1401" s="3"/>
      <c r="R1401" s="3"/>
      <c r="S1401" s="3"/>
      <c r="T1401" s="3"/>
      <c r="U1401" s="6">
        <v>1.0</v>
      </c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97"/>
      <c r="BO1401" s="3"/>
      <c r="BP1401" s="3"/>
      <c r="BQ1401" s="10"/>
    </row>
    <row r="1402">
      <c r="A1402" s="1">
        <v>5.0</v>
      </c>
      <c r="B1402" s="2" t="s">
        <v>2386</v>
      </c>
      <c r="C1402" s="2" t="s">
        <v>91</v>
      </c>
      <c r="D1402" s="2" t="s">
        <v>124</v>
      </c>
      <c r="E1402" s="93"/>
      <c r="F1402" s="93"/>
      <c r="G1402" s="93"/>
      <c r="H1402" s="93"/>
      <c r="I1402" s="3" t="str">
        <f t="shared" si="16"/>
        <v>644110503</v>
      </c>
      <c r="J1402" s="3"/>
      <c r="K1402" s="3"/>
      <c r="L1402" s="164" t="s">
        <v>2391</v>
      </c>
      <c r="M1402" s="4">
        <v>2.0</v>
      </c>
      <c r="N1402" s="3"/>
      <c r="O1402" s="93"/>
      <c r="P1402" s="3"/>
      <c r="Q1402" s="3"/>
      <c r="R1402" s="3"/>
      <c r="S1402" s="3"/>
      <c r="T1402" s="3"/>
      <c r="U1402" s="6">
        <v>1.0</v>
      </c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97"/>
      <c r="BO1402" s="3"/>
      <c r="BP1402" s="3"/>
      <c r="BQ1402" s="10"/>
    </row>
    <row r="1403">
      <c r="A1403" s="1">
        <v>6.0</v>
      </c>
      <c r="B1403" s="2" t="s">
        <v>2386</v>
      </c>
      <c r="C1403" s="2" t="s">
        <v>91</v>
      </c>
      <c r="D1403" s="2" t="s">
        <v>124</v>
      </c>
      <c r="E1403" s="2" t="s">
        <v>76</v>
      </c>
      <c r="F1403" s="93"/>
      <c r="G1403" s="93"/>
      <c r="H1403" s="93"/>
      <c r="I1403" s="3" t="str">
        <f t="shared" si="16"/>
        <v>64411050301</v>
      </c>
      <c r="J1403" s="3"/>
      <c r="K1403" s="3"/>
      <c r="L1403" s="164" t="s">
        <v>2394</v>
      </c>
      <c r="M1403" s="4">
        <v>2.0</v>
      </c>
      <c r="N1403" s="3"/>
      <c r="O1403" s="93"/>
      <c r="P1403" s="3"/>
      <c r="Q1403" s="3"/>
      <c r="R1403" s="3"/>
      <c r="S1403" s="3"/>
      <c r="T1403" s="3"/>
      <c r="U1403" s="6">
        <v>1.0</v>
      </c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97"/>
      <c r="BO1403" s="3"/>
      <c r="BP1403" s="3"/>
      <c r="BQ1403" s="10"/>
    </row>
    <row r="1404">
      <c r="A1404" s="1">
        <v>5.0</v>
      </c>
      <c r="B1404" s="2" t="s">
        <v>2386</v>
      </c>
      <c r="C1404" s="2" t="s">
        <v>91</v>
      </c>
      <c r="D1404" s="2" t="s">
        <v>127</v>
      </c>
      <c r="E1404" s="93"/>
      <c r="F1404" s="93"/>
      <c r="G1404" s="93"/>
      <c r="H1404" s="93"/>
      <c r="I1404" s="3" t="str">
        <f t="shared" si="16"/>
        <v>644110504</v>
      </c>
      <c r="J1404" s="3"/>
      <c r="K1404" s="3"/>
      <c r="L1404" s="164" t="s">
        <v>2395</v>
      </c>
      <c r="M1404" s="4">
        <v>2.0</v>
      </c>
      <c r="N1404" s="3"/>
      <c r="O1404" s="93"/>
      <c r="P1404" s="3"/>
      <c r="Q1404" s="3"/>
      <c r="R1404" s="3"/>
      <c r="S1404" s="3"/>
      <c r="T1404" s="3"/>
      <c r="U1404" s="6">
        <v>1.0</v>
      </c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97"/>
      <c r="BO1404" s="3"/>
      <c r="BP1404" s="3"/>
      <c r="BQ1404" s="10"/>
    </row>
    <row r="1405">
      <c r="A1405" s="1">
        <v>5.0</v>
      </c>
      <c r="B1405" s="2" t="s">
        <v>2386</v>
      </c>
      <c r="C1405" s="2" t="s">
        <v>91</v>
      </c>
      <c r="D1405" s="2" t="s">
        <v>91</v>
      </c>
      <c r="E1405" s="93"/>
      <c r="F1405" s="93"/>
      <c r="G1405" s="93"/>
      <c r="H1405" s="93"/>
      <c r="I1405" s="3" t="str">
        <f t="shared" si="16"/>
        <v>644110505</v>
      </c>
      <c r="J1405" s="3"/>
      <c r="K1405" s="3"/>
      <c r="L1405" s="164" t="s">
        <v>2402</v>
      </c>
      <c r="M1405" s="4">
        <v>2.0</v>
      </c>
      <c r="N1405" s="3"/>
      <c r="O1405" s="93"/>
      <c r="P1405" s="3"/>
      <c r="Q1405" s="3"/>
      <c r="R1405" s="3"/>
      <c r="S1405" s="3"/>
      <c r="T1405" s="3"/>
      <c r="U1405" s="6">
        <v>1.0</v>
      </c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97"/>
      <c r="BO1405" s="3"/>
      <c r="BP1405" s="3"/>
      <c r="BQ1405" s="10"/>
    </row>
    <row r="1406">
      <c r="A1406" s="1">
        <v>4.0</v>
      </c>
      <c r="B1406" s="2" t="s">
        <v>2386</v>
      </c>
      <c r="C1406" s="2" t="s">
        <v>133</v>
      </c>
      <c r="D1406" s="93"/>
      <c r="E1406" s="93"/>
      <c r="F1406" s="93"/>
      <c r="G1406" s="93"/>
      <c r="H1406" s="93"/>
      <c r="I1406" s="3" t="str">
        <f t="shared" si="16"/>
        <v>6441106</v>
      </c>
      <c r="J1406" s="3"/>
      <c r="K1406" s="3"/>
      <c r="L1406" s="164" t="s">
        <v>2403</v>
      </c>
      <c r="M1406" s="4">
        <v>2.0</v>
      </c>
      <c r="N1406" s="3"/>
      <c r="O1406" s="93"/>
      <c r="P1406" s="3"/>
      <c r="Q1406" s="3"/>
      <c r="R1406" s="3"/>
      <c r="S1406" s="3"/>
      <c r="T1406" s="3"/>
      <c r="U1406" s="6">
        <v>17.0</v>
      </c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97"/>
      <c r="BO1406" s="3"/>
      <c r="BP1406" s="3"/>
      <c r="BQ1406" s="10"/>
    </row>
    <row r="1407">
      <c r="A1407" s="28">
        <v>1.0</v>
      </c>
      <c r="B1407" s="29">
        <v>64500.0</v>
      </c>
      <c r="C1407" s="30"/>
      <c r="D1407" s="30"/>
      <c r="E1407" s="30"/>
      <c r="F1407" s="30"/>
      <c r="G1407" s="30"/>
      <c r="H1407" s="30"/>
      <c r="I1407" s="31" t="str">
        <f t="shared" si="16"/>
        <v>64500</v>
      </c>
      <c r="J1407" s="74"/>
      <c r="K1407" s="74"/>
      <c r="L1407" s="31" t="s">
        <v>2404</v>
      </c>
      <c r="M1407" s="75">
        <v>1.0</v>
      </c>
      <c r="N1407" s="32"/>
      <c r="O1407" s="30"/>
      <c r="P1407" s="32"/>
      <c r="Q1407" s="32"/>
      <c r="R1407" s="32"/>
      <c r="S1407" s="32"/>
      <c r="T1407" s="74"/>
      <c r="U1407" s="34">
        <v>1.0</v>
      </c>
      <c r="V1407" s="74"/>
      <c r="W1407" s="34" t="s">
        <v>70</v>
      </c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  <c r="AH1407" s="74"/>
      <c r="AI1407" s="74"/>
      <c r="AJ1407" s="74"/>
      <c r="AK1407" s="74"/>
      <c r="AL1407" s="74"/>
      <c r="AM1407" s="74"/>
      <c r="AN1407" s="74"/>
      <c r="AO1407" s="74"/>
      <c r="AP1407" s="32"/>
      <c r="AQ1407" s="32"/>
      <c r="AR1407" s="32"/>
      <c r="AS1407" s="32"/>
      <c r="AT1407" s="32"/>
      <c r="AU1407" s="32"/>
      <c r="AV1407" s="74"/>
      <c r="AW1407" s="74"/>
      <c r="AX1407" s="74"/>
      <c r="AY1407" s="74"/>
      <c r="AZ1407" s="74"/>
      <c r="BA1407" s="74"/>
      <c r="BB1407" s="74"/>
      <c r="BC1407" s="74"/>
      <c r="BD1407" s="74"/>
      <c r="BE1407" s="74"/>
      <c r="BF1407" s="74"/>
      <c r="BG1407" s="74"/>
      <c r="BH1407" s="32"/>
      <c r="BI1407" s="32"/>
      <c r="BJ1407" s="32"/>
      <c r="BK1407" s="32"/>
      <c r="BL1407" s="32"/>
      <c r="BM1407" s="74"/>
      <c r="BN1407" s="76"/>
      <c r="BO1407" s="74"/>
      <c r="BP1407" s="32"/>
      <c r="BQ1407" s="10"/>
    </row>
    <row r="1408">
      <c r="A1408" s="36">
        <v>2.0</v>
      </c>
      <c r="B1408" s="37">
        <v>64510.0</v>
      </c>
      <c r="C1408" s="38"/>
      <c r="D1408" s="38"/>
      <c r="E1408" s="38"/>
      <c r="F1408" s="38"/>
      <c r="G1408" s="38"/>
      <c r="H1408" s="38"/>
      <c r="I1408" s="39" t="str">
        <f t="shared" si="16"/>
        <v>64510</v>
      </c>
      <c r="J1408" s="40"/>
      <c r="K1408" s="40"/>
      <c r="L1408" s="39" t="s">
        <v>2404</v>
      </c>
      <c r="M1408" s="41">
        <v>1.0</v>
      </c>
      <c r="N1408" s="42"/>
      <c r="O1408" s="38"/>
      <c r="P1408" s="42"/>
      <c r="Q1408" s="42"/>
      <c r="R1408" s="42"/>
      <c r="S1408" s="42"/>
      <c r="T1408" s="40"/>
      <c r="U1408" s="43">
        <v>1.0</v>
      </c>
      <c r="V1408" s="40"/>
      <c r="W1408" s="43" t="s">
        <v>70</v>
      </c>
      <c r="X1408" s="40"/>
      <c r="Y1408" s="40"/>
      <c r="Z1408" s="40"/>
      <c r="AA1408" s="40"/>
      <c r="AB1408" s="40"/>
      <c r="AC1408" s="40"/>
      <c r="AD1408" s="40"/>
      <c r="AE1408" s="40"/>
      <c r="AF1408" s="40"/>
      <c r="AG1408" s="40"/>
      <c r="AH1408" s="40"/>
      <c r="AI1408" s="40"/>
      <c r="AJ1408" s="40"/>
      <c r="AK1408" s="40"/>
      <c r="AL1408" s="40"/>
      <c r="AM1408" s="40"/>
      <c r="AN1408" s="40"/>
      <c r="AO1408" s="40"/>
      <c r="AP1408" s="42"/>
      <c r="AQ1408" s="42"/>
      <c r="AR1408" s="42"/>
      <c r="AS1408" s="42"/>
      <c r="AT1408" s="42"/>
      <c r="AU1408" s="42"/>
      <c r="AV1408" s="40"/>
      <c r="AW1408" s="40"/>
      <c r="AX1408" s="40"/>
      <c r="AY1408" s="40"/>
      <c r="AZ1408" s="40"/>
      <c r="BA1408" s="40"/>
      <c r="BB1408" s="40"/>
      <c r="BC1408" s="40"/>
      <c r="BD1408" s="40"/>
      <c r="BE1408" s="40"/>
      <c r="BF1408" s="40"/>
      <c r="BG1408" s="40"/>
      <c r="BH1408" s="42"/>
      <c r="BI1408" s="42"/>
      <c r="BJ1408" s="42"/>
      <c r="BK1408" s="42"/>
      <c r="BL1408" s="42"/>
      <c r="BM1408" s="40"/>
      <c r="BN1408" s="44"/>
      <c r="BO1408" s="40"/>
      <c r="BP1408" s="42"/>
      <c r="BQ1408" s="10"/>
    </row>
    <row r="1409">
      <c r="A1409" s="45">
        <v>3.0</v>
      </c>
      <c r="B1409" s="46">
        <v>64511.0</v>
      </c>
      <c r="C1409" s="47"/>
      <c r="D1409" s="47"/>
      <c r="E1409" s="47"/>
      <c r="F1409" s="47"/>
      <c r="G1409" s="47"/>
      <c r="H1409" s="47"/>
      <c r="I1409" s="48" t="str">
        <f t="shared" si="16"/>
        <v>64511</v>
      </c>
      <c r="J1409" s="49"/>
      <c r="K1409" s="49"/>
      <c r="L1409" s="48" t="s">
        <v>2405</v>
      </c>
      <c r="M1409" s="50">
        <v>1.0</v>
      </c>
      <c r="N1409" s="51"/>
      <c r="O1409" s="47"/>
      <c r="P1409" s="51"/>
      <c r="Q1409" s="51"/>
      <c r="R1409" s="51"/>
      <c r="S1409" s="51"/>
      <c r="T1409" s="49"/>
      <c r="U1409" s="52">
        <v>1.0</v>
      </c>
      <c r="V1409" s="49"/>
      <c r="W1409" s="52" t="s">
        <v>70</v>
      </c>
      <c r="X1409" s="49"/>
      <c r="Y1409" s="49"/>
      <c r="Z1409" s="49"/>
      <c r="AA1409" s="49"/>
      <c r="AB1409" s="49"/>
      <c r="AC1409" s="49"/>
      <c r="AD1409" s="49"/>
      <c r="AE1409" s="49"/>
      <c r="AF1409" s="49"/>
      <c r="AG1409" s="49"/>
      <c r="AH1409" s="49"/>
      <c r="AI1409" s="49"/>
      <c r="AJ1409" s="49"/>
      <c r="AK1409" s="49"/>
      <c r="AL1409" s="49"/>
      <c r="AM1409" s="49"/>
      <c r="AN1409" s="49"/>
      <c r="AO1409" s="49"/>
      <c r="AP1409" s="51"/>
      <c r="AQ1409" s="51"/>
      <c r="AR1409" s="51"/>
      <c r="AS1409" s="51"/>
      <c r="AT1409" s="51"/>
      <c r="AU1409" s="51"/>
      <c r="AV1409" s="49"/>
      <c r="AW1409" s="49"/>
      <c r="AX1409" s="49"/>
      <c r="AY1409" s="49"/>
      <c r="AZ1409" s="49"/>
      <c r="BA1409" s="49"/>
      <c r="BB1409" s="49"/>
      <c r="BC1409" s="49"/>
      <c r="BD1409" s="49"/>
      <c r="BE1409" s="49"/>
      <c r="BF1409" s="49"/>
      <c r="BG1409" s="49"/>
      <c r="BH1409" s="51"/>
      <c r="BI1409" s="51"/>
      <c r="BJ1409" s="51"/>
      <c r="BK1409" s="51"/>
      <c r="BL1409" s="51"/>
      <c r="BM1409" s="49"/>
      <c r="BN1409" s="53"/>
      <c r="BO1409" s="49"/>
      <c r="BP1409" s="51"/>
      <c r="BQ1409" s="10"/>
    </row>
    <row r="1410">
      <c r="A1410" s="1">
        <v>4.0</v>
      </c>
      <c r="B1410" s="2">
        <v>64511.0</v>
      </c>
      <c r="C1410" s="2" t="s">
        <v>76</v>
      </c>
      <c r="D1410" s="93"/>
      <c r="E1410" s="93"/>
      <c r="F1410" s="93"/>
      <c r="G1410" s="93"/>
      <c r="H1410" s="93"/>
      <c r="I1410" s="3" t="str">
        <f t="shared" si="16"/>
        <v>6451101</v>
      </c>
      <c r="J1410" s="3"/>
      <c r="K1410" s="3"/>
      <c r="L1410" s="94" t="s">
        <v>2406</v>
      </c>
      <c r="M1410" s="4">
        <v>2.0</v>
      </c>
      <c r="N1410" s="3"/>
      <c r="O1410" s="93"/>
      <c r="P1410" s="3"/>
      <c r="Q1410" s="3"/>
      <c r="R1410" s="3"/>
      <c r="S1410" s="3"/>
      <c r="T1410" s="3"/>
      <c r="U1410" s="6">
        <v>1.0</v>
      </c>
      <c r="V1410" s="3"/>
      <c r="W1410" s="6" t="s">
        <v>435</v>
      </c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97"/>
      <c r="BO1410" s="3"/>
      <c r="BP1410" s="3"/>
      <c r="BQ1410" s="10"/>
    </row>
    <row r="1411">
      <c r="A1411" s="1">
        <v>5.0</v>
      </c>
      <c r="B1411" s="2">
        <v>64511.0</v>
      </c>
      <c r="C1411" s="2" t="s">
        <v>76</v>
      </c>
      <c r="D1411" s="2" t="s">
        <v>76</v>
      </c>
      <c r="E1411" s="93"/>
      <c r="F1411" s="93"/>
      <c r="G1411" s="93"/>
      <c r="H1411" s="93"/>
      <c r="I1411" s="3" t="str">
        <f t="shared" si="16"/>
        <v>645110101</v>
      </c>
      <c r="J1411" s="3"/>
      <c r="K1411" s="3"/>
      <c r="L1411" s="94" t="s">
        <v>2407</v>
      </c>
      <c r="M1411" s="4">
        <v>2.0</v>
      </c>
      <c r="N1411" s="3"/>
      <c r="O1411" s="93"/>
      <c r="P1411" s="3"/>
      <c r="Q1411" s="3"/>
      <c r="R1411" s="3"/>
      <c r="S1411" s="3"/>
      <c r="T1411" s="3"/>
      <c r="U1411" s="6">
        <v>2.0</v>
      </c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97"/>
      <c r="BO1411" s="3"/>
      <c r="BP1411" s="3"/>
      <c r="BQ1411" s="10"/>
    </row>
    <row r="1412">
      <c r="A1412" s="1">
        <v>5.0</v>
      </c>
      <c r="B1412" s="2">
        <v>64511.0</v>
      </c>
      <c r="C1412" s="2" t="s">
        <v>76</v>
      </c>
      <c r="D1412" s="2" t="s">
        <v>119</v>
      </c>
      <c r="E1412" s="93"/>
      <c r="F1412" s="93"/>
      <c r="G1412" s="93"/>
      <c r="H1412" s="93"/>
      <c r="I1412" s="3" t="str">
        <f t="shared" si="16"/>
        <v>645110102</v>
      </c>
      <c r="J1412" s="3"/>
      <c r="K1412" s="3"/>
      <c r="L1412" s="94" t="s">
        <v>2408</v>
      </c>
      <c r="M1412" s="4">
        <v>2.0</v>
      </c>
      <c r="N1412" s="3"/>
      <c r="O1412" s="93"/>
      <c r="P1412" s="3"/>
      <c r="Q1412" s="3"/>
      <c r="R1412" s="3"/>
      <c r="S1412" s="3"/>
      <c r="T1412" s="3"/>
      <c r="U1412" s="6">
        <v>1.0</v>
      </c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97"/>
      <c r="BO1412" s="3"/>
      <c r="BP1412" s="3"/>
      <c r="BQ1412" s="10"/>
    </row>
    <row r="1413">
      <c r="A1413" s="1">
        <v>4.0</v>
      </c>
      <c r="B1413" s="2">
        <v>64511.0</v>
      </c>
      <c r="C1413" s="2" t="s">
        <v>119</v>
      </c>
      <c r="D1413" s="93"/>
      <c r="E1413" s="93"/>
      <c r="F1413" s="93"/>
      <c r="G1413" s="93"/>
      <c r="H1413" s="93"/>
      <c r="I1413" s="3" t="str">
        <f t="shared" si="16"/>
        <v>6451102</v>
      </c>
      <c r="J1413" s="3"/>
      <c r="K1413" s="3"/>
      <c r="L1413" s="94" t="s">
        <v>2409</v>
      </c>
      <c r="M1413" s="4">
        <v>2.0</v>
      </c>
      <c r="N1413" s="3"/>
      <c r="O1413" s="93"/>
      <c r="P1413" s="3"/>
      <c r="Q1413" s="3"/>
      <c r="R1413" s="3"/>
      <c r="S1413" s="3"/>
      <c r="T1413" s="3"/>
      <c r="U1413" s="6">
        <v>1.0</v>
      </c>
      <c r="V1413" s="3"/>
      <c r="W1413" s="6" t="s">
        <v>435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97"/>
      <c r="BO1413" s="3"/>
      <c r="BP1413" s="3"/>
      <c r="BQ1413" s="10"/>
    </row>
    <row r="1414">
      <c r="A1414" s="1">
        <v>5.0</v>
      </c>
      <c r="B1414" s="2">
        <v>64511.0</v>
      </c>
      <c r="C1414" s="2" t="s">
        <v>119</v>
      </c>
      <c r="D1414" s="2" t="s">
        <v>76</v>
      </c>
      <c r="E1414" s="93"/>
      <c r="F1414" s="93"/>
      <c r="G1414" s="93"/>
      <c r="H1414" s="93"/>
      <c r="I1414" s="3" t="str">
        <f t="shared" si="16"/>
        <v>645110201</v>
      </c>
      <c r="J1414" s="3"/>
      <c r="K1414" s="3"/>
      <c r="L1414" s="94" t="s">
        <v>2362</v>
      </c>
      <c r="M1414" s="4">
        <v>2.0</v>
      </c>
      <c r="N1414" s="3"/>
      <c r="O1414" s="93"/>
      <c r="P1414" s="3"/>
      <c r="Q1414" s="3"/>
      <c r="R1414" s="3"/>
      <c r="S1414" s="3"/>
      <c r="T1414" s="3"/>
      <c r="U1414" s="6">
        <v>1.0</v>
      </c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97"/>
      <c r="BO1414" s="3"/>
      <c r="BP1414" s="3"/>
      <c r="BQ1414" s="10"/>
    </row>
    <row r="1415">
      <c r="A1415" s="20">
        <v>1.0</v>
      </c>
      <c r="B1415" s="21" t="s">
        <v>2410</v>
      </c>
      <c r="C1415" s="22"/>
      <c r="D1415" s="22"/>
      <c r="E1415" s="22"/>
      <c r="F1415" s="22"/>
      <c r="G1415" s="22"/>
      <c r="H1415" s="22"/>
      <c r="I1415" s="23" t="str">
        <f t="shared" si="16"/>
        <v>65000</v>
      </c>
      <c r="J1415" s="24"/>
      <c r="K1415" s="24"/>
      <c r="L1415" s="23" t="s">
        <v>2411</v>
      </c>
      <c r="M1415" s="25">
        <v>1.0</v>
      </c>
      <c r="N1415" s="24"/>
      <c r="O1415" s="22"/>
      <c r="P1415" s="24"/>
      <c r="Q1415" s="24"/>
      <c r="R1415" s="24"/>
      <c r="S1415" s="24"/>
      <c r="T1415" s="24"/>
      <c r="U1415" s="26">
        <v>1.0</v>
      </c>
      <c r="V1415" s="24"/>
      <c r="W1415" s="26" t="s">
        <v>70</v>
      </c>
      <c r="X1415" s="24"/>
      <c r="Y1415" s="24"/>
      <c r="Z1415" s="24"/>
      <c r="AA1415" s="24"/>
      <c r="AB1415" s="24"/>
      <c r="AC1415" s="24"/>
      <c r="AD1415" s="24"/>
      <c r="AE1415" s="24"/>
      <c r="AF1415" s="24"/>
      <c r="AG1415" s="24"/>
      <c r="AH1415" s="24"/>
      <c r="AI1415" s="24"/>
      <c r="AJ1415" s="24"/>
      <c r="AK1415" s="24"/>
      <c r="AL1415" s="24"/>
      <c r="AM1415" s="24"/>
      <c r="AN1415" s="24"/>
      <c r="AO1415" s="24"/>
      <c r="AP1415" s="24"/>
      <c r="AQ1415" s="24"/>
      <c r="AR1415" s="24"/>
      <c r="AS1415" s="24"/>
      <c r="AT1415" s="24"/>
      <c r="AU1415" s="24"/>
      <c r="AV1415" s="24"/>
      <c r="AW1415" s="24"/>
      <c r="AX1415" s="24"/>
      <c r="AY1415" s="24"/>
      <c r="AZ1415" s="24"/>
      <c r="BA1415" s="24"/>
      <c r="BB1415" s="24"/>
      <c r="BC1415" s="24"/>
      <c r="BD1415" s="24"/>
      <c r="BE1415" s="24"/>
      <c r="BF1415" s="24"/>
      <c r="BG1415" s="24"/>
      <c r="BH1415" s="24"/>
      <c r="BI1415" s="24"/>
      <c r="BJ1415" s="24"/>
      <c r="BK1415" s="24"/>
      <c r="BL1415" s="24"/>
      <c r="BM1415" s="24"/>
      <c r="BN1415" s="27"/>
      <c r="BO1415" s="24"/>
      <c r="BP1415" s="24"/>
      <c r="BQ1415" s="10"/>
    </row>
    <row r="1416">
      <c r="A1416" s="28">
        <v>1.0</v>
      </c>
      <c r="B1416" s="29" t="s">
        <v>2412</v>
      </c>
      <c r="C1416" s="30"/>
      <c r="D1416" s="30"/>
      <c r="E1416" s="30"/>
      <c r="F1416" s="30"/>
      <c r="G1416" s="30"/>
      <c r="H1416" s="30"/>
      <c r="I1416" s="31" t="str">
        <f t="shared" si="16"/>
        <v>65100</v>
      </c>
      <c r="J1416" s="74"/>
      <c r="K1416" s="74"/>
      <c r="L1416" s="31" t="s">
        <v>2413</v>
      </c>
      <c r="M1416" s="75">
        <v>1.0</v>
      </c>
      <c r="N1416" s="32"/>
      <c r="O1416" s="30"/>
      <c r="P1416" s="32"/>
      <c r="Q1416" s="32"/>
      <c r="R1416" s="32"/>
      <c r="S1416" s="32"/>
      <c r="T1416" s="74"/>
      <c r="U1416" s="34">
        <v>1.0</v>
      </c>
      <c r="V1416" s="74"/>
      <c r="W1416" s="34" t="s">
        <v>70</v>
      </c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  <c r="AH1416" s="74"/>
      <c r="AI1416" s="74"/>
      <c r="AJ1416" s="74"/>
      <c r="AK1416" s="74"/>
      <c r="AL1416" s="74"/>
      <c r="AM1416" s="74"/>
      <c r="AN1416" s="74"/>
      <c r="AO1416" s="74"/>
      <c r="AP1416" s="32"/>
      <c r="AQ1416" s="32"/>
      <c r="AR1416" s="32"/>
      <c r="AS1416" s="32"/>
      <c r="AT1416" s="32"/>
      <c r="AU1416" s="32"/>
      <c r="AV1416" s="74"/>
      <c r="AW1416" s="74"/>
      <c r="AX1416" s="74"/>
      <c r="AY1416" s="74"/>
      <c r="AZ1416" s="74"/>
      <c r="BA1416" s="74"/>
      <c r="BB1416" s="74"/>
      <c r="BC1416" s="74"/>
      <c r="BD1416" s="74"/>
      <c r="BE1416" s="74"/>
      <c r="BF1416" s="74"/>
      <c r="BG1416" s="74"/>
      <c r="BH1416" s="32"/>
      <c r="BI1416" s="32"/>
      <c r="BJ1416" s="32"/>
      <c r="BK1416" s="32"/>
      <c r="BL1416" s="32"/>
      <c r="BM1416" s="74"/>
      <c r="BN1416" s="76"/>
      <c r="BO1416" s="74"/>
      <c r="BP1416" s="32"/>
      <c r="BQ1416" s="10"/>
    </row>
    <row r="1417">
      <c r="A1417" s="36">
        <v>2.0</v>
      </c>
      <c r="B1417" s="37" t="s">
        <v>2414</v>
      </c>
      <c r="C1417" s="38"/>
      <c r="D1417" s="38"/>
      <c r="E1417" s="38"/>
      <c r="F1417" s="38"/>
      <c r="G1417" s="38"/>
      <c r="H1417" s="38"/>
      <c r="I1417" s="39" t="str">
        <f t="shared" si="16"/>
        <v>65110</v>
      </c>
      <c r="J1417" s="40"/>
      <c r="K1417" s="40"/>
      <c r="L1417" s="39" t="s">
        <v>2415</v>
      </c>
      <c r="M1417" s="41">
        <v>1.0</v>
      </c>
      <c r="N1417" s="42"/>
      <c r="O1417" s="38"/>
      <c r="P1417" s="42"/>
      <c r="Q1417" s="42"/>
      <c r="R1417" s="42"/>
      <c r="S1417" s="42"/>
      <c r="T1417" s="40"/>
      <c r="U1417" s="43">
        <v>1.0</v>
      </c>
      <c r="V1417" s="40"/>
      <c r="W1417" s="43" t="s">
        <v>70</v>
      </c>
      <c r="X1417" s="40"/>
      <c r="Y1417" s="40"/>
      <c r="Z1417" s="40"/>
      <c r="AA1417" s="40"/>
      <c r="AB1417" s="40"/>
      <c r="AC1417" s="40"/>
      <c r="AD1417" s="40"/>
      <c r="AE1417" s="40"/>
      <c r="AF1417" s="40"/>
      <c r="AG1417" s="40"/>
      <c r="AH1417" s="40"/>
      <c r="AI1417" s="40"/>
      <c r="AJ1417" s="40"/>
      <c r="AK1417" s="40"/>
      <c r="AL1417" s="40"/>
      <c r="AM1417" s="40"/>
      <c r="AN1417" s="40"/>
      <c r="AO1417" s="40"/>
      <c r="AP1417" s="42"/>
      <c r="AQ1417" s="42"/>
      <c r="AR1417" s="42"/>
      <c r="AS1417" s="42"/>
      <c r="AT1417" s="42"/>
      <c r="AU1417" s="42"/>
      <c r="AV1417" s="40"/>
      <c r="AW1417" s="40"/>
      <c r="AX1417" s="40"/>
      <c r="AY1417" s="40"/>
      <c r="AZ1417" s="40"/>
      <c r="BA1417" s="40"/>
      <c r="BB1417" s="40"/>
      <c r="BC1417" s="40"/>
      <c r="BD1417" s="40"/>
      <c r="BE1417" s="40"/>
      <c r="BF1417" s="40"/>
      <c r="BG1417" s="40"/>
      <c r="BH1417" s="42"/>
      <c r="BI1417" s="42"/>
      <c r="BJ1417" s="42"/>
      <c r="BK1417" s="42"/>
      <c r="BL1417" s="42"/>
      <c r="BM1417" s="40"/>
      <c r="BN1417" s="44"/>
      <c r="BO1417" s="40"/>
      <c r="BP1417" s="42"/>
      <c r="BQ1417" s="10"/>
    </row>
    <row r="1418">
      <c r="A1418" s="45">
        <v>3.0</v>
      </c>
      <c r="B1418" s="46" t="s">
        <v>2416</v>
      </c>
      <c r="C1418" s="47"/>
      <c r="D1418" s="47"/>
      <c r="E1418" s="47"/>
      <c r="F1418" s="47"/>
      <c r="G1418" s="47"/>
      <c r="H1418" s="47"/>
      <c r="I1418" s="48" t="str">
        <f t="shared" si="16"/>
        <v>65111</v>
      </c>
      <c r="J1418" s="49"/>
      <c r="K1418" s="49"/>
      <c r="L1418" s="48" t="s">
        <v>2417</v>
      </c>
      <c r="M1418" s="50">
        <v>1.0</v>
      </c>
      <c r="N1418" s="51"/>
      <c r="O1418" s="47"/>
      <c r="P1418" s="51"/>
      <c r="Q1418" s="51"/>
      <c r="R1418" s="51"/>
      <c r="S1418" s="51"/>
      <c r="T1418" s="49"/>
      <c r="U1418" s="52">
        <v>1.0</v>
      </c>
      <c r="V1418" s="49"/>
      <c r="W1418" s="52" t="s">
        <v>70</v>
      </c>
      <c r="X1418" s="49"/>
      <c r="Y1418" s="49"/>
      <c r="Z1418" s="49"/>
      <c r="AA1418" s="49"/>
      <c r="AB1418" s="49"/>
      <c r="AC1418" s="49"/>
      <c r="AD1418" s="49"/>
      <c r="AE1418" s="49"/>
      <c r="AF1418" s="49"/>
      <c r="AG1418" s="49"/>
      <c r="AH1418" s="49"/>
      <c r="AI1418" s="49"/>
      <c r="AJ1418" s="49"/>
      <c r="AK1418" s="49"/>
      <c r="AL1418" s="49"/>
      <c r="AM1418" s="49"/>
      <c r="AN1418" s="49"/>
      <c r="AO1418" s="49"/>
      <c r="AP1418" s="51"/>
      <c r="AQ1418" s="51"/>
      <c r="AR1418" s="51"/>
      <c r="AS1418" s="51"/>
      <c r="AT1418" s="51"/>
      <c r="AU1418" s="51"/>
      <c r="AV1418" s="49"/>
      <c r="AW1418" s="49"/>
      <c r="AX1418" s="49"/>
      <c r="AY1418" s="49"/>
      <c r="AZ1418" s="49"/>
      <c r="BA1418" s="49"/>
      <c r="BB1418" s="49"/>
      <c r="BC1418" s="49"/>
      <c r="BD1418" s="49"/>
      <c r="BE1418" s="49"/>
      <c r="BF1418" s="49"/>
      <c r="BG1418" s="49"/>
      <c r="BH1418" s="51"/>
      <c r="BI1418" s="51"/>
      <c r="BJ1418" s="51"/>
      <c r="BK1418" s="51"/>
      <c r="BL1418" s="51"/>
      <c r="BM1418" s="49"/>
      <c r="BN1418" s="53"/>
      <c r="BO1418" s="49"/>
      <c r="BP1418" s="51"/>
      <c r="BQ1418" s="10"/>
    </row>
    <row r="1419">
      <c r="A1419" s="1">
        <v>4.0</v>
      </c>
      <c r="B1419" s="2" t="s">
        <v>2416</v>
      </c>
      <c r="C1419" s="2" t="s">
        <v>76</v>
      </c>
      <c r="D1419" s="93"/>
      <c r="E1419" s="93"/>
      <c r="F1419" s="93"/>
      <c r="G1419" s="93"/>
      <c r="H1419" s="93"/>
      <c r="I1419" s="3" t="str">
        <f t="shared" si="16"/>
        <v>6511101</v>
      </c>
      <c r="J1419" s="3"/>
      <c r="K1419" s="3"/>
      <c r="L1419" s="94" t="s">
        <v>2418</v>
      </c>
      <c r="M1419" s="4">
        <v>1.0</v>
      </c>
      <c r="N1419" s="3"/>
      <c r="O1419" s="93"/>
      <c r="P1419" s="3"/>
      <c r="Q1419" s="3"/>
      <c r="R1419" s="3"/>
      <c r="S1419" s="3"/>
      <c r="T1419" s="3"/>
      <c r="U1419" s="6">
        <v>1.0</v>
      </c>
      <c r="V1419" s="3"/>
      <c r="W1419" s="6" t="s">
        <v>435</v>
      </c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97"/>
      <c r="BO1419" s="3"/>
      <c r="BP1419" s="3"/>
      <c r="BQ1419" s="10"/>
    </row>
    <row r="1420">
      <c r="A1420" s="1">
        <v>5.0</v>
      </c>
      <c r="B1420" s="2" t="s">
        <v>2416</v>
      </c>
      <c r="C1420" s="2" t="s">
        <v>76</v>
      </c>
      <c r="D1420" s="2" t="s">
        <v>76</v>
      </c>
      <c r="E1420" s="93"/>
      <c r="F1420" s="93"/>
      <c r="G1420" s="93"/>
      <c r="H1420" s="93"/>
      <c r="I1420" s="3" t="str">
        <f t="shared" si="16"/>
        <v>651110101</v>
      </c>
      <c r="J1420" s="3"/>
      <c r="K1420" s="3"/>
      <c r="L1420" s="94" t="s">
        <v>2419</v>
      </c>
      <c r="M1420" s="4">
        <v>2.0</v>
      </c>
      <c r="N1420" s="3"/>
      <c r="O1420" s="93"/>
      <c r="P1420" s="3"/>
      <c r="Q1420" s="3"/>
      <c r="R1420" s="3"/>
      <c r="S1420" s="3"/>
      <c r="T1420" s="3"/>
      <c r="U1420" s="6">
        <v>1.0</v>
      </c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97"/>
      <c r="BO1420" s="3"/>
      <c r="BP1420" s="3"/>
      <c r="BQ1420" s="10"/>
    </row>
    <row r="1421">
      <c r="A1421" s="1">
        <v>5.0</v>
      </c>
      <c r="B1421" s="2" t="s">
        <v>2416</v>
      </c>
      <c r="C1421" s="2" t="s">
        <v>76</v>
      </c>
      <c r="D1421" s="2" t="s">
        <v>119</v>
      </c>
      <c r="E1421" s="93"/>
      <c r="F1421" s="93"/>
      <c r="G1421" s="93"/>
      <c r="H1421" s="93"/>
      <c r="I1421" s="3" t="str">
        <f t="shared" si="16"/>
        <v>651110102</v>
      </c>
      <c r="J1421" s="3"/>
      <c r="K1421" s="3"/>
      <c r="L1421" s="94" t="s">
        <v>2420</v>
      </c>
      <c r="M1421" s="4">
        <v>2.0</v>
      </c>
      <c r="N1421" s="3"/>
      <c r="O1421" s="93"/>
      <c r="P1421" s="3"/>
      <c r="Q1421" s="3"/>
      <c r="R1421" s="3"/>
      <c r="S1421" s="3"/>
      <c r="T1421" s="3"/>
      <c r="U1421" s="6">
        <v>1.0</v>
      </c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97"/>
      <c r="BO1421" s="3"/>
      <c r="BP1421" s="3"/>
      <c r="BQ1421" s="10"/>
    </row>
    <row r="1422">
      <c r="A1422" s="1">
        <v>5.0</v>
      </c>
      <c r="B1422" s="2" t="s">
        <v>2416</v>
      </c>
      <c r="C1422" s="2" t="s">
        <v>76</v>
      </c>
      <c r="D1422" s="2" t="s">
        <v>124</v>
      </c>
      <c r="E1422" s="93"/>
      <c r="F1422" s="93"/>
      <c r="G1422" s="93"/>
      <c r="H1422" s="93"/>
      <c r="I1422" s="3" t="str">
        <f t="shared" si="16"/>
        <v>651110103</v>
      </c>
      <c r="J1422" s="3"/>
      <c r="K1422" s="3"/>
      <c r="L1422" s="94" t="s">
        <v>2421</v>
      </c>
      <c r="M1422" s="4">
        <v>2.0</v>
      </c>
      <c r="N1422" s="3"/>
      <c r="O1422" s="93"/>
      <c r="P1422" s="3"/>
      <c r="Q1422" s="3"/>
      <c r="R1422" s="3"/>
      <c r="S1422" s="3"/>
      <c r="T1422" s="3"/>
      <c r="U1422" s="6">
        <v>1.0</v>
      </c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97"/>
      <c r="BO1422" s="3"/>
      <c r="BP1422" s="3"/>
      <c r="BQ1422" s="10"/>
    </row>
    <row r="1423">
      <c r="A1423" s="1">
        <v>5.0</v>
      </c>
      <c r="B1423" s="2" t="s">
        <v>2416</v>
      </c>
      <c r="C1423" s="2" t="s">
        <v>76</v>
      </c>
      <c r="D1423" s="2" t="s">
        <v>127</v>
      </c>
      <c r="E1423" s="93"/>
      <c r="F1423" s="93"/>
      <c r="G1423" s="93"/>
      <c r="H1423" s="93"/>
      <c r="I1423" s="3" t="str">
        <f t="shared" si="16"/>
        <v>651110104</v>
      </c>
      <c r="J1423" s="3"/>
      <c r="K1423" s="3"/>
      <c r="L1423" s="94" t="s">
        <v>2422</v>
      </c>
      <c r="M1423" s="4">
        <v>2.0</v>
      </c>
      <c r="N1423" s="3"/>
      <c r="O1423" s="93"/>
      <c r="P1423" s="3"/>
      <c r="Q1423" s="3"/>
      <c r="R1423" s="3"/>
      <c r="S1423" s="3"/>
      <c r="T1423" s="3"/>
      <c r="U1423" s="6">
        <v>1.0</v>
      </c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97"/>
      <c r="BO1423" s="3"/>
      <c r="BP1423" s="3"/>
      <c r="BQ1423" s="10"/>
    </row>
    <row r="1424">
      <c r="A1424" s="1">
        <v>5.0</v>
      </c>
      <c r="B1424" s="2" t="s">
        <v>2416</v>
      </c>
      <c r="C1424" s="2" t="s">
        <v>76</v>
      </c>
      <c r="D1424" s="2" t="s">
        <v>91</v>
      </c>
      <c r="E1424" s="93"/>
      <c r="F1424" s="93"/>
      <c r="G1424" s="93"/>
      <c r="H1424" s="93"/>
      <c r="I1424" s="3" t="str">
        <f t="shared" si="16"/>
        <v>651110105</v>
      </c>
      <c r="J1424" s="3"/>
      <c r="K1424" s="3"/>
      <c r="L1424" s="94" t="s">
        <v>2423</v>
      </c>
      <c r="M1424" s="4">
        <v>2.0</v>
      </c>
      <c r="N1424" s="3"/>
      <c r="O1424" s="93"/>
      <c r="P1424" s="3"/>
      <c r="Q1424" s="3"/>
      <c r="R1424" s="3"/>
      <c r="S1424" s="3"/>
      <c r="T1424" s="3"/>
      <c r="U1424" s="6">
        <v>1.0</v>
      </c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97"/>
      <c r="BO1424" s="3"/>
      <c r="BP1424" s="3"/>
      <c r="BQ1424" s="10"/>
    </row>
    <row r="1425">
      <c r="A1425" s="1">
        <v>5.0</v>
      </c>
      <c r="B1425" s="2" t="s">
        <v>2416</v>
      </c>
      <c r="C1425" s="2" t="s">
        <v>76</v>
      </c>
      <c r="D1425" s="2" t="s">
        <v>133</v>
      </c>
      <c r="E1425" s="93"/>
      <c r="F1425" s="93"/>
      <c r="G1425" s="93"/>
      <c r="H1425" s="93"/>
      <c r="I1425" s="3" t="str">
        <f t="shared" si="16"/>
        <v>651110106</v>
      </c>
      <c r="J1425" s="3"/>
      <c r="K1425" s="3"/>
      <c r="L1425" s="94" t="s">
        <v>2424</v>
      </c>
      <c r="M1425" s="4">
        <v>2.0</v>
      </c>
      <c r="N1425" s="3"/>
      <c r="O1425" s="93"/>
      <c r="P1425" s="3"/>
      <c r="Q1425" s="3"/>
      <c r="R1425" s="3"/>
      <c r="S1425" s="3"/>
      <c r="T1425" s="3"/>
      <c r="U1425" s="6">
        <v>1.0</v>
      </c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97"/>
      <c r="BO1425" s="3"/>
      <c r="BP1425" s="3"/>
      <c r="BQ1425" s="10"/>
    </row>
    <row r="1426">
      <c r="A1426" s="1">
        <v>5.0</v>
      </c>
      <c r="B1426" s="2" t="s">
        <v>2416</v>
      </c>
      <c r="C1426" s="2" t="s">
        <v>76</v>
      </c>
      <c r="D1426" s="2" t="s">
        <v>136</v>
      </c>
      <c r="E1426" s="93"/>
      <c r="F1426" s="93"/>
      <c r="G1426" s="93"/>
      <c r="H1426" s="93"/>
      <c r="I1426" s="3" t="str">
        <f t="shared" si="16"/>
        <v>651110107</v>
      </c>
      <c r="J1426" s="3"/>
      <c r="K1426" s="3"/>
      <c r="L1426" s="94" t="s">
        <v>2425</v>
      </c>
      <c r="M1426" s="4">
        <v>2.0</v>
      </c>
      <c r="N1426" s="3"/>
      <c r="O1426" s="93"/>
      <c r="P1426" s="3"/>
      <c r="Q1426" s="3"/>
      <c r="R1426" s="3"/>
      <c r="S1426" s="3"/>
      <c r="T1426" s="3"/>
      <c r="U1426" s="6">
        <v>1.0</v>
      </c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97"/>
      <c r="BO1426" s="3"/>
      <c r="BP1426" s="3"/>
      <c r="BQ1426" s="10"/>
    </row>
    <row r="1427">
      <c r="A1427" s="1">
        <v>5.0</v>
      </c>
      <c r="B1427" s="2" t="s">
        <v>2416</v>
      </c>
      <c r="C1427" s="2" t="s">
        <v>76</v>
      </c>
      <c r="D1427" s="2" t="s">
        <v>138</v>
      </c>
      <c r="E1427" s="93"/>
      <c r="F1427" s="93"/>
      <c r="G1427" s="93"/>
      <c r="H1427" s="93"/>
      <c r="I1427" s="3" t="str">
        <f t="shared" si="16"/>
        <v>651110108</v>
      </c>
      <c r="J1427" s="3"/>
      <c r="K1427" s="3"/>
      <c r="L1427" s="94" t="s">
        <v>2426</v>
      </c>
      <c r="M1427" s="4">
        <v>2.0</v>
      </c>
      <c r="N1427" s="3"/>
      <c r="O1427" s="93"/>
      <c r="P1427" s="3"/>
      <c r="Q1427" s="3"/>
      <c r="R1427" s="3"/>
      <c r="S1427" s="3"/>
      <c r="T1427" s="3"/>
      <c r="U1427" s="6">
        <v>1.0</v>
      </c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97"/>
      <c r="BO1427" s="3"/>
      <c r="BP1427" s="3"/>
      <c r="BQ1427" s="10"/>
    </row>
    <row r="1428">
      <c r="A1428" s="1">
        <v>5.0</v>
      </c>
      <c r="B1428" s="2" t="s">
        <v>2416</v>
      </c>
      <c r="C1428" s="2" t="s">
        <v>76</v>
      </c>
      <c r="D1428" s="2" t="s">
        <v>142</v>
      </c>
      <c r="E1428" s="93"/>
      <c r="F1428" s="93"/>
      <c r="G1428" s="93"/>
      <c r="H1428" s="93"/>
      <c r="I1428" s="3" t="str">
        <f t="shared" si="16"/>
        <v>651110109</v>
      </c>
      <c r="J1428" s="3"/>
      <c r="K1428" s="3"/>
      <c r="L1428" s="94" t="s">
        <v>2427</v>
      </c>
      <c r="M1428" s="4">
        <v>2.0</v>
      </c>
      <c r="N1428" s="3"/>
      <c r="O1428" s="93"/>
      <c r="P1428" s="3"/>
      <c r="Q1428" s="3"/>
      <c r="R1428" s="3"/>
      <c r="S1428" s="3"/>
      <c r="T1428" s="3"/>
      <c r="U1428" s="6">
        <v>1.0</v>
      </c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97"/>
      <c r="BO1428" s="3"/>
      <c r="BP1428" s="3"/>
      <c r="BQ1428" s="10"/>
    </row>
    <row r="1429">
      <c r="A1429" s="1">
        <v>5.0</v>
      </c>
      <c r="B1429" s="2" t="s">
        <v>2416</v>
      </c>
      <c r="C1429" s="2" t="s">
        <v>76</v>
      </c>
      <c r="D1429" s="2" t="s">
        <v>149</v>
      </c>
      <c r="E1429" s="93"/>
      <c r="F1429" s="93"/>
      <c r="G1429" s="93"/>
      <c r="H1429" s="93"/>
      <c r="I1429" s="3" t="str">
        <f t="shared" si="16"/>
        <v>65111010A</v>
      </c>
      <c r="J1429" s="3"/>
      <c r="K1429" s="3"/>
      <c r="L1429" s="94" t="s">
        <v>2428</v>
      </c>
      <c r="M1429" s="4">
        <v>2.0</v>
      </c>
      <c r="N1429" s="3"/>
      <c r="O1429" s="93"/>
      <c r="P1429" s="3"/>
      <c r="Q1429" s="3"/>
      <c r="R1429" s="3"/>
      <c r="S1429" s="3"/>
      <c r="T1429" s="3"/>
      <c r="U1429" s="6">
        <v>1.0</v>
      </c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97"/>
      <c r="BO1429" s="3"/>
      <c r="BP1429" s="3"/>
      <c r="BQ1429" s="10"/>
    </row>
    <row r="1430">
      <c r="A1430" s="1">
        <v>5.0</v>
      </c>
      <c r="B1430" s="2" t="s">
        <v>2416</v>
      </c>
      <c r="C1430" s="2" t="s">
        <v>76</v>
      </c>
      <c r="D1430" s="2" t="s">
        <v>151</v>
      </c>
      <c r="E1430" s="93"/>
      <c r="F1430" s="93"/>
      <c r="G1430" s="93"/>
      <c r="H1430" s="93"/>
      <c r="I1430" s="3" t="str">
        <f t="shared" si="16"/>
        <v>65111010B</v>
      </c>
      <c r="J1430" s="3"/>
      <c r="K1430" s="3"/>
      <c r="L1430" s="94" t="s">
        <v>2429</v>
      </c>
      <c r="M1430" s="4">
        <v>2.0</v>
      </c>
      <c r="N1430" s="3"/>
      <c r="O1430" s="93"/>
      <c r="P1430" s="3"/>
      <c r="Q1430" s="3"/>
      <c r="R1430" s="3"/>
      <c r="S1430" s="3"/>
      <c r="T1430" s="3"/>
      <c r="U1430" s="6">
        <v>1.0</v>
      </c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97"/>
      <c r="BO1430" s="3"/>
      <c r="BP1430" s="3"/>
      <c r="BQ1430" s="10"/>
    </row>
    <row r="1431">
      <c r="A1431" s="1">
        <v>5.0</v>
      </c>
      <c r="B1431" s="2" t="s">
        <v>2416</v>
      </c>
      <c r="C1431" s="2" t="s">
        <v>76</v>
      </c>
      <c r="D1431" s="2" t="s">
        <v>155</v>
      </c>
      <c r="E1431" s="93"/>
      <c r="F1431" s="93"/>
      <c r="G1431" s="93"/>
      <c r="H1431" s="93"/>
      <c r="I1431" s="3" t="str">
        <f t="shared" si="16"/>
        <v>65111010C</v>
      </c>
      <c r="J1431" s="3"/>
      <c r="K1431" s="3"/>
      <c r="L1431" s="94" t="s">
        <v>2430</v>
      </c>
      <c r="M1431" s="4">
        <v>2.0</v>
      </c>
      <c r="N1431" s="3"/>
      <c r="O1431" s="93"/>
      <c r="P1431" s="3"/>
      <c r="Q1431" s="3"/>
      <c r="R1431" s="3"/>
      <c r="S1431" s="3"/>
      <c r="T1431" s="3"/>
      <c r="U1431" s="6">
        <v>1.0</v>
      </c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97"/>
      <c r="BO1431" s="3"/>
      <c r="BP1431" s="3"/>
      <c r="BQ1431" s="10"/>
    </row>
    <row r="1432">
      <c r="A1432" s="1">
        <v>5.0</v>
      </c>
      <c r="B1432" s="2" t="s">
        <v>2416</v>
      </c>
      <c r="C1432" s="2" t="s">
        <v>76</v>
      </c>
      <c r="D1432" s="2" t="s">
        <v>158</v>
      </c>
      <c r="E1432" s="93"/>
      <c r="F1432" s="93"/>
      <c r="G1432" s="93"/>
      <c r="H1432" s="93"/>
      <c r="I1432" s="3" t="str">
        <f t="shared" si="16"/>
        <v>65111010D</v>
      </c>
      <c r="J1432" s="3"/>
      <c r="K1432" s="3"/>
      <c r="L1432" s="94" t="s">
        <v>2431</v>
      </c>
      <c r="M1432" s="4">
        <v>2.0</v>
      </c>
      <c r="N1432" s="3"/>
      <c r="O1432" s="93"/>
      <c r="P1432" s="3"/>
      <c r="Q1432" s="3"/>
      <c r="R1432" s="3"/>
      <c r="S1432" s="3"/>
      <c r="T1432" s="3"/>
      <c r="U1432" s="6">
        <v>1.0</v>
      </c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97"/>
      <c r="BO1432" s="3"/>
      <c r="BP1432" s="3"/>
      <c r="BQ1432" s="10"/>
    </row>
    <row r="1433">
      <c r="A1433" s="1">
        <v>5.0</v>
      </c>
      <c r="B1433" s="2" t="s">
        <v>2416</v>
      </c>
      <c r="C1433" s="2" t="s">
        <v>76</v>
      </c>
      <c r="D1433" s="2" t="s">
        <v>162</v>
      </c>
      <c r="E1433" s="93"/>
      <c r="F1433" s="93"/>
      <c r="G1433" s="93"/>
      <c r="H1433" s="93"/>
      <c r="I1433" s="3" t="str">
        <f t="shared" si="16"/>
        <v>65111010E</v>
      </c>
      <c r="J1433" s="3"/>
      <c r="K1433" s="3"/>
      <c r="L1433" s="94" t="s">
        <v>2432</v>
      </c>
      <c r="M1433" s="4">
        <v>2.0</v>
      </c>
      <c r="N1433" s="3"/>
      <c r="O1433" s="93"/>
      <c r="P1433" s="3"/>
      <c r="Q1433" s="3"/>
      <c r="R1433" s="3"/>
      <c r="S1433" s="3"/>
      <c r="T1433" s="3"/>
      <c r="U1433" s="6">
        <v>1.0</v>
      </c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97"/>
      <c r="BO1433" s="3"/>
      <c r="BP1433" s="3"/>
      <c r="BQ1433" s="10"/>
    </row>
    <row r="1434">
      <c r="A1434" s="1">
        <v>5.0</v>
      </c>
      <c r="B1434" s="2" t="s">
        <v>2416</v>
      </c>
      <c r="C1434" s="2" t="s">
        <v>76</v>
      </c>
      <c r="D1434" s="2" t="s">
        <v>166</v>
      </c>
      <c r="E1434" s="93"/>
      <c r="F1434" s="93"/>
      <c r="G1434" s="93"/>
      <c r="H1434" s="93"/>
      <c r="I1434" s="3" t="str">
        <f t="shared" si="16"/>
        <v>65111010F</v>
      </c>
      <c r="J1434" s="3"/>
      <c r="K1434" s="3"/>
      <c r="L1434" s="94" t="s">
        <v>2433</v>
      </c>
      <c r="M1434" s="4">
        <v>2.0</v>
      </c>
      <c r="N1434" s="3"/>
      <c r="O1434" s="93"/>
      <c r="P1434" s="3"/>
      <c r="Q1434" s="3"/>
      <c r="R1434" s="3"/>
      <c r="S1434" s="3"/>
      <c r="T1434" s="3"/>
      <c r="U1434" s="6">
        <v>1.0</v>
      </c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97"/>
      <c r="BO1434" s="3"/>
      <c r="BP1434" s="3"/>
      <c r="BQ1434" s="10"/>
    </row>
    <row r="1435">
      <c r="A1435" s="1">
        <v>5.0</v>
      </c>
      <c r="B1435" s="2" t="s">
        <v>2416</v>
      </c>
      <c r="C1435" s="2" t="s">
        <v>76</v>
      </c>
      <c r="D1435" s="2" t="s">
        <v>170</v>
      </c>
      <c r="E1435" s="93"/>
      <c r="F1435" s="93"/>
      <c r="G1435" s="93"/>
      <c r="H1435" s="93"/>
      <c r="I1435" s="3" t="str">
        <f t="shared" si="16"/>
        <v>65111010G</v>
      </c>
      <c r="J1435" s="3"/>
      <c r="K1435" s="3"/>
      <c r="L1435" s="94" t="s">
        <v>2434</v>
      </c>
      <c r="M1435" s="4">
        <v>2.0</v>
      </c>
      <c r="N1435" s="3"/>
      <c r="O1435" s="93"/>
      <c r="P1435" s="3"/>
      <c r="Q1435" s="3"/>
      <c r="R1435" s="3"/>
      <c r="S1435" s="3"/>
      <c r="T1435" s="3"/>
      <c r="U1435" s="6">
        <v>1.0</v>
      </c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97"/>
      <c r="BO1435" s="3"/>
      <c r="BP1435" s="3"/>
      <c r="BQ1435" s="10"/>
    </row>
    <row r="1436">
      <c r="A1436" s="1">
        <v>4.0</v>
      </c>
      <c r="B1436" s="2" t="s">
        <v>2416</v>
      </c>
      <c r="C1436" s="2" t="s">
        <v>119</v>
      </c>
      <c r="D1436" s="93"/>
      <c r="E1436" s="93"/>
      <c r="F1436" s="93"/>
      <c r="G1436" s="93"/>
      <c r="H1436" s="93"/>
      <c r="I1436" s="3" t="str">
        <f t="shared" si="16"/>
        <v>6511102</v>
      </c>
      <c r="J1436" s="3"/>
      <c r="K1436" s="3"/>
      <c r="L1436" s="94" t="s">
        <v>2435</v>
      </c>
      <c r="M1436" s="4">
        <v>1.0</v>
      </c>
      <c r="N1436" s="3"/>
      <c r="O1436" s="93"/>
      <c r="P1436" s="3"/>
      <c r="Q1436" s="3"/>
      <c r="R1436" s="3"/>
      <c r="S1436" s="3"/>
      <c r="T1436" s="3"/>
      <c r="U1436" s="6">
        <v>1.0</v>
      </c>
      <c r="V1436" s="3"/>
      <c r="W1436" s="6" t="s">
        <v>435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97"/>
      <c r="BO1436" s="3"/>
      <c r="BP1436" s="3"/>
      <c r="BQ1436" s="10"/>
    </row>
    <row r="1437">
      <c r="A1437" s="1">
        <v>5.0</v>
      </c>
      <c r="B1437" s="2" t="s">
        <v>2416</v>
      </c>
      <c r="C1437" s="2" t="s">
        <v>119</v>
      </c>
      <c r="D1437" s="2" t="s">
        <v>76</v>
      </c>
      <c r="E1437" s="93"/>
      <c r="F1437" s="93"/>
      <c r="G1437" s="93"/>
      <c r="H1437" s="93"/>
      <c r="I1437" s="3" t="str">
        <f t="shared" si="16"/>
        <v>651110201</v>
      </c>
      <c r="J1437" s="3"/>
      <c r="K1437" s="3"/>
      <c r="L1437" s="94" t="s">
        <v>2436</v>
      </c>
      <c r="M1437" s="4">
        <v>2.0</v>
      </c>
      <c r="N1437" s="3"/>
      <c r="O1437" s="93"/>
      <c r="P1437" s="3"/>
      <c r="Q1437" s="3"/>
      <c r="R1437" s="3"/>
      <c r="S1437" s="3"/>
      <c r="T1437" s="3"/>
      <c r="U1437" s="6">
        <v>1.0</v>
      </c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97"/>
      <c r="BO1437" s="3"/>
      <c r="BP1437" s="3"/>
      <c r="BQ1437" s="10"/>
    </row>
    <row r="1438">
      <c r="A1438" s="1">
        <v>5.0</v>
      </c>
      <c r="B1438" s="2" t="s">
        <v>2416</v>
      </c>
      <c r="C1438" s="2" t="s">
        <v>119</v>
      </c>
      <c r="D1438" s="2" t="s">
        <v>119</v>
      </c>
      <c r="E1438" s="93"/>
      <c r="F1438" s="93"/>
      <c r="G1438" s="93"/>
      <c r="H1438" s="93"/>
      <c r="I1438" s="3" t="str">
        <f t="shared" si="16"/>
        <v>651110202</v>
      </c>
      <c r="J1438" s="3"/>
      <c r="K1438" s="3"/>
      <c r="L1438" s="94" t="s">
        <v>2437</v>
      </c>
      <c r="M1438" s="4">
        <v>2.0</v>
      </c>
      <c r="N1438" s="3"/>
      <c r="O1438" s="93"/>
      <c r="P1438" s="3"/>
      <c r="Q1438" s="3"/>
      <c r="R1438" s="3"/>
      <c r="S1438" s="3"/>
      <c r="T1438" s="3"/>
      <c r="U1438" s="6">
        <v>1.0</v>
      </c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97"/>
      <c r="BO1438" s="3"/>
      <c r="BP1438" s="3"/>
      <c r="BQ1438" s="10"/>
    </row>
    <row r="1439">
      <c r="A1439" s="1">
        <v>5.0</v>
      </c>
      <c r="B1439" s="2" t="s">
        <v>2416</v>
      </c>
      <c r="C1439" s="2" t="s">
        <v>119</v>
      </c>
      <c r="D1439" s="2" t="s">
        <v>124</v>
      </c>
      <c r="E1439" s="93"/>
      <c r="F1439" s="93"/>
      <c r="G1439" s="93"/>
      <c r="H1439" s="93"/>
      <c r="I1439" s="3" t="str">
        <f t="shared" si="16"/>
        <v>651110203</v>
      </c>
      <c r="J1439" s="3"/>
      <c r="K1439" s="3"/>
      <c r="L1439" s="94" t="s">
        <v>2438</v>
      </c>
      <c r="M1439" s="4">
        <v>2.0</v>
      </c>
      <c r="N1439" s="3"/>
      <c r="O1439" s="93"/>
      <c r="P1439" s="3"/>
      <c r="Q1439" s="3"/>
      <c r="R1439" s="3"/>
      <c r="S1439" s="3"/>
      <c r="T1439" s="3"/>
      <c r="U1439" s="6">
        <v>1.0</v>
      </c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97"/>
      <c r="BO1439" s="3"/>
      <c r="BP1439" s="3"/>
      <c r="BQ1439" s="10"/>
    </row>
    <row r="1440">
      <c r="A1440" s="1">
        <v>5.0</v>
      </c>
      <c r="B1440" s="2" t="s">
        <v>2416</v>
      </c>
      <c r="C1440" s="2" t="s">
        <v>119</v>
      </c>
      <c r="D1440" s="2" t="s">
        <v>127</v>
      </c>
      <c r="E1440" s="93"/>
      <c r="F1440" s="93"/>
      <c r="G1440" s="93"/>
      <c r="H1440" s="93"/>
      <c r="I1440" s="3" t="str">
        <f t="shared" si="16"/>
        <v>651110204</v>
      </c>
      <c r="J1440" s="3"/>
      <c r="K1440" s="3"/>
      <c r="L1440" s="94" t="s">
        <v>2431</v>
      </c>
      <c r="M1440" s="4">
        <v>2.0</v>
      </c>
      <c r="N1440" s="3"/>
      <c r="O1440" s="93"/>
      <c r="P1440" s="3"/>
      <c r="Q1440" s="3"/>
      <c r="R1440" s="3"/>
      <c r="S1440" s="3"/>
      <c r="T1440" s="3"/>
      <c r="U1440" s="6">
        <v>1.0</v>
      </c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97"/>
      <c r="BO1440" s="3"/>
      <c r="BP1440" s="3"/>
      <c r="BQ1440" s="10"/>
    </row>
    <row r="1441">
      <c r="A1441" s="1">
        <v>5.0</v>
      </c>
      <c r="B1441" s="2" t="s">
        <v>2416</v>
      </c>
      <c r="C1441" s="2" t="s">
        <v>119</v>
      </c>
      <c r="D1441" s="2" t="s">
        <v>91</v>
      </c>
      <c r="E1441" s="93"/>
      <c r="F1441" s="93"/>
      <c r="G1441" s="93"/>
      <c r="H1441" s="93"/>
      <c r="I1441" s="3" t="str">
        <f t="shared" si="16"/>
        <v>651110205</v>
      </c>
      <c r="J1441" s="3"/>
      <c r="K1441" s="3"/>
      <c r="L1441" s="94" t="s">
        <v>2439</v>
      </c>
      <c r="M1441" s="4">
        <v>2.0</v>
      </c>
      <c r="N1441" s="3"/>
      <c r="O1441" s="93"/>
      <c r="P1441" s="3"/>
      <c r="Q1441" s="3"/>
      <c r="R1441" s="3"/>
      <c r="S1441" s="3"/>
      <c r="T1441" s="3"/>
      <c r="U1441" s="6">
        <v>1.0</v>
      </c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97"/>
      <c r="BO1441" s="3"/>
      <c r="BP1441" s="3"/>
      <c r="BQ1441" s="10"/>
    </row>
    <row r="1442">
      <c r="A1442" s="1">
        <v>5.0</v>
      </c>
      <c r="B1442" s="2" t="s">
        <v>2416</v>
      </c>
      <c r="C1442" s="2" t="s">
        <v>119</v>
      </c>
      <c r="D1442" s="2" t="s">
        <v>133</v>
      </c>
      <c r="E1442" s="93"/>
      <c r="F1442" s="93"/>
      <c r="G1442" s="93"/>
      <c r="H1442" s="93"/>
      <c r="I1442" s="3" t="str">
        <f t="shared" si="16"/>
        <v>651110206</v>
      </c>
      <c r="J1442" s="3"/>
      <c r="K1442" s="3"/>
      <c r="L1442" s="94" t="s">
        <v>2440</v>
      </c>
      <c r="M1442" s="4">
        <v>2.0</v>
      </c>
      <c r="N1442" s="3"/>
      <c r="O1442" s="93"/>
      <c r="P1442" s="3"/>
      <c r="Q1442" s="3"/>
      <c r="R1442" s="3"/>
      <c r="S1442" s="3"/>
      <c r="T1442" s="3"/>
      <c r="U1442" s="6">
        <v>1.0</v>
      </c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97"/>
      <c r="BO1442" s="3"/>
      <c r="BP1442" s="3"/>
      <c r="BQ1442" s="10"/>
    </row>
    <row r="1443">
      <c r="A1443" s="1">
        <v>5.0</v>
      </c>
      <c r="B1443" s="2" t="s">
        <v>2416</v>
      </c>
      <c r="C1443" s="2" t="s">
        <v>119</v>
      </c>
      <c r="D1443" s="2" t="s">
        <v>136</v>
      </c>
      <c r="E1443" s="93"/>
      <c r="F1443" s="93"/>
      <c r="G1443" s="93"/>
      <c r="H1443" s="93"/>
      <c r="I1443" s="3" t="str">
        <f t="shared" si="16"/>
        <v>651110207</v>
      </c>
      <c r="J1443" s="3"/>
      <c r="K1443" s="3"/>
      <c r="L1443" s="94" t="s">
        <v>2441</v>
      </c>
      <c r="M1443" s="4">
        <v>2.0</v>
      </c>
      <c r="N1443" s="3"/>
      <c r="O1443" s="93"/>
      <c r="P1443" s="3"/>
      <c r="Q1443" s="3"/>
      <c r="R1443" s="3"/>
      <c r="S1443" s="3"/>
      <c r="T1443" s="3"/>
      <c r="U1443" s="6">
        <v>1.0</v>
      </c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97"/>
      <c r="BO1443" s="3"/>
      <c r="BP1443" s="3"/>
      <c r="BQ1443" s="10"/>
    </row>
    <row r="1444">
      <c r="A1444" s="1">
        <v>5.0</v>
      </c>
      <c r="B1444" s="2" t="s">
        <v>2416</v>
      </c>
      <c r="C1444" s="2" t="s">
        <v>119</v>
      </c>
      <c r="D1444" s="2" t="s">
        <v>138</v>
      </c>
      <c r="E1444" s="93"/>
      <c r="F1444" s="93"/>
      <c r="G1444" s="93"/>
      <c r="H1444" s="93"/>
      <c r="I1444" s="3" t="str">
        <f t="shared" si="16"/>
        <v>651110208</v>
      </c>
      <c r="J1444" s="3"/>
      <c r="K1444" s="3"/>
      <c r="L1444" s="94" t="s">
        <v>2442</v>
      </c>
      <c r="M1444" s="4">
        <v>2.0</v>
      </c>
      <c r="N1444" s="3"/>
      <c r="O1444" s="93"/>
      <c r="P1444" s="3"/>
      <c r="Q1444" s="3"/>
      <c r="R1444" s="3"/>
      <c r="S1444" s="3"/>
      <c r="T1444" s="3"/>
      <c r="U1444" s="6">
        <v>1.0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97"/>
      <c r="BO1444" s="3"/>
      <c r="BP1444" s="3"/>
      <c r="BQ1444" s="10"/>
    </row>
    <row r="1445">
      <c r="A1445" s="1">
        <v>5.0</v>
      </c>
      <c r="B1445" s="2" t="s">
        <v>2416</v>
      </c>
      <c r="C1445" s="2" t="s">
        <v>119</v>
      </c>
      <c r="D1445" s="2" t="s">
        <v>142</v>
      </c>
      <c r="E1445" s="93"/>
      <c r="F1445" s="93"/>
      <c r="G1445" s="93"/>
      <c r="H1445" s="93"/>
      <c r="I1445" s="3" t="str">
        <f t="shared" si="16"/>
        <v>651110209</v>
      </c>
      <c r="J1445" s="3"/>
      <c r="K1445" s="3"/>
      <c r="L1445" s="94" t="s">
        <v>2443</v>
      </c>
      <c r="M1445" s="4">
        <v>2.0</v>
      </c>
      <c r="N1445" s="3"/>
      <c r="O1445" s="93"/>
      <c r="P1445" s="3"/>
      <c r="Q1445" s="3"/>
      <c r="R1445" s="3"/>
      <c r="S1445" s="3"/>
      <c r="T1445" s="3"/>
      <c r="U1445" s="6">
        <v>1.0</v>
      </c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97"/>
      <c r="BO1445" s="3"/>
      <c r="BP1445" s="3"/>
      <c r="BQ1445" s="10"/>
    </row>
    <row r="1446">
      <c r="A1446" s="28">
        <v>1.0</v>
      </c>
      <c r="B1446" s="29" t="s">
        <v>2444</v>
      </c>
      <c r="C1446" s="30"/>
      <c r="D1446" s="30"/>
      <c r="E1446" s="30"/>
      <c r="F1446" s="30"/>
      <c r="G1446" s="30"/>
      <c r="H1446" s="30"/>
      <c r="I1446" s="31" t="str">
        <f t="shared" si="16"/>
        <v>65200</v>
      </c>
      <c r="J1446" s="74"/>
      <c r="K1446" s="74"/>
      <c r="L1446" s="31" t="s">
        <v>2445</v>
      </c>
      <c r="M1446" s="75">
        <v>1.0</v>
      </c>
      <c r="N1446" s="32"/>
      <c r="O1446" s="30"/>
      <c r="P1446" s="32"/>
      <c r="Q1446" s="32"/>
      <c r="R1446" s="32"/>
      <c r="S1446" s="32"/>
      <c r="T1446" s="74"/>
      <c r="U1446" s="34">
        <v>1.0</v>
      </c>
      <c r="V1446" s="74"/>
      <c r="W1446" s="34" t="s">
        <v>70</v>
      </c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  <c r="AH1446" s="74"/>
      <c r="AI1446" s="74"/>
      <c r="AJ1446" s="74"/>
      <c r="AK1446" s="74"/>
      <c r="AL1446" s="74"/>
      <c r="AM1446" s="74"/>
      <c r="AN1446" s="74"/>
      <c r="AO1446" s="74"/>
      <c r="AP1446" s="32"/>
      <c r="AQ1446" s="32"/>
      <c r="AR1446" s="32"/>
      <c r="AS1446" s="32"/>
      <c r="AT1446" s="32"/>
      <c r="AU1446" s="32"/>
      <c r="AV1446" s="74"/>
      <c r="AW1446" s="74"/>
      <c r="AX1446" s="74"/>
      <c r="AY1446" s="74"/>
      <c r="AZ1446" s="74"/>
      <c r="BA1446" s="74"/>
      <c r="BB1446" s="74"/>
      <c r="BC1446" s="74"/>
      <c r="BD1446" s="74"/>
      <c r="BE1446" s="74"/>
      <c r="BF1446" s="74"/>
      <c r="BG1446" s="74"/>
      <c r="BH1446" s="32"/>
      <c r="BI1446" s="32"/>
      <c r="BJ1446" s="32"/>
      <c r="BK1446" s="32"/>
      <c r="BL1446" s="32"/>
      <c r="BM1446" s="74"/>
      <c r="BN1446" s="76"/>
      <c r="BO1446" s="74"/>
      <c r="BP1446" s="32"/>
      <c r="BQ1446" s="10"/>
    </row>
    <row r="1447">
      <c r="A1447" s="36">
        <v>2.0</v>
      </c>
      <c r="B1447" s="37" t="s">
        <v>2446</v>
      </c>
      <c r="C1447" s="38"/>
      <c r="D1447" s="38"/>
      <c r="E1447" s="38"/>
      <c r="F1447" s="38"/>
      <c r="G1447" s="38"/>
      <c r="H1447" s="38"/>
      <c r="I1447" s="39" t="str">
        <f t="shared" si="16"/>
        <v>65210</v>
      </c>
      <c r="J1447" s="40"/>
      <c r="K1447" s="40"/>
      <c r="L1447" s="39" t="s">
        <v>2447</v>
      </c>
      <c r="M1447" s="41">
        <v>1.0</v>
      </c>
      <c r="N1447" s="42"/>
      <c r="O1447" s="38"/>
      <c r="P1447" s="42"/>
      <c r="Q1447" s="42"/>
      <c r="R1447" s="42"/>
      <c r="S1447" s="42"/>
      <c r="T1447" s="40"/>
      <c r="U1447" s="43">
        <v>1.0</v>
      </c>
      <c r="V1447" s="40"/>
      <c r="W1447" s="43" t="s">
        <v>70</v>
      </c>
      <c r="X1447" s="40"/>
      <c r="Y1447" s="40"/>
      <c r="Z1447" s="40"/>
      <c r="AA1447" s="40"/>
      <c r="AB1447" s="40"/>
      <c r="AC1447" s="40"/>
      <c r="AD1447" s="40"/>
      <c r="AE1447" s="40"/>
      <c r="AF1447" s="40"/>
      <c r="AG1447" s="40"/>
      <c r="AH1447" s="40"/>
      <c r="AI1447" s="40"/>
      <c r="AJ1447" s="40"/>
      <c r="AK1447" s="40"/>
      <c r="AL1447" s="40"/>
      <c r="AM1447" s="40"/>
      <c r="AN1447" s="40"/>
      <c r="AO1447" s="40"/>
      <c r="AP1447" s="42"/>
      <c r="AQ1447" s="42"/>
      <c r="AR1447" s="42"/>
      <c r="AS1447" s="42"/>
      <c r="AT1447" s="42"/>
      <c r="AU1447" s="42"/>
      <c r="AV1447" s="40"/>
      <c r="AW1447" s="40"/>
      <c r="AX1447" s="40"/>
      <c r="AY1447" s="40"/>
      <c r="AZ1447" s="40"/>
      <c r="BA1447" s="40"/>
      <c r="BB1447" s="40"/>
      <c r="BC1447" s="40"/>
      <c r="BD1447" s="40"/>
      <c r="BE1447" s="40"/>
      <c r="BF1447" s="40"/>
      <c r="BG1447" s="40"/>
      <c r="BH1447" s="42"/>
      <c r="BI1447" s="42"/>
      <c r="BJ1447" s="42"/>
      <c r="BK1447" s="42"/>
      <c r="BL1447" s="42"/>
      <c r="BM1447" s="40"/>
      <c r="BN1447" s="44"/>
      <c r="BO1447" s="40"/>
      <c r="BP1447" s="42"/>
      <c r="BQ1447" s="10"/>
    </row>
    <row r="1448">
      <c r="A1448" s="45">
        <v>3.0</v>
      </c>
      <c r="B1448" s="46" t="s">
        <v>2448</v>
      </c>
      <c r="C1448" s="47"/>
      <c r="D1448" s="47"/>
      <c r="E1448" s="47"/>
      <c r="F1448" s="47"/>
      <c r="G1448" s="47"/>
      <c r="H1448" s="47"/>
      <c r="I1448" s="48" t="str">
        <f t="shared" si="16"/>
        <v>65211</v>
      </c>
      <c r="J1448" s="49"/>
      <c r="K1448" s="49"/>
      <c r="L1448" s="48" t="s">
        <v>2449</v>
      </c>
      <c r="M1448" s="50">
        <v>1.0</v>
      </c>
      <c r="N1448" s="51"/>
      <c r="O1448" s="47"/>
      <c r="P1448" s="51"/>
      <c r="Q1448" s="51"/>
      <c r="R1448" s="51"/>
      <c r="S1448" s="51"/>
      <c r="T1448" s="49"/>
      <c r="U1448" s="52">
        <v>1.0</v>
      </c>
      <c r="V1448" s="49"/>
      <c r="W1448" s="52" t="s">
        <v>70</v>
      </c>
      <c r="X1448" s="49"/>
      <c r="Y1448" s="49"/>
      <c r="Z1448" s="49"/>
      <c r="AA1448" s="49"/>
      <c r="AB1448" s="49"/>
      <c r="AC1448" s="49"/>
      <c r="AD1448" s="49"/>
      <c r="AE1448" s="49"/>
      <c r="AF1448" s="49"/>
      <c r="AG1448" s="49"/>
      <c r="AH1448" s="49"/>
      <c r="AI1448" s="49"/>
      <c r="AJ1448" s="49"/>
      <c r="AK1448" s="49"/>
      <c r="AL1448" s="49"/>
      <c r="AM1448" s="49"/>
      <c r="AN1448" s="49"/>
      <c r="AO1448" s="49"/>
      <c r="AP1448" s="51"/>
      <c r="AQ1448" s="51"/>
      <c r="AR1448" s="51"/>
      <c r="AS1448" s="51"/>
      <c r="AT1448" s="51"/>
      <c r="AU1448" s="51"/>
      <c r="AV1448" s="49"/>
      <c r="AW1448" s="49"/>
      <c r="AX1448" s="49"/>
      <c r="AY1448" s="49"/>
      <c r="AZ1448" s="49"/>
      <c r="BA1448" s="49"/>
      <c r="BB1448" s="49"/>
      <c r="BC1448" s="49"/>
      <c r="BD1448" s="49"/>
      <c r="BE1448" s="49"/>
      <c r="BF1448" s="49"/>
      <c r="BG1448" s="49"/>
      <c r="BH1448" s="51"/>
      <c r="BI1448" s="51"/>
      <c r="BJ1448" s="51"/>
      <c r="BK1448" s="51"/>
      <c r="BL1448" s="51"/>
      <c r="BM1448" s="49"/>
      <c r="BN1448" s="53"/>
      <c r="BO1448" s="49"/>
      <c r="BP1448" s="51"/>
      <c r="BQ1448" s="10"/>
    </row>
    <row r="1449">
      <c r="A1449" s="1">
        <v>4.0</v>
      </c>
      <c r="B1449" s="2" t="s">
        <v>2448</v>
      </c>
      <c r="C1449" s="2" t="s">
        <v>76</v>
      </c>
      <c r="D1449" s="93"/>
      <c r="E1449" s="93"/>
      <c r="F1449" s="93"/>
      <c r="G1449" s="93"/>
      <c r="H1449" s="93"/>
      <c r="I1449" s="3" t="str">
        <f t="shared" si="16"/>
        <v>6521101</v>
      </c>
      <c r="J1449" s="3"/>
      <c r="K1449" s="3"/>
      <c r="L1449" s="94" t="s">
        <v>2450</v>
      </c>
      <c r="M1449" s="4">
        <v>1.0</v>
      </c>
      <c r="N1449" s="3"/>
      <c r="O1449" s="93"/>
      <c r="P1449" s="3"/>
      <c r="Q1449" s="3"/>
      <c r="R1449" s="3"/>
      <c r="S1449" s="3"/>
      <c r="T1449" s="3"/>
      <c r="U1449" s="6">
        <v>1.0</v>
      </c>
      <c r="V1449" s="3"/>
      <c r="W1449" s="6" t="s">
        <v>435</v>
      </c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97"/>
      <c r="BO1449" s="3"/>
      <c r="BP1449" s="3"/>
      <c r="BQ1449" s="10"/>
    </row>
    <row r="1450">
      <c r="A1450" s="1">
        <v>5.0</v>
      </c>
      <c r="B1450" s="2" t="s">
        <v>2448</v>
      </c>
      <c r="C1450" s="2" t="s">
        <v>76</v>
      </c>
      <c r="D1450" s="2" t="s">
        <v>76</v>
      </c>
      <c r="E1450" s="93"/>
      <c r="F1450" s="93"/>
      <c r="G1450" s="93"/>
      <c r="H1450" s="93"/>
      <c r="I1450" s="3" t="str">
        <f t="shared" si="16"/>
        <v>652110101</v>
      </c>
      <c r="J1450" s="3"/>
      <c r="K1450" s="3"/>
      <c r="L1450" s="94" t="s">
        <v>2451</v>
      </c>
      <c r="M1450" s="4">
        <v>2.0</v>
      </c>
      <c r="N1450" s="3"/>
      <c r="O1450" s="93"/>
      <c r="P1450" s="3"/>
      <c r="Q1450" s="3"/>
      <c r="R1450" s="3"/>
      <c r="S1450" s="3"/>
      <c r="T1450" s="3"/>
      <c r="U1450" s="6">
        <v>1.0</v>
      </c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97"/>
      <c r="BO1450" s="3"/>
      <c r="BP1450" s="3"/>
      <c r="BQ1450" s="10"/>
    </row>
    <row r="1451">
      <c r="A1451" s="3"/>
      <c r="B1451" s="2" t="s">
        <v>2452</v>
      </c>
      <c r="C1451" s="2" t="s">
        <v>76</v>
      </c>
      <c r="D1451" s="2" t="s">
        <v>119</v>
      </c>
      <c r="E1451" s="93"/>
      <c r="F1451" s="93"/>
      <c r="G1451" s="93"/>
      <c r="H1451" s="93"/>
      <c r="I1451" s="3" t="str">
        <f t="shared" si="16"/>
        <v>652120102</v>
      </c>
      <c r="J1451" s="3"/>
      <c r="K1451" s="3"/>
      <c r="L1451" s="94" t="s">
        <v>2453</v>
      </c>
      <c r="M1451" s="4">
        <v>2.0</v>
      </c>
      <c r="N1451" s="3"/>
      <c r="O1451" s="93"/>
      <c r="P1451" s="3"/>
      <c r="Q1451" s="3"/>
      <c r="R1451" s="3"/>
      <c r="S1451" s="3"/>
      <c r="T1451" s="3"/>
      <c r="U1451" s="6">
        <v>1.0</v>
      </c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97"/>
      <c r="BO1451" s="3"/>
      <c r="BP1451" s="3"/>
      <c r="BQ1451" s="10"/>
    </row>
    <row r="1452">
      <c r="A1452" s="28">
        <v>1.0</v>
      </c>
      <c r="B1452" s="29">
        <v>65500.0</v>
      </c>
      <c r="C1452" s="30"/>
      <c r="D1452" s="30"/>
      <c r="E1452" s="30"/>
      <c r="F1452" s="30"/>
      <c r="G1452" s="30"/>
      <c r="H1452" s="30"/>
      <c r="I1452" s="31" t="str">
        <f t="shared" si="16"/>
        <v>65500</v>
      </c>
      <c r="J1452" s="74"/>
      <c r="K1452" s="74"/>
      <c r="L1452" s="31" t="s">
        <v>2454</v>
      </c>
      <c r="M1452" s="75">
        <v>1.0</v>
      </c>
      <c r="N1452" s="32"/>
      <c r="O1452" s="30"/>
      <c r="P1452" s="32"/>
      <c r="Q1452" s="32"/>
      <c r="R1452" s="32"/>
      <c r="S1452" s="32"/>
      <c r="T1452" s="74"/>
      <c r="U1452" s="34">
        <v>1.0</v>
      </c>
      <c r="V1452" s="74"/>
      <c r="W1452" s="34" t="s">
        <v>70</v>
      </c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  <c r="AH1452" s="74"/>
      <c r="AI1452" s="74"/>
      <c r="AJ1452" s="74"/>
      <c r="AK1452" s="74"/>
      <c r="AL1452" s="74"/>
      <c r="AM1452" s="74"/>
      <c r="AN1452" s="74"/>
      <c r="AO1452" s="74"/>
      <c r="AP1452" s="32"/>
      <c r="AQ1452" s="32"/>
      <c r="AR1452" s="32"/>
      <c r="AS1452" s="32"/>
      <c r="AT1452" s="32"/>
      <c r="AU1452" s="32"/>
      <c r="AV1452" s="74"/>
      <c r="AW1452" s="74"/>
      <c r="AX1452" s="74"/>
      <c r="AY1452" s="74"/>
      <c r="AZ1452" s="74"/>
      <c r="BA1452" s="74"/>
      <c r="BB1452" s="74"/>
      <c r="BC1452" s="74"/>
      <c r="BD1452" s="74"/>
      <c r="BE1452" s="74"/>
      <c r="BF1452" s="74"/>
      <c r="BG1452" s="74"/>
      <c r="BH1452" s="32"/>
      <c r="BI1452" s="32"/>
      <c r="BJ1452" s="32"/>
      <c r="BK1452" s="32"/>
      <c r="BL1452" s="32"/>
      <c r="BM1452" s="74"/>
      <c r="BN1452" s="76"/>
      <c r="BO1452" s="74"/>
      <c r="BP1452" s="32"/>
      <c r="BQ1452" s="10"/>
    </row>
    <row r="1453">
      <c r="A1453" s="36">
        <v>2.0</v>
      </c>
      <c r="B1453" s="37">
        <v>65510.0</v>
      </c>
      <c r="C1453" s="38"/>
      <c r="D1453" s="38"/>
      <c r="E1453" s="38"/>
      <c r="F1453" s="38"/>
      <c r="G1453" s="38"/>
      <c r="H1453" s="38"/>
      <c r="I1453" s="39" t="str">
        <f t="shared" si="16"/>
        <v>65510</v>
      </c>
      <c r="J1453" s="40"/>
      <c r="K1453" s="40"/>
      <c r="L1453" s="39" t="s">
        <v>2455</v>
      </c>
      <c r="M1453" s="41">
        <v>1.0</v>
      </c>
      <c r="N1453" s="42"/>
      <c r="O1453" s="38"/>
      <c r="P1453" s="42"/>
      <c r="Q1453" s="42"/>
      <c r="R1453" s="42"/>
      <c r="S1453" s="42"/>
      <c r="T1453" s="40"/>
      <c r="U1453" s="43">
        <v>1.0</v>
      </c>
      <c r="V1453" s="40"/>
      <c r="W1453" s="43" t="s">
        <v>70</v>
      </c>
      <c r="X1453" s="40"/>
      <c r="Y1453" s="40"/>
      <c r="Z1453" s="40"/>
      <c r="AA1453" s="40"/>
      <c r="AB1453" s="40"/>
      <c r="AC1453" s="40"/>
      <c r="AD1453" s="40"/>
      <c r="AE1453" s="40"/>
      <c r="AF1453" s="40"/>
      <c r="AG1453" s="40"/>
      <c r="AH1453" s="40"/>
      <c r="AI1453" s="40"/>
      <c r="AJ1453" s="40"/>
      <c r="AK1453" s="40"/>
      <c r="AL1453" s="40"/>
      <c r="AM1453" s="40"/>
      <c r="AN1453" s="40"/>
      <c r="AO1453" s="40"/>
      <c r="AP1453" s="42"/>
      <c r="AQ1453" s="42"/>
      <c r="AR1453" s="42"/>
      <c r="AS1453" s="42"/>
      <c r="AT1453" s="42"/>
      <c r="AU1453" s="42"/>
      <c r="AV1453" s="40"/>
      <c r="AW1453" s="40"/>
      <c r="AX1453" s="40"/>
      <c r="AY1453" s="40"/>
      <c r="AZ1453" s="40"/>
      <c r="BA1453" s="40"/>
      <c r="BB1453" s="40"/>
      <c r="BC1453" s="40"/>
      <c r="BD1453" s="40"/>
      <c r="BE1453" s="40"/>
      <c r="BF1453" s="40"/>
      <c r="BG1453" s="40"/>
      <c r="BH1453" s="42"/>
      <c r="BI1453" s="42"/>
      <c r="BJ1453" s="42"/>
      <c r="BK1453" s="42"/>
      <c r="BL1453" s="42"/>
      <c r="BM1453" s="40"/>
      <c r="BN1453" s="44"/>
      <c r="BO1453" s="40"/>
      <c r="BP1453" s="42"/>
      <c r="BQ1453" s="10"/>
    </row>
    <row r="1454">
      <c r="A1454" s="45">
        <v>3.0</v>
      </c>
      <c r="B1454" s="46">
        <v>65511.0</v>
      </c>
      <c r="C1454" s="47"/>
      <c r="D1454" s="47"/>
      <c r="E1454" s="47"/>
      <c r="F1454" s="47"/>
      <c r="G1454" s="47"/>
      <c r="H1454" s="47"/>
      <c r="I1454" s="48" t="str">
        <f t="shared" si="16"/>
        <v>65511</v>
      </c>
      <c r="J1454" s="49"/>
      <c r="K1454" s="49"/>
      <c r="L1454" s="48" t="s">
        <v>2456</v>
      </c>
      <c r="M1454" s="50">
        <v>1.0</v>
      </c>
      <c r="N1454" s="51"/>
      <c r="O1454" s="47"/>
      <c r="P1454" s="51"/>
      <c r="Q1454" s="51"/>
      <c r="R1454" s="51"/>
      <c r="S1454" s="51"/>
      <c r="T1454" s="49"/>
      <c r="U1454" s="52">
        <v>1.0</v>
      </c>
      <c r="V1454" s="49"/>
      <c r="W1454" s="52" t="s">
        <v>70</v>
      </c>
      <c r="X1454" s="49"/>
      <c r="Y1454" s="49"/>
      <c r="Z1454" s="49"/>
      <c r="AA1454" s="49"/>
      <c r="AB1454" s="49"/>
      <c r="AC1454" s="49"/>
      <c r="AD1454" s="49"/>
      <c r="AE1454" s="49"/>
      <c r="AF1454" s="49"/>
      <c r="AG1454" s="49"/>
      <c r="AH1454" s="49"/>
      <c r="AI1454" s="49"/>
      <c r="AJ1454" s="49"/>
      <c r="AK1454" s="49"/>
      <c r="AL1454" s="49"/>
      <c r="AM1454" s="49"/>
      <c r="AN1454" s="49"/>
      <c r="AO1454" s="49"/>
      <c r="AP1454" s="51"/>
      <c r="AQ1454" s="51"/>
      <c r="AR1454" s="51"/>
      <c r="AS1454" s="51"/>
      <c r="AT1454" s="51"/>
      <c r="AU1454" s="51"/>
      <c r="AV1454" s="49"/>
      <c r="AW1454" s="49"/>
      <c r="AX1454" s="49"/>
      <c r="AY1454" s="49"/>
      <c r="AZ1454" s="49"/>
      <c r="BA1454" s="49"/>
      <c r="BB1454" s="49"/>
      <c r="BC1454" s="49"/>
      <c r="BD1454" s="49"/>
      <c r="BE1454" s="49"/>
      <c r="BF1454" s="49"/>
      <c r="BG1454" s="49"/>
      <c r="BH1454" s="51"/>
      <c r="BI1454" s="51"/>
      <c r="BJ1454" s="51"/>
      <c r="BK1454" s="51"/>
      <c r="BL1454" s="51"/>
      <c r="BM1454" s="49"/>
      <c r="BN1454" s="53"/>
      <c r="BO1454" s="49"/>
      <c r="BP1454" s="51"/>
      <c r="BQ1454" s="10"/>
    </row>
    <row r="1455">
      <c r="A1455" s="1">
        <v>4.0</v>
      </c>
      <c r="B1455" s="2">
        <v>65511.0</v>
      </c>
      <c r="C1455" s="2" t="s">
        <v>76</v>
      </c>
      <c r="D1455" s="93"/>
      <c r="E1455" s="93"/>
      <c r="F1455" s="93"/>
      <c r="G1455" s="93"/>
      <c r="H1455" s="93"/>
      <c r="I1455" s="3" t="str">
        <f t="shared" si="16"/>
        <v>6551101</v>
      </c>
      <c r="J1455" s="3"/>
      <c r="K1455" s="3"/>
      <c r="L1455" s="94" t="s">
        <v>2457</v>
      </c>
      <c r="M1455" s="4">
        <v>2.0</v>
      </c>
      <c r="N1455" s="3"/>
      <c r="O1455" s="93"/>
      <c r="P1455" s="3"/>
      <c r="Q1455" s="3"/>
      <c r="R1455" s="3"/>
      <c r="S1455" s="3"/>
      <c r="T1455" s="3"/>
      <c r="U1455" s="6">
        <v>2.0</v>
      </c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97"/>
      <c r="BO1455" s="3"/>
      <c r="BP1455" s="3"/>
      <c r="BQ1455" s="10"/>
    </row>
    <row r="1456">
      <c r="A1456" s="1">
        <v>4.0</v>
      </c>
      <c r="B1456" s="2">
        <v>65511.0</v>
      </c>
      <c r="C1456" s="2" t="s">
        <v>119</v>
      </c>
      <c r="D1456" s="93"/>
      <c r="E1456" s="93"/>
      <c r="F1456" s="93"/>
      <c r="G1456" s="93"/>
      <c r="H1456" s="93"/>
      <c r="I1456" s="3" t="str">
        <f t="shared" si="16"/>
        <v>6551102</v>
      </c>
      <c r="J1456" s="3"/>
      <c r="K1456" s="3"/>
      <c r="L1456" s="94" t="s">
        <v>2458</v>
      </c>
      <c r="M1456" s="4">
        <v>2.0</v>
      </c>
      <c r="N1456" s="3"/>
      <c r="O1456" s="93"/>
      <c r="P1456" s="3"/>
      <c r="Q1456" s="3"/>
      <c r="R1456" s="3"/>
      <c r="S1456" s="3"/>
      <c r="T1456" s="3"/>
      <c r="U1456" s="6">
        <v>1.0</v>
      </c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97"/>
      <c r="BO1456" s="3"/>
      <c r="BP1456" s="3"/>
      <c r="BQ1456" s="10"/>
    </row>
    <row r="1457">
      <c r="A1457" s="1">
        <v>4.0</v>
      </c>
      <c r="B1457" s="2">
        <v>65511.0</v>
      </c>
      <c r="C1457" s="2" t="s">
        <v>124</v>
      </c>
      <c r="D1457" s="93"/>
      <c r="E1457" s="93"/>
      <c r="F1457" s="93"/>
      <c r="G1457" s="93"/>
      <c r="H1457" s="93"/>
      <c r="I1457" s="3" t="str">
        <f t="shared" si="16"/>
        <v>6551103</v>
      </c>
      <c r="J1457" s="3"/>
      <c r="K1457" s="3"/>
      <c r="L1457" s="94" t="s">
        <v>2459</v>
      </c>
      <c r="M1457" s="4">
        <v>2.0</v>
      </c>
      <c r="N1457" s="3"/>
      <c r="O1457" s="93"/>
      <c r="P1457" s="3"/>
      <c r="Q1457" s="3"/>
      <c r="R1457" s="3"/>
      <c r="S1457" s="3"/>
      <c r="T1457" s="3"/>
      <c r="U1457" s="6">
        <v>1.0</v>
      </c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97"/>
      <c r="BO1457" s="3"/>
      <c r="BP1457" s="3"/>
      <c r="BQ1457" s="10"/>
    </row>
    <row r="1458">
      <c r="A1458" s="1">
        <v>4.0</v>
      </c>
      <c r="B1458" s="2">
        <v>65511.0</v>
      </c>
      <c r="C1458" s="2" t="s">
        <v>127</v>
      </c>
      <c r="D1458" s="93"/>
      <c r="E1458" s="93"/>
      <c r="F1458" s="93"/>
      <c r="G1458" s="93"/>
      <c r="H1458" s="93"/>
      <c r="I1458" s="3" t="str">
        <f t="shared" si="16"/>
        <v>6551104</v>
      </c>
      <c r="J1458" s="3"/>
      <c r="K1458" s="3"/>
      <c r="L1458" s="94" t="s">
        <v>2460</v>
      </c>
      <c r="M1458" s="4">
        <v>2.0</v>
      </c>
      <c r="N1458" s="3"/>
      <c r="O1458" s="93"/>
      <c r="P1458" s="3"/>
      <c r="Q1458" s="3"/>
      <c r="R1458" s="3"/>
      <c r="S1458" s="3"/>
      <c r="T1458" s="3"/>
      <c r="U1458" s="6">
        <v>1.0</v>
      </c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97"/>
      <c r="BO1458" s="3"/>
      <c r="BP1458" s="3"/>
      <c r="BQ1458" s="10"/>
    </row>
    <row r="1459">
      <c r="A1459" s="1">
        <v>4.0</v>
      </c>
      <c r="B1459" s="2">
        <v>65511.0</v>
      </c>
      <c r="C1459" s="2" t="s">
        <v>91</v>
      </c>
      <c r="D1459" s="93"/>
      <c r="E1459" s="93"/>
      <c r="F1459" s="93"/>
      <c r="G1459" s="93"/>
      <c r="H1459" s="93"/>
      <c r="I1459" s="3" t="str">
        <f t="shared" si="16"/>
        <v>6551105</v>
      </c>
      <c r="J1459" s="3"/>
      <c r="K1459" s="3"/>
      <c r="L1459" s="94" t="s">
        <v>2461</v>
      </c>
      <c r="M1459" s="4">
        <v>2.0</v>
      </c>
      <c r="N1459" s="3"/>
      <c r="O1459" s="93"/>
      <c r="P1459" s="3"/>
      <c r="Q1459" s="3"/>
      <c r="R1459" s="3"/>
      <c r="S1459" s="3"/>
      <c r="T1459" s="3"/>
      <c r="U1459" s="6">
        <v>2.0</v>
      </c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97"/>
      <c r="BO1459" s="3"/>
      <c r="BP1459" s="3"/>
      <c r="BQ1459" s="10"/>
    </row>
    <row r="1460">
      <c r="A1460" s="1">
        <v>4.0</v>
      </c>
      <c r="B1460" s="2">
        <v>65511.0</v>
      </c>
      <c r="C1460" s="2" t="s">
        <v>133</v>
      </c>
      <c r="D1460" s="93"/>
      <c r="E1460" s="93"/>
      <c r="F1460" s="93"/>
      <c r="G1460" s="93"/>
      <c r="H1460" s="93"/>
      <c r="I1460" s="3" t="str">
        <f t="shared" si="16"/>
        <v>6551106</v>
      </c>
      <c r="J1460" s="3"/>
      <c r="K1460" s="3"/>
      <c r="L1460" s="94" t="s">
        <v>2462</v>
      </c>
      <c r="M1460" s="4">
        <v>2.0</v>
      </c>
      <c r="N1460" s="3"/>
      <c r="O1460" s="93"/>
      <c r="P1460" s="3"/>
      <c r="Q1460" s="3"/>
      <c r="R1460" s="3"/>
      <c r="S1460" s="3"/>
      <c r="T1460" s="3"/>
      <c r="U1460" s="6">
        <v>1.0</v>
      </c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97"/>
      <c r="BO1460" s="3"/>
      <c r="BP1460" s="3"/>
      <c r="BQ1460" s="10"/>
    </row>
    <row r="1461">
      <c r="A1461" s="1">
        <v>4.0</v>
      </c>
      <c r="B1461" s="2">
        <v>65511.0</v>
      </c>
      <c r="C1461" s="2" t="s">
        <v>136</v>
      </c>
      <c r="D1461" s="93"/>
      <c r="E1461" s="93"/>
      <c r="F1461" s="93"/>
      <c r="G1461" s="93"/>
      <c r="H1461" s="93"/>
      <c r="I1461" s="3" t="str">
        <f t="shared" si="16"/>
        <v>6551107</v>
      </c>
      <c r="J1461" s="3"/>
      <c r="K1461" s="3"/>
      <c r="L1461" s="94" t="s">
        <v>2463</v>
      </c>
      <c r="M1461" s="4">
        <v>2.0</v>
      </c>
      <c r="N1461" s="3"/>
      <c r="O1461" s="93"/>
      <c r="P1461" s="3"/>
      <c r="Q1461" s="3"/>
      <c r="R1461" s="3"/>
      <c r="S1461" s="3"/>
      <c r="T1461" s="3"/>
      <c r="U1461" s="6">
        <v>1.0</v>
      </c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97"/>
      <c r="BO1461" s="3"/>
      <c r="BP1461" s="3"/>
      <c r="BQ1461" s="10"/>
    </row>
    <row r="1462">
      <c r="A1462" s="1">
        <v>4.0</v>
      </c>
      <c r="B1462" s="2">
        <v>65511.0</v>
      </c>
      <c r="C1462" s="2" t="s">
        <v>138</v>
      </c>
      <c r="D1462" s="93"/>
      <c r="E1462" s="93"/>
      <c r="F1462" s="93"/>
      <c r="G1462" s="93"/>
      <c r="H1462" s="93"/>
      <c r="I1462" s="3" t="str">
        <f t="shared" si="16"/>
        <v>6551108</v>
      </c>
      <c r="J1462" s="3"/>
      <c r="K1462" s="3"/>
      <c r="L1462" s="94" t="s">
        <v>2464</v>
      </c>
      <c r="M1462" s="4">
        <v>2.0</v>
      </c>
      <c r="N1462" s="3"/>
      <c r="O1462" s="93"/>
      <c r="P1462" s="3"/>
      <c r="Q1462" s="3"/>
      <c r="R1462" s="3"/>
      <c r="S1462" s="3"/>
      <c r="T1462" s="3"/>
      <c r="U1462" s="6">
        <v>1.0</v>
      </c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97"/>
      <c r="BO1462" s="3"/>
      <c r="BP1462" s="3"/>
      <c r="BQ1462" s="10"/>
    </row>
    <row r="1463">
      <c r="A1463" s="28">
        <v>1.0</v>
      </c>
      <c r="B1463" s="29" t="s">
        <v>2465</v>
      </c>
      <c r="C1463" s="30"/>
      <c r="D1463" s="30"/>
      <c r="E1463" s="30"/>
      <c r="F1463" s="30"/>
      <c r="G1463" s="30"/>
      <c r="H1463" s="30"/>
      <c r="I1463" s="31" t="str">
        <f t="shared" si="16"/>
        <v>65600</v>
      </c>
      <c r="J1463" s="74"/>
      <c r="K1463" s="74"/>
      <c r="L1463" s="31" t="s">
        <v>2466</v>
      </c>
      <c r="M1463" s="75">
        <v>1.0</v>
      </c>
      <c r="N1463" s="32"/>
      <c r="O1463" s="30"/>
      <c r="P1463" s="32"/>
      <c r="Q1463" s="32"/>
      <c r="R1463" s="32"/>
      <c r="S1463" s="32"/>
      <c r="T1463" s="74"/>
      <c r="U1463" s="34">
        <v>1.0</v>
      </c>
      <c r="V1463" s="74"/>
      <c r="W1463" s="34" t="s">
        <v>70</v>
      </c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  <c r="AH1463" s="74"/>
      <c r="AI1463" s="74"/>
      <c r="AJ1463" s="74"/>
      <c r="AK1463" s="74"/>
      <c r="AL1463" s="74"/>
      <c r="AM1463" s="74"/>
      <c r="AN1463" s="74"/>
      <c r="AO1463" s="74"/>
      <c r="AP1463" s="32"/>
      <c r="AQ1463" s="32"/>
      <c r="AR1463" s="32"/>
      <c r="AS1463" s="32"/>
      <c r="AT1463" s="32"/>
      <c r="AU1463" s="32"/>
      <c r="AV1463" s="74"/>
      <c r="AW1463" s="74"/>
      <c r="AX1463" s="74"/>
      <c r="AY1463" s="74"/>
      <c r="AZ1463" s="74"/>
      <c r="BA1463" s="74"/>
      <c r="BB1463" s="74"/>
      <c r="BC1463" s="74"/>
      <c r="BD1463" s="74"/>
      <c r="BE1463" s="74"/>
      <c r="BF1463" s="74"/>
      <c r="BG1463" s="74"/>
      <c r="BH1463" s="32"/>
      <c r="BI1463" s="32"/>
      <c r="BJ1463" s="32"/>
      <c r="BK1463" s="32"/>
      <c r="BL1463" s="32"/>
      <c r="BM1463" s="74"/>
      <c r="BN1463" s="76"/>
      <c r="BO1463" s="74"/>
      <c r="BP1463" s="32"/>
      <c r="BQ1463" s="10"/>
    </row>
    <row r="1464">
      <c r="A1464" s="36">
        <v>2.0</v>
      </c>
      <c r="B1464" s="37" t="s">
        <v>2467</v>
      </c>
      <c r="C1464" s="38"/>
      <c r="D1464" s="38"/>
      <c r="E1464" s="38"/>
      <c r="F1464" s="38"/>
      <c r="G1464" s="38"/>
      <c r="H1464" s="38"/>
      <c r="I1464" s="39" t="str">
        <f t="shared" si="16"/>
        <v>65610</v>
      </c>
      <c r="J1464" s="40"/>
      <c r="K1464" s="40"/>
      <c r="L1464" s="39" t="s">
        <v>2468</v>
      </c>
      <c r="M1464" s="41">
        <v>1.0</v>
      </c>
      <c r="N1464" s="42"/>
      <c r="O1464" s="38"/>
      <c r="P1464" s="42"/>
      <c r="Q1464" s="42"/>
      <c r="R1464" s="42"/>
      <c r="S1464" s="42"/>
      <c r="T1464" s="40"/>
      <c r="U1464" s="43">
        <v>1.0</v>
      </c>
      <c r="V1464" s="40"/>
      <c r="W1464" s="43" t="s">
        <v>70</v>
      </c>
      <c r="X1464" s="40"/>
      <c r="Y1464" s="40"/>
      <c r="Z1464" s="40"/>
      <c r="AA1464" s="40"/>
      <c r="AB1464" s="40"/>
      <c r="AC1464" s="40"/>
      <c r="AD1464" s="40"/>
      <c r="AE1464" s="40"/>
      <c r="AF1464" s="40"/>
      <c r="AG1464" s="40"/>
      <c r="AH1464" s="40"/>
      <c r="AI1464" s="40"/>
      <c r="AJ1464" s="40"/>
      <c r="AK1464" s="40"/>
      <c r="AL1464" s="40"/>
      <c r="AM1464" s="40"/>
      <c r="AN1464" s="40"/>
      <c r="AO1464" s="40"/>
      <c r="AP1464" s="42"/>
      <c r="AQ1464" s="42"/>
      <c r="AR1464" s="42"/>
      <c r="AS1464" s="42"/>
      <c r="AT1464" s="42"/>
      <c r="AU1464" s="42"/>
      <c r="AV1464" s="40"/>
      <c r="AW1464" s="40"/>
      <c r="AX1464" s="40"/>
      <c r="AY1464" s="40"/>
      <c r="AZ1464" s="40"/>
      <c r="BA1464" s="40"/>
      <c r="BB1464" s="40"/>
      <c r="BC1464" s="40"/>
      <c r="BD1464" s="40"/>
      <c r="BE1464" s="40"/>
      <c r="BF1464" s="40"/>
      <c r="BG1464" s="40"/>
      <c r="BH1464" s="42"/>
      <c r="BI1464" s="42"/>
      <c r="BJ1464" s="42"/>
      <c r="BK1464" s="42"/>
      <c r="BL1464" s="42"/>
      <c r="BM1464" s="40"/>
      <c r="BN1464" s="44"/>
      <c r="BO1464" s="40"/>
      <c r="BP1464" s="42"/>
      <c r="BQ1464" s="10"/>
    </row>
    <row r="1465">
      <c r="A1465" s="45">
        <v>3.0</v>
      </c>
      <c r="B1465" s="46" t="s">
        <v>2469</v>
      </c>
      <c r="C1465" s="47"/>
      <c r="D1465" s="47"/>
      <c r="E1465" s="47"/>
      <c r="F1465" s="47"/>
      <c r="G1465" s="47"/>
      <c r="H1465" s="47"/>
      <c r="I1465" s="48" t="str">
        <f t="shared" si="16"/>
        <v>65611</v>
      </c>
      <c r="J1465" s="49"/>
      <c r="K1465" s="49"/>
      <c r="L1465" s="48" t="s">
        <v>2470</v>
      </c>
      <c r="M1465" s="50">
        <v>1.0</v>
      </c>
      <c r="N1465" s="51"/>
      <c r="O1465" s="47"/>
      <c r="P1465" s="51"/>
      <c r="Q1465" s="51"/>
      <c r="R1465" s="51"/>
      <c r="S1465" s="51"/>
      <c r="T1465" s="49"/>
      <c r="U1465" s="52">
        <v>1.0</v>
      </c>
      <c r="V1465" s="49"/>
      <c r="W1465" s="52" t="s">
        <v>70</v>
      </c>
      <c r="X1465" s="49"/>
      <c r="Y1465" s="49"/>
      <c r="Z1465" s="49"/>
      <c r="AA1465" s="49"/>
      <c r="AB1465" s="49"/>
      <c r="AC1465" s="49"/>
      <c r="AD1465" s="49"/>
      <c r="AE1465" s="49"/>
      <c r="AF1465" s="49"/>
      <c r="AG1465" s="49"/>
      <c r="AH1465" s="49"/>
      <c r="AI1465" s="49"/>
      <c r="AJ1465" s="49"/>
      <c r="AK1465" s="49"/>
      <c r="AL1465" s="49"/>
      <c r="AM1465" s="49"/>
      <c r="AN1465" s="49"/>
      <c r="AO1465" s="49"/>
      <c r="AP1465" s="51"/>
      <c r="AQ1465" s="51"/>
      <c r="AR1465" s="51"/>
      <c r="AS1465" s="51"/>
      <c r="AT1465" s="51"/>
      <c r="AU1465" s="51"/>
      <c r="AV1465" s="49"/>
      <c r="AW1465" s="49"/>
      <c r="AX1465" s="49"/>
      <c r="AY1465" s="49"/>
      <c r="AZ1465" s="49"/>
      <c r="BA1465" s="49"/>
      <c r="BB1465" s="49"/>
      <c r="BC1465" s="49"/>
      <c r="BD1465" s="49"/>
      <c r="BE1465" s="49"/>
      <c r="BF1465" s="49"/>
      <c r="BG1465" s="49"/>
      <c r="BH1465" s="51"/>
      <c r="BI1465" s="51"/>
      <c r="BJ1465" s="51"/>
      <c r="BK1465" s="51"/>
      <c r="BL1465" s="51"/>
      <c r="BM1465" s="49"/>
      <c r="BN1465" s="53"/>
      <c r="BO1465" s="49"/>
      <c r="BP1465" s="51"/>
      <c r="BQ1465" s="10"/>
    </row>
    <row r="1466">
      <c r="A1466" s="1">
        <v>4.0</v>
      </c>
      <c r="B1466" s="2" t="s">
        <v>2469</v>
      </c>
      <c r="C1466" s="2" t="s">
        <v>76</v>
      </c>
      <c r="D1466" s="93"/>
      <c r="E1466" s="93"/>
      <c r="F1466" s="93"/>
      <c r="G1466" s="93"/>
      <c r="H1466" s="93"/>
      <c r="I1466" s="3" t="str">
        <f t="shared" si="16"/>
        <v>6561101</v>
      </c>
      <c r="J1466" s="3"/>
      <c r="K1466" s="3"/>
      <c r="L1466" s="94" t="s">
        <v>2471</v>
      </c>
      <c r="M1466" s="4">
        <v>2.0</v>
      </c>
      <c r="N1466" s="3"/>
      <c r="O1466" s="93"/>
      <c r="P1466" s="3"/>
      <c r="Q1466" s="3"/>
      <c r="R1466" s="3"/>
      <c r="S1466" s="3"/>
      <c r="T1466" s="3"/>
      <c r="U1466" s="6">
        <v>6.0</v>
      </c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97"/>
      <c r="BO1466" s="3"/>
      <c r="BP1466" s="3"/>
      <c r="BQ1466" s="10"/>
    </row>
    <row r="1467">
      <c r="A1467" s="70">
        <v>4.0</v>
      </c>
      <c r="B1467" s="71" t="s">
        <v>2469</v>
      </c>
      <c r="C1467" s="71" t="s">
        <v>119</v>
      </c>
      <c r="D1467" s="56"/>
      <c r="E1467" s="56"/>
      <c r="F1467" s="56"/>
      <c r="G1467" s="56"/>
      <c r="H1467" s="56"/>
      <c r="I1467" s="58" t="str">
        <f t="shared" si="16"/>
        <v>6561102</v>
      </c>
      <c r="J1467" s="58"/>
      <c r="K1467" s="58"/>
      <c r="L1467" s="59" t="s">
        <v>2472</v>
      </c>
      <c r="M1467" s="60">
        <v>1.0</v>
      </c>
      <c r="N1467" s="58"/>
      <c r="O1467" s="56"/>
      <c r="P1467" s="58"/>
      <c r="Q1467" s="58"/>
      <c r="R1467" s="58"/>
      <c r="S1467" s="58"/>
      <c r="T1467" s="58"/>
      <c r="U1467" s="72">
        <v>1.0</v>
      </c>
      <c r="V1467" s="58"/>
      <c r="W1467" s="72" t="s">
        <v>78</v>
      </c>
      <c r="X1467" s="58"/>
      <c r="Y1467" s="58"/>
      <c r="Z1467" s="58"/>
      <c r="AA1467" s="62" t="s">
        <v>79</v>
      </c>
      <c r="AB1467" s="62" t="s">
        <v>79</v>
      </c>
      <c r="AC1467" s="58"/>
      <c r="AD1467" s="58"/>
      <c r="AE1467" s="58"/>
      <c r="AF1467" s="58"/>
      <c r="AG1467" s="58"/>
      <c r="AH1467" s="58"/>
      <c r="AI1467" s="58"/>
      <c r="AJ1467" s="58"/>
      <c r="AK1467" s="58"/>
      <c r="AL1467" s="58"/>
      <c r="AM1467" s="58"/>
      <c r="AN1467" s="58"/>
      <c r="AO1467" s="58"/>
      <c r="AP1467" s="72" t="s">
        <v>80</v>
      </c>
      <c r="AQ1467" s="58"/>
      <c r="AR1467" s="58"/>
      <c r="AS1467" s="58"/>
      <c r="AT1467" s="58"/>
      <c r="AU1467" s="58"/>
      <c r="AV1467" s="58"/>
      <c r="AW1467" s="58"/>
      <c r="AX1467" s="58"/>
      <c r="AY1467" s="58"/>
      <c r="AZ1467" s="58"/>
      <c r="BA1467" s="58"/>
      <c r="BB1467" s="58"/>
      <c r="BC1467" s="58"/>
      <c r="BD1467" s="58"/>
      <c r="BE1467" s="58"/>
      <c r="BF1467" s="58"/>
      <c r="BG1467" s="58"/>
      <c r="BH1467" s="58"/>
      <c r="BI1467" s="58"/>
      <c r="BJ1467" s="58"/>
      <c r="BK1467" s="58"/>
      <c r="BL1467" s="58"/>
      <c r="BM1467" s="58"/>
      <c r="BN1467" s="63"/>
      <c r="BO1467" s="58"/>
      <c r="BP1467" s="58"/>
      <c r="BQ1467" s="64"/>
    </row>
    <row r="1468">
      <c r="A1468" s="20">
        <v>1.0</v>
      </c>
      <c r="B1468" s="21" t="s">
        <v>2473</v>
      </c>
      <c r="C1468" s="22"/>
      <c r="D1468" s="22"/>
      <c r="E1468" s="22"/>
      <c r="F1468" s="22"/>
      <c r="G1468" s="22"/>
      <c r="H1468" s="22"/>
      <c r="I1468" s="23" t="str">
        <f t="shared" si="16"/>
        <v>66000</v>
      </c>
      <c r="J1468" s="24"/>
      <c r="K1468" s="24"/>
      <c r="L1468" s="23" t="s">
        <v>2474</v>
      </c>
      <c r="M1468" s="25">
        <v>1.0</v>
      </c>
      <c r="N1468" s="24"/>
      <c r="O1468" s="22"/>
      <c r="P1468" s="24"/>
      <c r="Q1468" s="24"/>
      <c r="R1468" s="24"/>
      <c r="S1468" s="24"/>
      <c r="T1468" s="24"/>
      <c r="U1468" s="26">
        <v>1.0</v>
      </c>
      <c r="V1468" s="24"/>
      <c r="W1468" s="26" t="s">
        <v>70</v>
      </c>
      <c r="X1468" s="24"/>
      <c r="Y1468" s="24"/>
      <c r="Z1468" s="24"/>
      <c r="AA1468" s="24"/>
      <c r="AB1468" s="24"/>
      <c r="AC1468" s="24"/>
      <c r="AD1468" s="24"/>
      <c r="AE1468" s="24"/>
      <c r="AF1468" s="24"/>
      <c r="AG1468" s="24"/>
      <c r="AH1468" s="24"/>
      <c r="AI1468" s="24"/>
      <c r="AJ1468" s="24"/>
      <c r="AK1468" s="24"/>
      <c r="AL1468" s="24"/>
      <c r="AM1468" s="24"/>
      <c r="AN1468" s="24"/>
      <c r="AO1468" s="24"/>
      <c r="AP1468" s="24"/>
      <c r="AQ1468" s="24"/>
      <c r="AR1468" s="24"/>
      <c r="AS1468" s="24"/>
      <c r="AT1468" s="24"/>
      <c r="AU1468" s="24"/>
      <c r="AV1468" s="24"/>
      <c r="AW1468" s="24"/>
      <c r="AX1468" s="24"/>
      <c r="AY1468" s="24"/>
      <c r="AZ1468" s="24"/>
      <c r="BA1468" s="24"/>
      <c r="BB1468" s="24"/>
      <c r="BC1468" s="24"/>
      <c r="BD1468" s="24"/>
      <c r="BE1468" s="24"/>
      <c r="BF1468" s="24"/>
      <c r="BG1468" s="24"/>
      <c r="BH1468" s="24"/>
      <c r="BI1468" s="24"/>
      <c r="BJ1468" s="24"/>
      <c r="BK1468" s="24"/>
      <c r="BL1468" s="24"/>
      <c r="BM1468" s="24"/>
      <c r="BN1468" s="27"/>
      <c r="BO1468" s="24"/>
      <c r="BP1468" s="24"/>
      <c r="BQ1468" s="10"/>
    </row>
    <row r="1469">
      <c r="A1469" s="28">
        <v>1.0</v>
      </c>
      <c r="B1469" s="29" t="s">
        <v>2475</v>
      </c>
      <c r="C1469" s="30"/>
      <c r="D1469" s="30"/>
      <c r="E1469" s="30"/>
      <c r="F1469" s="30"/>
      <c r="G1469" s="30"/>
      <c r="H1469" s="30"/>
      <c r="I1469" s="31" t="str">
        <f t="shared" si="16"/>
        <v>66100</v>
      </c>
      <c r="J1469" s="74"/>
      <c r="K1469" s="74"/>
      <c r="L1469" s="31" t="s">
        <v>2476</v>
      </c>
      <c r="M1469" s="75">
        <v>1.0</v>
      </c>
      <c r="N1469" s="32"/>
      <c r="O1469" s="30"/>
      <c r="P1469" s="32"/>
      <c r="Q1469" s="32"/>
      <c r="R1469" s="32"/>
      <c r="S1469" s="32"/>
      <c r="T1469" s="74"/>
      <c r="U1469" s="34">
        <v>1.0</v>
      </c>
      <c r="V1469" s="74"/>
      <c r="W1469" s="34" t="s">
        <v>70</v>
      </c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  <c r="AH1469" s="74"/>
      <c r="AI1469" s="74"/>
      <c r="AJ1469" s="74"/>
      <c r="AK1469" s="74"/>
      <c r="AL1469" s="74"/>
      <c r="AM1469" s="74"/>
      <c r="AN1469" s="74"/>
      <c r="AO1469" s="74"/>
      <c r="AP1469" s="32"/>
      <c r="AQ1469" s="32"/>
      <c r="AR1469" s="32"/>
      <c r="AS1469" s="32"/>
      <c r="AT1469" s="32"/>
      <c r="AU1469" s="32"/>
      <c r="AV1469" s="74"/>
      <c r="AW1469" s="74"/>
      <c r="AX1469" s="74"/>
      <c r="AY1469" s="74"/>
      <c r="AZ1469" s="74"/>
      <c r="BA1469" s="74"/>
      <c r="BB1469" s="74"/>
      <c r="BC1469" s="74"/>
      <c r="BD1469" s="74"/>
      <c r="BE1469" s="74"/>
      <c r="BF1469" s="74"/>
      <c r="BG1469" s="74"/>
      <c r="BH1469" s="32"/>
      <c r="BI1469" s="32"/>
      <c r="BJ1469" s="32"/>
      <c r="BK1469" s="32"/>
      <c r="BL1469" s="32"/>
      <c r="BM1469" s="74"/>
      <c r="BN1469" s="76"/>
      <c r="BO1469" s="74"/>
      <c r="BP1469" s="32"/>
      <c r="BQ1469" s="10"/>
    </row>
    <row r="1470">
      <c r="A1470" s="36">
        <v>2.0</v>
      </c>
      <c r="B1470" s="37" t="s">
        <v>2477</v>
      </c>
      <c r="C1470" s="38"/>
      <c r="D1470" s="38"/>
      <c r="E1470" s="38"/>
      <c r="F1470" s="38"/>
      <c r="G1470" s="38"/>
      <c r="H1470" s="38"/>
      <c r="I1470" s="39" t="str">
        <f t="shared" si="16"/>
        <v>66110</v>
      </c>
      <c r="J1470" s="40"/>
      <c r="K1470" s="40"/>
      <c r="L1470" s="39" t="s">
        <v>2478</v>
      </c>
      <c r="M1470" s="41">
        <v>1.0</v>
      </c>
      <c r="N1470" s="42"/>
      <c r="O1470" s="38"/>
      <c r="P1470" s="42"/>
      <c r="Q1470" s="42"/>
      <c r="R1470" s="42"/>
      <c r="S1470" s="42"/>
      <c r="T1470" s="40"/>
      <c r="U1470" s="43">
        <v>1.0</v>
      </c>
      <c r="V1470" s="40"/>
      <c r="W1470" s="43" t="s">
        <v>70</v>
      </c>
      <c r="X1470" s="40"/>
      <c r="Y1470" s="40"/>
      <c r="Z1470" s="40"/>
      <c r="AA1470" s="40"/>
      <c r="AB1470" s="40"/>
      <c r="AC1470" s="40"/>
      <c r="AD1470" s="40"/>
      <c r="AE1470" s="40"/>
      <c r="AF1470" s="40"/>
      <c r="AG1470" s="40"/>
      <c r="AH1470" s="40"/>
      <c r="AI1470" s="40"/>
      <c r="AJ1470" s="40"/>
      <c r="AK1470" s="40"/>
      <c r="AL1470" s="40"/>
      <c r="AM1470" s="40"/>
      <c r="AN1470" s="40"/>
      <c r="AO1470" s="40"/>
      <c r="AP1470" s="42"/>
      <c r="AQ1470" s="42"/>
      <c r="AR1470" s="42"/>
      <c r="AS1470" s="42"/>
      <c r="AT1470" s="42"/>
      <c r="AU1470" s="42"/>
      <c r="AV1470" s="40"/>
      <c r="AW1470" s="40"/>
      <c r="AX1470" s="40"/>
      <c r="AY1470" s="40"/>
      <c r="AZ1470" s="40"/>
      <c r="BA1470" s="40"/>
      <c r="BB1470" s="40"/>
      <c r="BC1470" s="40"/>
      <c r="BD1470" s="40"/>
      <c r="BE1470" s="40"/>
      <c r="BF1470" s="40"/>
      <c r="BG1470" s="40"/>
      <c r="BH1470" s="42"/>
      <c r="BI1470" s="42"/>
      <c r="BJ1470" s="42"/>
      <c r="BK1470" s="42"/>
      <c r="BL1470" s="42"/>
      <c r="BM1470" s="40"/>
      <c r="BN1470" s="44"/>
      <c r="BO1470" s="40"/>
      <c r="BP1470" s="42"/>
      <c r="BQ1470" s="10"/>
    </row>
    <row r="1471">
      <c r="A1471" s="45">
        <v>3.0</v>
      </c>
      <c r="B1471" s="46" t="s">
        <v>2479</v>
      </c>
      <c r="C1471" s="47"/>
      <c r="D1471" s="47"/>
      <c r="E1471" s="47"/>
      <c r="F1471" s="47"/>
      <c r="G1471" s="47"/>
      <c r="H1471" s="47"/>
      <c r="I1471" s="48" t="str">
        <f t="shared" si="16"/>
        <v>66111</v>
      </c>
      <c r="J1471" s="49"/>
      <c r="K1471" s="49"/>
      <c r="L1471" s="48" t="s">
        <v>2480</v>
      </c>
      <c r="M1471" s="50">
        <v>1.0</v>
      </c>
      <c r="N1471" s="51"/>
      <c r="O1471" s="47"/>
      <c r="P1471" s="51"/>
      <c r="Q1471" s="51"/>
      <c r="R1471" s="51"/>
      <c r="S1471" s="51"/>
      <c r="T1471" s="49"/>
      <c r="U1471" s="52">
        <v>1.0</v>
      </c>
      <c r="V1471" s="49"/>
      <c r="W1471" s="52" t="s">
        <v>70</v>
      </c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  <c r="AI1471" s="49"/>
      <c r="AJ1471" s="49"/>
      <c r="AK1471" s="49"/>
      <c r="AL1471" s="49"/>
      <c r="AM1471" s="49"/>
      <c r="AN1471" s="49"/>
      <c r="AO1471" s="49"/>
      <c r="AP1471" s="51"/>
      <c r="AQ1471" s="51"/>
      <c r="AR1471" s="51"/>
      <c r="AS1471" s="51"/>
      <c r="AT1471" s="51"/>
      <c r="AU1471" s="51"/>
      <c r="AV1471" s="49"/>
      <c r="AW1471" s="49"/>
      <c r="AX1471" s="49"/>
      <c r="AY1471" s="49"/>
      <c r="AZ1471" s="49"/>
      <c r="BA1471" s="49"/>
      <c r="BB1471" s="49"/>
      <c r="BC1471" s="49"/>
      <c r="BD1471" s="49"/>
      <c r="BE1471" s="49"/>
      <c r="BF1471" s="49"/>
      <c r="BG1471" s="49"/>
      <c r="BH1471" s="51"/>
      <c r="BI1471" s="51"/>
      <c r="BJ1471" s="51"/>
      <c r="BK1471" s="51"/>
      <c r="BL1471" s="51"/>
      <c r="BM1471" s="49"/>
      <c r="BN1471" s="53"/>
      <c r="BO1471" s="49"/>
      <c r="BP1471" s="51"/>
      <c r="BQ1471" s="10"/>
    </row>
    <row r="1472">
      <c r="A1472" s="28">
        <v>1.0</v>
      </c>
      <c r="B1472" s="29" t="s">
        <v>2481</v>
      </c>
      <c r="C1472" s="30"/>
      <c r="D1472" s="30"/>
      <c r="E1472" s="30"/>
      <c r="F1472" s="30"/>
      <c r="G1472" s="30"/>
      <c r="H1472" s="30"/>
      <c r="I1472" s="31" t="str">
        <f t="shared" si="16"/>
        <v>66200</v>
      </c>
      <c r="J1472" s="74"/>
      <c r="K1472" s="74"/>
      <c r="L1472" s="31" t="s">
        <v>2482</v>
      </c>
      <c r="M1472" s="75">
        <v>1.0</v>
      </c>
      <c r="N1472" s="32"/>
      <c r="O1472" s="30"/>
      <c r="P1472" s="32"/>
      <c r="Q1472" s="32"/>
      <c r="R1472" s="32"/>
      <c r="S1472" s="32"/>
      <c r="T1472" s="74"/>
      <c r="U1472" s="34">
        <v>1.0</v>
      </c>
      <c r="V1472" s="74"/>
      <c r="W1472" s="34" t="s">
        <v>70</v>
      </c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  <c r="AH1472" s="74"/>
      <c r="AI1472" s="74"/>
      <c r="AJ1472" s="74"/>
      <c r="AK1472" s="74"/>
      <c r="AL1472" s="74"/>
      <c r="AM1472" s="74"/>
      <c r="AN1472" s="74"/>
      <c r="AO1472" s="74"/>
      <c r="AP1472" s="32"/>
      <c r="AQ1472" s="32"/>
      <c r="AR1472" s="32"/>
      <c r="AS1472" s="32"/>
      <c r="AT1472" s="32"/>
      <c r="AU1472" s="32"/>
      <c r="AV1472" s="74"/>
      <c r="AW1472" s="74"/>
      <c r="AX1472" s="74"/>
      <c r="AY1472" s="74"/>
      <c r="AZ1472" s="74"/>
      <c r="BA1472" s="74"/>
      <c r="BB1472" s="74"/>
      <c r="BC1472" s="74"/>
      <c r="BD1472" s="74"/>
      <c r="BE1472" s="74"/>
      <c r="BF1472" s="74"/>
      <c r="BG1472" s="74"/>
      <c r="BH1472" s="32"/>
      <c r="BI1472" s="32"/>
      <c r="BJ1472" s="32"/>
      <c r="BK1472" s="32"/>
      <c r="BL1472" s="32"/>
      <c r="BM1472" s="74"/>
      <c r="BN1472" s="76"/>
      <c r="BO1472" s="74"/>
      <c r="BP1472" s="32"/>
      <c r="BQ1472" s="10"/>
    </row>
    <row r="1473">
      <c r="A1473" s="36">
        <v>2.0</v>
      </c>
      <c r="B1473" s="37" t="s">
        <v>2483</v>
      </c>
      <c r="C1473" s="38"/>
      <c r="D1473" s="38"/>
      <c r="E1473" s="38"/>
      <c r="F1473" s="38"/>
      <c r="G1473" s="38"/>
      <c r="H1473" s="38"/>
      <c r="I1473" s="39" t="str">
        <f t="shared" si="16"/>
        <v>66210</v>
      </c>
      <c r="J1473" s="40"/>
      <c r="K1473" s="40"/>
      <c r="L1473" s="39" t="s">
        <v>2484</v>
      </c>
      <c r="M1473" s="41">
        <v>1.0</v>
      </c>
      <c r="N1473" s="42"/>
      <c r="O1473" s="38"/>
      <c r="P1473" s="42"/>
      <c r="Q1473" s="42"/>
      <c r="R1473" s="42"/>
      <c r="S1473" s="42"/>
      <c r="T1473" s="40"/>
      <c r="U1473" s="43">
        <v>1.0</v>
      </c>
      <c r="V1473" s="40"/>
      <c r="W1473" s="43" t="s">
        <v>70</v>
      </c>
      <c r="X1473" s="40"/>
      <c r="Y1473" s="40"/>
      <c r="Z1473" s="40"/>
      <c r="AA1473" s="40"/>
      <c r="AB1473" s="40"/>
      <c r="AC1473" s="40"/>
      <c r="AD1473" s="40"/>
      <c r="AE1473" s="40"/>
      <c r="AF1473" s="40"/>
      <c r="AG1473" s="40"/>
      <c r="AH1473" s="40"/>
      <c r="AI1473" s="40"/>
      <c r="AJ1473" s="40"/>
      <c r="AK1473" s="40"/>
      <c r="AL1473" s="40"/>
      <c r="AM1473" s="40"/>
      <c r="AN1473" s="40"/>
      <c r="AO1473" s="40"/>
      <c r="AP1473" s="42"/>
      <c r="AQ1473" s="42"/>
      <c r="AR1473" s="42"/>
      <c r="AS1473" s="42"/>
      <c r="AT1473" s="42"/>
      <c r="AU1473" s="42"/>
      <c r="AV1473" s="40"/>
      <c r="AW1473" s="40"/>
      <c r="AX1473" s="40"/>
      <c r="AY1473" s="40"/>
      <c r="AZ1473" s="40"/>
      <c r="BA1473" s="40"/>
      <c r="BB1473" s="40"/>
      <c r="BC1473" s="40"/>
      <c r="BD1473" s="40"/>
      <c r="BE1473" s="40"/>
      <c r="BF1473" s="40"/>
      <c r="BG1473" s="40"/>
      <c r="BH1473" s="42"/>
      <c r="BI1473" s="42"/>
      <c r="BJ1473" s="42"/>
      <c r="BK1473" s="42"/>
      <c r="BL1473" s="42"/>
      <c r="BM1473" s="40"/>
      <c r="BN1473" s="44"/>
      <c r="BO1473" s="40"/>
      <c r="BP1473" s="42"/>
      <c r="BQ1473" s="10"/>
    </row>
    <row r="1474">
      <c r="A1474" s="45">
        <v>3.0</v>
      </c>
      <c r="B1474" s="46" t="s">
        <v>2485</v>
      </c>
      <c r="C1474" s="47"/>
      <c r="D1474" s="47"/>
      <c r="E1474" s="47"/>
      <c r="F1474" s="47"/>
      <c r="G1474" s="47"/>
      <c r="H1474" s="47"/>
      <c r="I1474" s="48" t="str">
        <f t="shared" si="16"/>
        <v>66211</v>
      </c>
      <c r="J1474" s="49"/>
      <c r="K1474" s="49"/>
      <c r="L1474" s="48" t="s">
        <v>2486</v>
      </c>
      <c r="M1474" s="50">
        <v>1.0</v>
      </c>
      <c r="N1474" s="51"/>
      <c r="O1474" s="47"/>
      <c r="P1474" s="51"/>
      <c r="Q1474" s="51"/>
      <c r="R1474" s="51"/>
      <c r="S1474" s="51"/>
      <c r="T1474" s="49"/>
      <c r="U1474" s="52">
        <v>1.0</v>
      </c>
      <c r="V1474" s="49"/>
      <c r="W1474" s="52" t="s">
        <v>70</v>
      </c>
      <c r="X1474" s="49"/>
      <c r="Y1474" s="49"/>
      <c r="Z1474" s="49"/>
      <c r="AA1474" s="49"/>
      <c r="AB1474" s="49"/>
      <c r="AC1474" s="49"/>
      <c r="AD1474" s="49"/>
      <c r="AE1474" s="49"/>
      <c r="AF1474" s="49"/>
      <c r="AG1474" s="49"/>
      <c r="AH1474" s="49"/>
      <c r="AI1474" s="49"/>
      <c r="AJ1474" s="49"/>
      <c r="AK1474" s="49"/>
      <c r="AL1474" s="49"/>
      <c r="AM1474" s="49"/>
      <c r="AN1474" s="49"/>
      <c r="AO1474" s="49"/>
      <c r="AP1474" s="51"/>
      <c r="AQ1474" s="51"/>
      <c r="AR1474" s="51"/>
      <c r="AS1474" s="51"/>
      <c r="AT1474" s="51"/>
      <c r="AU1474" s="51"/>
      <c r="AV1474" s="49"/>
      <c r="AW1474" s="49"/>
      <c r="AX1474" s="49"/>
      <c r="AY1474" s="49"/>
      <c r="AZ1474" s="49"/>
      <c r="BA1474" s="49"/>
      <c r="BB1474" s="49"/>
      <c r="BC1474" s="49"/>
      <c r="BD1474" s="49"/>
      <c r="BE1474" s="49"/>
      <c r="BF1474" s="49"/>
      <c r="BG1474" s="49"/>
      <c r="BH1474" s="51"/>
      <c r="BI1474" s="51"/>
      <c r="BJ1474" s="51"/>
      <c r="BK1474" s="51"/>
      <c r="BL1474" s="51"/>
      <c r="BM1474" s="49"/>
      <c r="BN1474" s="53"/>
      <c r="BO1474" s="49"/>
      <c r="BP1474" s="51"/>
      <c r="BQ1474" s="10"/>
    </row>
    <row r="1475">
      <c r="A1475" s="1">
        <v>4.0</v>
      </c>
      <c r="B1475" s="2" t="s">
        <v>2485</v>
      </c>
      <c r="C1475" s="2" t="s">
        <v>76</v>
      </c>
      <c r="D1475" s="93"/>
      <c r="E1475" s="93"/>
      <c r="F1475" s="93"/>
      <c r="G1475" s="93"/>
      <c r="H1475" s="93"/>
      <c r="I1475" s="3" t="str">
        <f t="shared" si="16"/>
        <v>6621101</v>
      </c>
      <c r="J1475" s="3"/>
      <c r="K1475" s="3"/>
      <c r="L1475" s="94" t="s">
        <v>2487</v>
      </c>
      <c r="M1475" s="4">
        <v>2.0</v>
      </c>
      <c r="N1475" s="3"/>
      <c r="O1475" s="93"/>
      <c r="P1475" s="3"/>
      <c r="Q1475" s="3"/>
      <c r="R1475" s="3"/>
      <c r="S1475" s="3"/>
      <c r="T1475" s="3"/>
      <c r="U1475" s="6">
        <v>1.0</v>
      </c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97"/>
      <c r="BO1475" s="3"/>
      <c r="BP1475" s="3"/>
      <c r="BQ1475" s="10"/>
    </row>
    <row r="1476">
      <c r="A1476" s="1">
        <v>5.0</v>
      </c>
      <c r="B1476" s="2" t="s">
        <v>2485</v>
      </c>
      <c r="C1476" s="2" t="s">
        <v>76</v>
      </c>
      <c r="D1476" s="2" t="s">
        <v>76</v>
      </c>
      <c r="E1476" s="93"/>
      <c r="F1476" s="93"/>
      <c r="G1476" s="93"/>
      <c r="H1476" s="93"/>
      <c r="I1476" s="3" t="str">
        <f t="shared" si="16"/>
        <v>662110101</v>
      </c>
      <c r="J1476" s="3"/>
      <c r="K1476" s="3"/>
      <c r="L1476" s="94" t="s">
        <v>2488</v>
      </c>
      <c r="M1476" s="4">
        <v>2.0</v>
      </c>
      <c r="N1476" s="3"/>
      <c r="O1476" s="93"/>
      <c r="P1476" s="3"/>
      <c r="Q1476" s="3"/>
      <c r="R1476" s="3"/>
      <c r="S1476" s="3"/>
      <c r="T1476" s="3"/>
      <c r="U1476" s="6">
        <v>3.0</v>
      </c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97"/>
      <c r="BO1476" s="3"/>
      <c r="BP1476" s="3"/>
      <c r="BQ1476" s="10"/>
    </row>
    <row r="1477">
      <c r="A1477" s="1">
        <v>4.0</v>
      </c>
      <c r="B1477" s="2" t="s">
        <v>2485</v>
      </c>
      <c r="C1477" s="2" t="s">
        <v>119</v>
      </c>
      <c r="D1477" s="93"/>
      <c r="E1477" s="93"/>
      <c r="F1477" s="93"/>
      <c r="G1477" s="93"/>
      <c r="H1477" s="93"/>
      <c r="I1477" s="3" t="str">
        <f t="shared" si="16"/>
        <v>6621102</v>
      </c>
      <c r="J1477" s="3"/>
      <c r="K1477" s="3"/>
      <c r="L1477" s="94" t="s">
        <v>2489</v>
      </c>
      <c r="M1477" s="4">
        <v>2.0</v>
      </c>
      <c r="N1477" s="3"/>
      <c r="O1477" s="93"/>
      <c r="P1477" s="3"/>
      <c r="Q1477" s="3"/>
      <c r="R1477" s="3"/>
      <c r="S1477" s="3"/>
      <c r="T1477" s="3"/>
      <c r="U1477" s="6">
        <v>1.0</v>
      </c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97"/>
      <c r="BO1477" s="3"/>
      <c r="BP1477" s="3"/>
      <c r="BQ1477" s="10"/>
    </row>
    <row r="1478">
      <c r="A1478" s="1">
        <v>5.0</v>
      </c>
      <c r="B1478" s="2" t="s">
        <v>2485</v>
      </c>
      <c r="C1478" s="2" t="s">
        <v>119</v>
      </c>
      <c r="D1478" s="2" t="s">
        <v>76</v>
      </c>
      <c r="E1478" s="93"/>
      <c r="F1478" s="93"/>
      <c r="G1478" s="93"/>
      <c r="H1478" s="93"/>
      <c r="I1478" s="3" t="str">
        <f t="shared" si="16"/>
        <v>662110201</v>
      </c>
      <c r="J1478" s="3"/>
      <c r="K1478" s="3"/>
      <c r="L1478" s="94" t="s">
        <v>2488</v>
      </c>
      <c r="M1478" s="4">
        <v>2.0</v>
      </c>
      <c r="N1478" s="3"/>
      <c r="O1478" s="93"/>
      <c r="P1478" s="3"/>
      <c r="Q1478" s="3"/>
      <c r="R1478" s="3"/>
      <c r="S1478" s="3"/>
      <c r="T1478" s="3"/>
      <c r="U1478" s="6">
        <v>2.0</v>
      </c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97"/>
      <c r="BO1478" s="3"/>
      <c r="BP1478" s="3"/>
      <c r="BQ1478" s="10"/>
    </row>
    <row r="1479">
      <c r="A1479" s="1">
        <v>5.0</v>
      </c>
      <c r="B1479" s="2" t="s">
        <v>2485</v>
      </c>
      <c r="C1479" s="2" t="s">
        <v>119</v>
      </c>
      <c r="D1479" s="2" t="s">
        <v>119</v>
      </c>
      <c r="E1479" s="93"/>
      <c r="F1479" s="93"/>
      <c r="G1479" s="93"/>
      <c r="H1479" s="93"/>
      <c r="I1479" s="3" t="str">
        <f t="shared" si="16"/>
        <v>662110202</v>
      </c>
      <c r="J1479" s="3"/>
      <c r="K1479" s="3"/>
      <c r="L1479" s="94" t="s">
        <v>2490</v>
      </c>
      <c r="M1479" s="4">
        <v>2.0</v>
      </c>
      <c r="N1479" s="3"/>
      <c r="O1479" s="93"/>
      <c r="P1479" s="3"/>
      <c r="Q1479" s="3"/>
      <c r="R1479" s="3"/>
      <c r="S1479" s="3"/>
      <c r="T1479" s="3"/>
      <c r="U1479" s="6">
        <v>5.0</v>
      </c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97"/>
      <c r="BO1479" s="3"/>
      <c r="BP1479" s="3"/>
      <c r="BQ1479" s="10"/>
    </row>
    <row r="1480">
      <c r="A1480" s="1">
        <v>5.0</v>
      </c>
      <c r="B1480" s="2" t="s">
        <v>2485</v>
      </c>
      <c r="C1480" s="2" t="s">
        <v>119</v>
      </c>
      <c r="D1480" s="2" t="s">
        <v>124</v>
      </c>
      <c r="E1480" s="93"/>
      <c r="F1480" s="93"/>
      <c r="G1480" s="93"/>
      <c r="H1480" s="93"/>
      <c r="I1480" s="3" t="str">
        <f t="shared" si="16"/>
        <v>662110203</v>
      </c>
      <c r="J1480" s="3"/>
      <c r="K1480" s="3"/>
      <c r="L1480" s="94" t="s">
        <v>776</v>
      </c>
      <c r="M1480" s="4">
        <v>2.0</v>
      </c>
      <c r="N1480" s="3"/>
      <c r="O1480" s="93"/>
      <c r="P1480" s="3"/>
      <c r="Q1480" s="3"/>
      <c r="R1480" s="3"/>
      <c r="S1480" s="3"/>
      <c r="T1480" s="3"/>
      <c r="U1480" s="6" t="s">
        <v>79</v>
      </c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97"/>
      <c r="BO1480" s="3"/>
      <c r="BP1480" s="3"/>
      <c r="BQ1480" s="10"/>
    </row>
    <row r="1481">
      <c r="A1481" s="1">
        <v>5.0</v>
      </c>
      <c r="B1481" s="2" t="s">
        <v>2485</v>
      </c>
      <c r="C1481" s="2" t="s">
        <v>119</v>
      </c>
      <c r="D1481" s="2" t="s">
        <v>127</v>
      </c>
      <c r="E1481" s="93"/>
      <c r="F1481" s="93"/>
      <c r="G1481" s="93"/>
      <c r="H1481" s="93"/>
      <c r="I1481" s="3" t="str">
        <f t="shared" si="16"/>
        <v>662110204</v>
      </c>
      <c r="J1481" s="3"/>
      <c r="K1481" s="3"/>
      <c r="L1481" s="94" t="s">
        <v>2491</v>
      </c>
      <c r="M1481" s="4">
        <v>2.0</v>
      </c>
      <c r="N1481" s="3"/>
      <c r="O1481" s="93"/>
      <c r="P1481" s="3"/>
      <c r="Q1481" s="3"/>
      <c r="R1481" s="3"/>
      <c r="S1481" s="3"/>
      <c r="T1481" s="3"/>
      <c r="U1481" s="6" t="s">
        <v>79</v>
      </c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97"/>
      <c r="BO1481" s="3"/>
      <c r="BP1481" s="3"/>
      <c r="BQ1481" s="10"/>
    </row>
    <row r="1482">
      <c r="A1482" s="28">
        <v>1.0</v>
      </c>
      <c r="B1482" s="29">
        <v>66400.0</v>
      </c>
      <c r="C1482" s="30"/>
      <c r="D1482" s="30"/>
      <c r="E1482" s="30"/>
      <c r="F1482" s="30"/>
      <c r="G1482" s="30"/>
      <c r="H1482" s="30"/>
      <c r="I1482" s="31" t="str">
        <f t="shared" si="16"/>
        <v>66400</v>
      </c>
      <c r="J1482" s="74"/>
      <c r="K1482" s="74"/>
      <c r="L1482" s="31" t="s">
        <v>2492</v>
      </c>
      <c r="M1482" s="75">
        <v>1.0</v>
      </c>
      <c r="N1482" s="32"/>
      <c r="O1482" s="30"/>
      <c r="P1482" s="32"/>
      <c r="Q1482" s="32"/>
      <c r="R1482" s="32"/>
      <c r="S1482" s="32"/>
      <c r="T1482" s="74"/>
      <c r="U1482" s="34">
        <v>1.0</v>
      </c>
      <c r="V1482" s="74"/>
      <c r="W1482" s="34" t="s">
        <v>70</v>
      </c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  <c r="AH1482" s="74"/>
      <c r="AI1482" s="74"/>
      <c r="AJ1482" s="74"/>
      <c r="AK1482" s="74"/>
      <c r="AL1482" s="74"/>
      <c r="AM1482" s="74"/>
      <c r="AN1482" s="74"/>
      <c r="AO1482" s="74"/>
      <c r="AP1482" s="32"/>
      <c r="AQ1482" s="32"/>
      <c r="AR1482" s="32"/>
      <c r="AS1482" s="32"/>
      <c r="AT1482" s="32"/>
      <c r="AU1482" s="32"/>
      <c r="AV1482" s="74"/>
      <c r="AW1482" s="74"/>
      <c r="AX1482" s="74"/>
      <c r="AY1482" s="74"/>
      <c r="AZ1482" s="74"/>
      <c r="BA1482" s="74"/>
      <c r="BB1482" s="74"/>
      <c r="BC1482" s="74"/>
      <c r="BD1482" s="74"/>
      <c r="BE1482" s="74"/>
      <c r="BF1482" s="74"/>
      <c r="BG1482" s="74"/>
      <c r="BH1482" s="32"/>
      <c r="BI1482" s="32"/>
      <c r="BJ1482" s="32"/>
      <c r="BK1482" s="32"/>
      <c r="BL1482" s="32"/>
      <c r="BM1482" s="74"/>
      <c r="BN1482" s="76"/>
      <c r="BO1482" s="74"/>
      <c r="BP1482" s="32"/>
      <c r="BQ1482" s="10"/>
    </row>
    <row r="1483">
      <c r="A1483" s="36">
        <v>2.0</v>
      </c>
      <c r="B1483" s="37">
        <v>66410.0</v>
      </c>
      <c r="C1483" s="38"/>
      <c r="D1483" s="38"/>
      <c r="E1483" s="38"/>
      <c r="F1483" s="38"/>
      <c r="G1483" s="38"/>
      <c r="H1483" s="38"/>
      <c r="I1483" s="39" t="str">
        <f t="shared" si="16"/>
        <v>66410</v>
      </c>
      <c r="J1483" s="40"/>
      <c r="K1483" s="40"/>
      <c r="L1483" s="39" t="s">
        <v>2493</v>
      </c>
      <c r="M1483" s="41">
        <v>1.0</v>
      </c>
      <c r="N1483" s="42"/>
      <c r="O1483" s="38"/>
      <c r="P1483" s="42"/>
      <c r="Q1483" s="42"/>
      <c r="R1483" s="42"/>
      <c r="S1483" s="42"/>
      <c r="T1483" s="40"/>
      <c r="U1483" s="43">
        <v>1.0</v>
      </c>
      <c r="V1483" s="40"/>
      <c r="W1483" s="43" t="s">
        <v>70</v>
      </c>
      <c r="X1483" s="40"/>
      <c r="Y1483" s="40"/>
      <c r="Z1483" s="40"/>
      <c r="AA1483" s="40"/>
      <c r="AB1483" s="40"/>
      <c r="AC1483" s="40"/>
      <c r="AD1483" s="40"/>
      <c r="AE1483" s="40"/>
      <c r="AF1483" s="40"/>
      <c r="AG1483" s="40"/>
      <c r="AH1483" s="40"/>
      <c r="AI1483" s="40"/>
      <c r="AJ1483" s="40"/>
      <c r="AK1483" s="40"/>
      <c r="AL1483" s="40"/>
      <c r="AM1483" s="40"/>
      <c r="AN1483" s="40"/>
      <c r="AO1483" s="40"/>
      <c r="AP1483" s="42"/>
      <c r="AQ1483" s="42"/>
      <c r="AR1483" s="42"/>
      <c r="AS1483" s="42"/>
      <c r="AT1483" s="42"/>
      <c r="AU1483" s="42"/>
      <c r="AV1483" s="40"/>
      <c r="AW1483" s="40"/>
      <c r="AX1483" s="40"/>
      <c r="AY1483" s="40"/>
      <c r="AZ1483" s="40"/>
      <c r="BA1483" s="40"/>
      <c r="BB1483" s="40"/>
      <c r="BC1483" s="40"/>
      <c r="BD1483" s="40"/>
      <c r="BE1483" s="40"/>
      <c r="BF1483" s="40"/>
      <c r="BG1483" s="40"/>
      <c r="BH1483" s="42"/>
      <c r="BI1483" s="42"/>
      <c r="BJ1483" s="42"/>
      <c r="BK1483" s="42"/>
      <c r="BL1483" s="42"/>
      <c r="BM1483" s="40"/>
      <c r="BN1483" s="44"/>
      <c r="BO1483" s="40"/>
      <c r="BP1483" s="42"/>
      <c r="BQ1483" s="10"/>
    </row>
    <row r="1484">
      <c r="A1484" s="45">
        <v>3.0</v>
      </c>
      <c r="B1484" s="46">
        <v>66411.0</v>
      </c>
      <c r="C1484" s="47"/>
      <c r="D1484" s="47"/>
      <c r="E1484" s="47"/>
      <c r="F1484" s="47"/>
      <c r="G1484" s="47"/>
      <c r="H1484" s="47"/>
      <c r="I1484" s="48" t="str">
        <f t="shared" si="16"/>
        <v>66411</v>
      </c>
      <c r="J1484" s="49"/>
      <c r="K1484" s="49"/>
      <c r="L1484" s="48" t="s">
        <v>2494</v>
      </c>
      <c r="M1484" s="50">
        <v>1.0</v>
      </c>
      <c r="N1484" s="51"/>
      <c r="O1484" s="47"/>
      <c r="P1484" s="51"/>
      <c r="Q1484" s="51"/>
      <c r="R1484" s="51"/>
      <c r="S1484" s="51"/>
      <c r="T1484" s="49"/>
      <c r="U1484" s="52">
        <v>1.0</v>
      </c>
      <c r="V1484" s="49"/>
      <c r="W1484" s="52" t="s">
        <v>70</v>
      </c>
      <c r="X1484" s="49"/>
      <c r="Y1484" s="49"/>
      <c r="Z1484" s="49"/>
      <c r="AA1484" s="49"/>
      <c r="AB1484" s="49"/>
      <c r="AC1484" s="49"/>
      <c r="AD1484" s="49"/>
      <c r="AE1484" s="49"/>
      <c r="AF1484" s="49"/>
      <c r="AG1484" s="49"/>
      <c r="AH1484" s="49"/>
      <c r="AI1484" s="49"/>
      <c r="AJ1484" s="49"/>
      <c r="AK1484" s="49"/>
      <c r="AL1484" s="49"/>
      <c r="AM1484" s="49"/>
      <c r="AN1484" s="49"/>
      <c r="AO1484" s="49"/>
      <c r="AP1484" s="51"/>
      <c r="AQ1484" s="51"/>
      <c r="AR1484" s="51"/>
      <c r="AS1484" s="51"/>
      <c r="AT1484" s="51"/>
      <c r="AU1484" s="51"/>
      <c r="AV1484" s="49"/>
      <c r="AW1484" s="49"/>
      <c r="AX1484" s="49"/>
      <c r="AY1484" s="49"/>
      <c r="AZ1484" s="49"/>
      <c r="BA1484" s="49"/>
      <c r="BB1484" s="49"/>
      <c r="BC1484" s="49"/>
      <c r="BD1484" s="49"/>
      <c r="BE1484" s="49"/>
      <c r="BF1484" s="49"/>
      <c r="BG1484" s="49"/>
      <c r="BH1484" s="51"/>
      <c r="BI1484" s="51"/>
      <c r="BJ1484" s="51"/>
      <c r="BK1484" s="51"/>
      <c r="BL1484" s="51"/>
      <c r="BM1484" s="49"/>
      <c r="BN1484" s="53"/>
      <c r="BO1484" s="49"/>
      <c r="BP1484" s="51"/>
      <c r="BQ1484" s="10"/>
    </row>
    <row r="1485">
      <c r="A1485" s="1">
        <v>4.0</v>
      </c>
      <c r="B1485" s="2">
        <v>66411.0</v>
      </c>
      <c r="C1485" s="2" t="s">
        <v>76</v>
      </c>
      <c r="D1485" s="93"/>
      <c r="E1485" s="93"/>
      <c r="F1485" s="93"/>
      <c r="G1485" s="93"/>
      <c r="H1485" s="93"/>
      <c r="I1485" s="3" t="str">
        <f t="shared" si="16"/>
        <v>6641101</v>
      </c>
      <c r="J1485" s="3"/>
      <c r="K1485" s="3"/>
      <c r="L1485" s="94" t="s">
        <v>2495</v>
      </c>
      <c r="M1485" s="4">
        <v>2.0</v>
      </c>
      <c r="N1485" s="3"/>
      <c r="O1485" s="93"/>
      <c r="P1485" s="3"/>
      <c r="Q1485" s="3"/>
      <c r="R1485" s="3"/>
      <c r="S1485" s="3"/>
      <c r="T1485" s="3"/>
      <c r="U1485" s="6" t="s">
        <v>79</v>
      </c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97"/>
      <c r="BO1485" s="3"/>
      <c r="BP1485" s="3"/>
      <c r="BQ1485" s="10"/>
    </row>
    <row r="1486">
      <c r="A1486" s="1">
        <v>5.0</v>
      </c>
      <c r="B1486" s="2">
        <v>66411.0</v>
      </c>
      <c r="C1486" s="2" t="s">
        <v>76</v>
      </c>
      <c r="D1486" s="2" t="s">
        <v>76</v>
      </c>
      <c r="E1486" s="93"/>
      <c r="F1486" s="93"/>
      <c r="G1486" s="93"/>
      <c r="H1486" s="93"/>
      <c r="I1486" s="3" t="str">
        <f t="shared" si="16"/>
        <v>664110101</v>
      </c>
      <c r="J1486" s="3"/>
      <c r="K1486" s="3"/>
      <c r="L1486" s="94" t="s">
        <v>2496</v>
      </c>
      <c r="M1486" s="4">
        <v>2.0</v>
      </c>
      <c r="N1486" s="3"/>
      <c r="O1486" s="93"/>
      <c r="P1486" s="3"/>
      <c r="Q1486" s="3"/>
      <c r="R1486" s="3"/>
      <c r="S1486" s="3"/>
      <c r="T1486" s="3"/>
      <c r="U1486" s="6">
        <v>1.0</v>
      </c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97"/>
      <c r="BO1486" s="3"/>
      <c r="BP1486" s="3"/>
      <c r="BQ1486" s="10"/>
    </row>
    <row r="1487">
      <c r="A1487" s="1">
        <v>5.0</v>
      </c>
      <c r="B1487" s="2">
        <v>66411.0</v>
      </c>
      <c r="C1487" s="2" t="s">
        <v>76</v>
      </c>
      <c r="D1487" s="2" t="s">
        <v>119</v>
      </c>
      <c r="E1487" s="93"/>
      <c r="F1487" s="93"/>
      <c r="G1487" s="93"/>
      <c r="H1487" s="93"/>
      <c r="I1487" s="3" t="str">
        <f t="shared" si="16"/>
        <v>664110102</v>
      </c>
      <c r="J1487" s="3"/>
      <c r="K1487" s="3"/>
      <c r="L1487" s="94" t="s">
        <v>2497</v>
      </c>
      <c r="M1487" s="4">
        <v>2.0</v>
      </c>
      <c r="N1487" s="3"/>
      <c r="O1487" s="93"/>
      <c r="P1487" s="3"/>
      <c r="Q1487" s="3"/>
      <c r="R1487" s="3"/>
      <c r="S1487" s="3"/>
      <c r="T1487" s="3"/>
      <c r="U1487" s="6">
        <v>1.0</v>
      </c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97"/>
      <c r="BO1487" s="3"/>
      <c r="BP1487" s="3"/>
      <c r="BQ1487" s="10"/>
    </row>
    <row r="1488">
      <c r="A1488" s="1">
        <v>5.0</v>
      </c>
      <c r="B1488" s="2">
        <v>66411.0</v>
      </c>
      <c r="C1488" s="2" t="s">
        <v>76</v>
      </c>
      <c r="D1488" s="2" t="s">
        <v>124</v>
      </c>
      <c r="E1488" s="93"/>
      <c r="F1488" s="93"/>
      <c r="G1488" s="93"/>
      <c r="H1488" s="93"/>
      <c r="I1488" s="3" t="str">
        <f t="shared" si="16"/>
        <v>664110103</v>
      </c>
      <c r="J1488" s="3"/>
      <c r="K1488" s="3"/>
      <c r="L1488" s="94" t="s">
        <v>2498</v>
      </c>
      <c r="M1488" s="4">
        <v>2.0</v>
      </c>
      <c r="N1488" s="3"/>
      <c r="O1488" s="93"/>
      <c r="P1488" s="3"/>
      <c r="Q1488" s="3"/>
      <c r="R1488" s="3"/>
      <c r="S1488" s="3"/>
      <c r="T1488" s="3"/>
      <c r="U1488" s="6">
        <v>1.0</v>
      </c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97"/>
      <c r="BO1488" s="3"/>
      <c r="BP1488" s="3"/>
      <c r="BQ1488" s="10"/>
    </row>
    <row r="1489">
      <c r="A1489" s="1">
        <v>4.0</v>
      </c>
      <c r="B1489" s="2">
        <v>66411.0</v>
      </c>
      <c r="C1489" s="2" t="s">
        <v>119</v>
      </c>
      <c r="D1489" s="93"/>
      <c r="E1489" s="93"/>
      <c r="F1489" s="93"/>
      <c r="G1489" s="93"/>
      <c r="H1489" s="93"/>
      <c r="I1489" s="3" t="str">
        <f t="shared" si="16"/>
        <v>6641102</v>
      </c>
      <c r="J1489" s="3"/>
      <c r="K1489" s="3"/>
      <c r="L1489" s="94" t="s">
        <v>2499</v>
      </c>
      <c r="M1489" s="4">
        <v>2.0</v>
      </c>
      <c r="N1489" s="3"/>
      <c r="O1489" s="93"/>
      <c r="P1489" s="3"/>
      <c r="Q1489" s="3"/>
      <c r="R1489" s="3"/>
      <c r="S1489" s="3"/>
      <c r="T1489" s="3"/>
      <c r="U1489" s="6" t="s">
        <v>79</v>
      </c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97"/>
      <c r="BO1489" s="3"/>
      <c r="BP1489" s="3"/>
      <c r="BQ1489" s="10"/>
    </row>
    <row r="1490">
      <c r="A1490" s="1">
        <v>5.0</v>
      </c>
      <c r="B1490" s="2">
        <v>66411.0</v>
      </c>
      <c r="C1490" s="2" t="s">
        <v>119</v>
      </c>
      <c r="D1490" s="2" t="s">
        <v>76</v>
      </c>
      <c r="E1490" s="93"/>
      <c r="F1490" s="93"/>
      <c r="G1490" s="93"/>
      <c r="H1490" s="93"/>
      <c r="I1490" s="3" t="str">
        <f t="shared" si="16"/>
        <v>664110201</v>
      </c>
      <c r="J1490" s="3"/>
      <c r="K1490" s="3"/>
      <c r="L1490" s="94" t="s">
        <v>2500</v>
      </c>
      <c r="M1490" s="4">
        <v>2.0</v>
      </c>
      <c r="N1490" s="3"/>
      <c r="O1490" s="93"/>
      <c r="P1490" s="3"/>
      <c r="Q1490" s="3"/>
      <c r="R1490" s="3"/>
      <c r="S1490" s="3"/>
      <c r="T1490" s="3"/>
      <c r="U1490" s="6" t="s">
        <v>79</v>
      </c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97"/>
      <c r="BO1490" s="3"/>
      <c r="BP1490" s="3"/>
      <c r="BQ1490" s="10"/>
    </row>
    <row r="1491">
      <c r="A1491" s="1">
        <v>5.0</v>
      </c>
      <c r="B1491" s="2">
        <v>66411.0</v>
      </c>
      <c r="C1491" s="2" t="s">
        <v>119</v>
      </c>
      <c r="D1491" s="2" t="s">
        <v>119</v>
      </c>
      <c r="E1491" s="93"/>
      <c r="F1491" s="93"/>
      <c r="G1491" s="93"/>
      <c r="H1491" s="93"/>
      <c r="I1491" s="3" t="str">
        <f t="shared" si="16"/>
        <v>664110202</v>
      </c>
      <c r="J1491" s="3"/>
      <c r="K1491" s="3"/>
      <c r="L1491" s="94" t="s">
        <v>2501</v>
      </c>
      <c r="M1491" s="4">
        <v>2.0</v>
      </c>
      <c r="N1491" s="3"/>
      <c r="O1491" s="93"/>
      <c r="P1491" s="3"/>
      <c r="Q1491" s="3"/>
      <c r="R1491" s="3"/>
      <c r="S1491" s="3"/>
      <c r="T1491" s="3"/>
      <c r="U1491" s="6">
        <v>5.0</v>
      </c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97"/>
      <c r="BO1491" s="3"/>
      <c r="BP1491" s="3"/>
      <c r="BQ1491" s="10"/>
    </row>
    <row r="1492">
      <c r="A1492" s="1">
        <v>4.0</v>
      </c>
      <c r="B1492" s="2">
        <v>66411.0</v>
      </c>
      <c r="C1492" s="2" t="s">
        <v>124</v>
      </c>
      <c r="D1492" s="93"/>
      <c r="E1492" s="93"/>
      <c r="F1492" s="93"/>
      <c r="G1492" s="93"/>
      <c r="H1492" s="93"/>
      <c r="I1492" s="3" t="str">
        <f t="shared" si="16"/>
        <v>6641103</v>
      </c>
      <c r="J1492" s="3"/>
      <c r="K1492" s="3"/>
      <c r="L1492" s="94" t="s">
        <v>2502</v>
      </c>
      <c r="M1492" s="4">
        <v>2.0</v>
      </c>
      <c r="N1492" s="3"/>
      <c r="O1492" s="93"/>
      <c r="P1492" s="3"/>
      <c r="Q1492" s="3"/>
      <c r="R1492" s="3"/>
      <c r="S1492" s="3"/>
      <c r="T1492" s="3"/>
      <c r="U1492" s="6">
        <v>1.0</v>
      </c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97"/>
      <c r="BO1492" s="3"/>
      <c r="BP1492" s="3"/>
      <c r="BQ1492" s="10"/>
    </row>
    <row r="1493">
      <c r="A1493" s="1">
        <v>5.0</v>
      </c>
      <c r="B1493" s="2">
        <v>66411.0</v>
      </c>
      <c r="C1493" s="2" t="s">
        <v>124</v>
      </c>
      <c r="D1493" s="2" t="s">
        <v>76</v>
      </c>
      <c r="E1493" s="93"/>
      <c r="F1493" s="93"/>
      <c r="G1493" s="93"/>
      <c r="H1493" s="93"/>
      <c r="I1493" s="3" t="str">
        <f t="shared" si="16"/>
        <v>664110301</v>
      </c>
      <c r="J1493" s="3"/>
      <c r="K1493" s="3"/>
      <c r="L1493" s="94" t="s">
        <v>2503</v>
      </c>
      <c r="M1493" s="4">
        <v>2.0</v>
      </c>
      <c r="N1493" s="3"/>
      <c r="O1493" s="93"/>
      <c r="P1493" s="3"/>
      <c r="Q1493" s="3"/>
      <c r="R1493" s="3"/>
      <c r="S1493" s="3"/>
      <c r="T1493" s="3"/>
      <c r="U1493" s="6">
        <v>1.0</v>
      </c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97"/>
      <c r="BO1493" s="3"/>
      <c r="BP1493" s="3"/>
      <c r="BQ1493" s="10"/>
    </row>
    <row r="1494">
      <c r="A1494" s="1">
        <v>4.0</v>
      </c>
      <c r="B1494" s="2">
        <v>66411.0</v>
      </c>
      <c r="C1494" s="2" t="s">
        <v>127</v>
      </c>
      <c r="D1494" s="93"/>
      <c r="E1494" s="93"/>
      <c r="F1494" s="93"/>
      <c r="G1494" s="93"/>
      <c r="H1494" s="93"/>
      <c r="I1494" s="3" t="str">
        <f t="shared" si="16"/>
        <v>6641104</v>
      </c>
      <c r="J1494" s="3"/>
      <c r="K1494" s="3"/>
      <c r="L1494" s="94" t="s">
        <v>2504</v>
      </c>
      <c r="M1494" s="4">
        <v>2.0</v>
      </c>
      <c r="N1494" s="3"/>
      <c r="O1494" s="93"/>
      <c r="P1494" s="3"/>
      <c r="Q1494" s="3"/>
      <c r="R1494" s="3"/>
      <c r="S1494" s="3"/>
      <c r="T1494" s="3"/>
      <c r="U1494" s="6">
        <v>1.0</v>
      </c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97"/>
      <c r="BO1494" s="3"/>
      <c r="BP1494" s="3"/>
      <c r="BQ1494" s="10"/>
    </row>
    <row r="1495">
      <c r="A1495" s="1">
        <v>5.0</v>
      </c>
      <c r="B1495" s="2">
        <v>66411.0</v>
      </c>
      <c r="C1495" s="2" t="s">
        <v>127</v>
      </c>
      <c r="D1495" s="2" t="s">
        <v>76</v>
      </c>
      <c r="E1495" s="93"/>
      <c r="F1495" s="93"/>
      <c r="G1495" s="93"/>
      <c r="H1495" s="93"/>
      <c r="I1495" s="3" t="str">
        <f t="shared" si="16"/>
        <v>664110401</v>
      </c>
      <c r="J1495" s="3"/>
      <c r="K1495" s="3"/>
      <c r="L1495" s="94" t="s">
        <v>2505</v>
      </c>
      <c r="M1495" s="4">
        <v>2.0</v>
      </c>
      <c r="N1495" s="3"/>
      <c r="O1495" s="93"/>
      <c r="P1495" s="3"/>
      <c r="Q1495" s="3"/>
      <c r="R1495" s="3"/>
      <c r="S1495" s="3"/>
      <c r="T1495" s="3"/>
      <c r="U1495" s="6">
        <v>2.0</v>
      </c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97"/>
      <c r="BO1495" s="3"/>
      <c r="BP1495" s="3"/>
      <c r="BQ1495" s="10"/>
    </row>
    <row r="1496">
      <c r="A1496" s="1">
        <v>5.0</v>
      </c>
      <c r="B1496" s="2">
        <v>66411.0</v>
      </c>
      <c r="C1496" s="2" t="s">
        <v>127</v>
      </c>
      <c r="D1496" s="2" t="s">
        <v>119</v>
      </c>
      <c r="E1496" s="93"/>
      <c r="F1496" s="93"/>
      <c r="G1496" s="93"/>
      <c r="H1496" s="93"/>
      <c r="I1496" s="3" t="str">
        <f t="shared" si="16"/>
        <v>664110402</v>
      </c>
      <c r="J1496" s="3"/>
      <c r="K1496" s="3"/>
      <c r="L1496" s="94" t="s">
        <v>2506</v>
      </c>
      <c r="M1496" s="4">
        <v>2.0</v>
      </c>
      <c r="N1496" s="3"/>
      <c r="O1496" s="93"/>
      <c r="P1496" s="3"/>
      <c r="Q1496" s="3"/>
      <c r="R1496" s="3"/>
      <c r="S1496" s="3"/>
      <c r="T1496" s="3"/>
      <c r="U1496" s="6">
        <v>1.0</v>
      </c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97"/>
      <c r="BO1496" s="3"/>
      <c r="BP1496" s="3"/>
      <c r="BQ1496" s="10"/>
    </row>
    <row r="1497">
      <c r="A1497" s="1">
        <v>4.0</v>
      </c>
      <c r="B1497" s="2">
        <v>66411.0</v>
      </c>
      <c r="C1497" s="2" t="s">
        <v>91</v>
      </c>
      <c r="D1497" s="93"/>
      <c r="E1497" s="93"/>
      <c r="F1497" s="93"/>
      <c r="G1497" s="93"/>
      <c r="H1497" s="93"/>
      <c r="I1497" s="3" t="str">
        <f t="shared" si="16"/>
        <v>6641105</v>
      </c>
      <c r="J1497" s="3"/>
      <c r="K1497" s="3"/>
      <c r="L1497" s="94" t="s">
        <v>2507</v>
      </c>
      <c r="M1497" s="4">
        <v>2.0</v>
      </c>
      <c r="N1497" s="3"/>
      <c r="O1497" s="93"/>
      <c r="P1497" s="3"/>
      <c r="Q1497" s="3"/>
      <c r="R1497" s="3"/>
      <c r="S1497" s="3"/>
      <c r="T1497" s="3"/>
      <c r="U1497" s="6">
        <v>1.0</v>
      </c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97"/>
      <c r="BO1497" s="3"/>
      <c r="BP1497" s="3"/>
      <c r="BQ1497" s="10"/>
    </row>
    <row r="1498">
      <c r="A1498" s="1">
        <v>5.0</v>
      </c>
      <c r="B1498" s="2">
        <v>66411.0</v>
      </c>
      <c r="C1498" s="2" t="s">
        <v>91</v>
      </c>
      <c r="D1498" s="2" t="s">
        <v>76</v>
      </c>
      <c r="E1498" s="93"/>
      <c r="F1498" s="93"/>
      <c r="G1498" s="93"/>
      <c r="H1498" s="93"/>
      <c r="I1498" s="3" t="str">
        <f t="shared" si="16"/>
        <v>664110501</v>
      </c>
      <c r="J1498" s="3"/>
      <c r="K1498" s="3"/>
      <c r="L1498" s="94" t="s">
        <v>2488</v>
      </c>
      <c r="M1498" s="4">
        <v>2.0</v>
      </c>
      <c r="N1498" s="3"/>
      <c r="O1498" s="93"/>
      <c r="P1498" s="3"/>
      <c r="Q1498" s="3"/>
      <c r="R1498" s="3"/>
      <c r="S1498" s="3"/>
      <c r="T1498" s="3"/>
      <c r="U1498" s="6">
        <v>2.0</v>
      </c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97"/>
      <c r="BO1498" s="3"/>
      <c r="BP1498" s="3"/>
      <c r="BQ1498" s="10"/>
    </row>
    <row r="1499">
      <c r="A1499" s="1">
        <v>4.0</v>
      </c>
      <c r="B1499" s="2">
        <v>66411.0</v>
      </c>
      <c r="C1499" s="2" t="s">
        <v>133</v>
      </c>
      <c r="D1499" s="93"/>
      <c r="E1499" s="93"/>
      <c r="F1499" s="93"/>
      <c r="G1499" s="93"/>
      <c r="H1499" s="93"/>
      <c r="I1499" s="3" t="str">
        <f t="shared" si="16"/>
        <v>6641106</v>
      </c>
      <c r="J1499" s="3"/>
      <c r="K1499" s="3"/>
      <c r="L1499" s="94" t="s">
        <v>2508</v>
      </c>
      <c r="M1499" s="4">
        <v>2.0</v>
      </c>
      <c r="N1499" s="3"/>
      <c r="O1499" s="93"/>
      <c r="P1499" s="3"/>
      <c r="Q1499" s="3"/>
      <c r="R1499" s="3"/>
      <c r="S1499" s="3"/>
      <c r="T1499" s="3"/>
      <c r="U1499" s="6">
        <v>1.0</v>
      </c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97"/>
      <c r="BO1499" s="3"/>
      <c r="BP1499" s="3"/>
      <c r="BQ1499" s="10"/>
    </row>
    <row r="1500">
      <c r="A1500" s="1">
        <v>5.0</v>
      </c>
      <c r="B1500" s="2">
        <v>66411.0</v>
      </c>
      <c r="C1500" s="2" t="s">
        <v>133</v>
      </c>
      <c r="D1500" s="2" t="s">
        <v>76</v>
      </c>
      <c r="E1500" s="93"/>
      <c r="F1500" s="93"/>
      <c r="G1500" s="93"/>
      <c r="H1500" s="93"/>
      <c r="I1500" s="3" t="str">
        <f t="shared" si="16"/>
        <v>664110601</v>
      </c>
      <c r="J1500" s="3"/>
      <c r="K1500" s="3"/>
      <c r="L1500" s="94" t="s">
        <v>2488</v>
      </c>
      <c r="M1500" s="4">
        <v>2.0</v>
      </c>
      <c r="N1500" s="3"/>
      <c r="O1500" s="93"/>
      <c r="P1500" s="3"/>
      <c r="Q1500" s="3"/>
      <c r="R1500" s="3"/>
      <c r="S1500" s="3"/>
      <c r="T1500" s="3"/>
      <c r="U1500" s="6">
        <v>2.0</v>
      </c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97"/>
      <c r="BO1500" s="3"/>
      <c r="BP1500" s="3"/>
      <c r="BQ1500" s="10"/>
    </row>
    <row r="1501">
      <c r="A1501" s="28">
        <v>1.0</v>
      </c>
      <c r="B1501" s="29" t="s">
        <v>2509</v>
      </c>
      <c r="C1501" s="30"/>
      <c r="D1501" s="30"/>
      <c r="E1501" s="30"/>
      <c r="F1501" s="30"/>
      <c r="G1501" s="30"/>
      <c r="H1501" s="30"/>
      <c r="I1501" s="31" t="str">
        <f t="shared" si="16"/>
        <v>66500</v>
      </c>
      <c r="J1501" s="74"/>
      <c r="K1501" s="74"/>
      <c r="L1501" s="31" t="s">
        <v>2510</v>
      </c>
      <c r="M1501" s="75">
        <v>1.0</v>
      </c>
      <c r="N1501" s="32"/>
      <c r="O1501" s="30"/>
      <c r="P1501" s="32"/>
      <c r="Q1501" s="32"/>
      <c r="R1501" s="32"/>
      <c r="S1501" s="32"/>
      <c r="T1501" s="74"/>
      <c r="U1501" s="34">
        <v>1.0</v>
      </c>
      <c r="V1501" s="74"/>
      <c r="W1501" s="34" t="s">
        <v>70</v>
      </c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  <c r="AH1501" s="74"/>
      <c r="AI1501" s="74"/>
      <c r="AJ1501" s="74"/>
      <c r="AK1501" s="74"/>
      <c r="AL1501" s="74"/>
      <c r="AM1501" s="74"/>
      <c r="AN1501" s="74"/>
      <c r="AO1501" s="74"/>
      <c r="AP1501" s="32"/>
      <c r="AQ1501" s="32"/>
      <c r="AR1501" s="32"/>
      <c r="AS1501" s="32"/>
      <c r="AT1501" s="32"/>
      <c r="AU1501" s="32"/>
      <c r="AV1501" s="74"/>
      <c r="AW1501" s="74"/>
      <c r="AX1501" s="74"/>
      <c r="AY1501" s="74"/>
      <c r="AZ1501" s="74"/>
      <c r="BA1501" s="74"/>
      <c r="BB1501" s="74"/>
      <c r="BC1501" s="74"/>
      <c r="BD1501" s="74"/>
      <c r="BE1501" s="74"/>
      <c r="BF1501" s="74"/>
      <c r="BG1501" s="74"/>
      <c r="BH1501" s="32"/>
      <c r="BI1501" s="32"/>
      <c r="BJ1501" s="32"/>
      <c r="BK1501" s="32"/>
      <c r="BL1501" s="32"/>
      <c r="BM1501" s="74"/>
      <c r="BN1501" s="76"/>
      <c r="BO1501" s="74"/>
      <c r="BP1501" s="32"/>
      <c r="BQ1501" s="10"/>
    </row>
    <row r="1502">
      <c r="A1502" s="36">
        <v>2.0</v>
      </c>
      <c r="B1502" s="37" t="s">
        <v>2511</v>
      </c>
      <c r="C1502" s="38"/>
      <c r="D1502" s="38"/>
      <c r="E1502" s="38"/>
      <c r="F1502" s="38"/>
      <c r="G1502" s="38"/>
      <c r="H1502" s="38"/>
      <c r="I1502" s="39" t="str">
        <f t="shared" si="16"/>
        <v>66510</v>
      </c>
      <c r="J1502" s="40"/>
      <c r="K1502" s="40"/>
      <c r="L1502" s="39" t="s">
        <v>2512</v>
      </c>
      <c r="M1502" s="41">
        <v>1.0</v>
      </c>
      <c r="N1502" s="42"/>
      <c r="O1502" s="38"/>
      <c r="P1502" s="42"/>
      <c r="Q1502" s="42"/>
      <c r="R1502" s="42"/>
      <c r="S1502" s="42"/>
      <c r="T1502" s="40"/>
      <c r="U1502" s="43">
        <v>1.0</v>
      </c>
      <c r="V1502" s="40"/>
      <c r="W1502" s="43" t="s">
        <v>70</v>
      </c>
      <c r="X1502" s="40"/>
      <c r="Y1502" s="40"/>
      <c r="Z1502" s="40"/>
      <c r="AA1502" s="40"/>
      <c r="AB1502" s="40"/>
      <c r="AC1502" s="40"/>
      <c r="AD1502" s="40"/>
      <c r="AE1502" s="40"/>
      <c r="AF1502" s="40"/>
      <c r="AG1502" s="40"/>
      <c r="AH1502" s="40"/>
      <c r="AI1502" s="40"/>
      <c r="AJ1502" s="40"/>
      <c r="AK1502" s="40"/>
      <c r="AL1502" s="40"/>
      <c r="AM1502" s="40"/>
      <c r="AN1502" s="40"/>
      <c r="AO1502" s="40"/>
      <c r="AP1502" s="42"/>
      <c r="AQ1502" s="42"/>
      <c r="AR1502" s="42"/>
      <c r="AS1502" s="42"/>
      <c r="AT1502" s="42"/>
      <c r="AU1502" s="42"/>
      <c r="AV1502" s="40"/>
      <c r="AW1502" s="40"/>
      <c r="AX1502" s="40"/>
      <c r="AY1502" s="40"/>
      <c r="AZ1502" s="40"/>
      <c r="BA1502" s="40"/>
      <c r="BB1502" s="40"/>
      <c r="BC1502" s="40"/>
      <c r="BD1502" s="40"/>
      <c r="BE1502" s="40"/>
      <c r="BF1502" s="40"/>
      <c r="BG1502" s="40"/>
      <c r="BH1502" s="42"/>
      <c r="BI1502" s="42"/>
      <c r="BJ1502" s="42"/>
      <c r="BK1502" s="42"/>
      <c r="BL1502" s="42"/>
      <c r="BM1502" s="40"/>
      <c r="BN1502" s="44"/>
      <c r="BO1502" s="40"/>
      <c r="BP1502" s="42"/>
      <c r="BQ1502" s="10"/>
    </row>
    <row r="1503">
      <c r="A1503" s="45">
        <v>3.0</v>
      </c>
      <c r="B1503" s="46" t="s">
        <v>2513</v>
      </c>
      <c r="C1503" s="47"/>
      <c r="D1503" s="47"/>
      <c r="E1503" s="47"/>
      <c r="F1503" s="47"/>
      <c r="G1503" s="47"/>
      <c r="H1503" s="47"/>
      <c r="I1503" s="48" t="str">
        <f t="shared" si="16"/>
        <v>66511</v>
      </c>
      <c r="J1503" s="49"/>
      <c r="K1503" s="49"/>
      <c r="L1503" s="48" t="s">
        <v>2514</v>
      </c>
      <c r="M1503" s="50">
        <v>1.0</v>
      </c>
      <c r="N1503" s="51"/>
      <c r="O1503" s="47"/>
      <c r="P1503" s="51"/>
      <c r="Q1503" s="51"/>
      <c r="R1503" s="51"/>
      <c r="S1503" s="51"/>
      <c r="T1503" s="49"/>
      <c r="U1503" s="52">
        <v>1.0</v>
      </c>
      <c r="V1503" s="49"/>
      <c r="W1503" s="52" t="s">
        <v>70</v>
      </c>
      <c r="X1503" s="49"/>
      <c r="Y1503" s="49"/>
      <c r="Z1503" s="49"/>
      <c r="AA1503" s="49"/>
      <c r="AB1503" s="49"/>
      <c r="AC1503" s="49"/>
      <c r="AD1503" s="49"/>
      <c r="AE1503" s="49"/>
      <c r="AF1503" s="49"/>
      <c r="AG1503" s="49"/>
      <c r="AH1503" s="49"/>
      <c r="AI1503" s="49"/>
      <c r="AJ1503" s="49"/>
      <c r="AK1503" s="49"/>
      <c r="AL1503" s="49"/>
      <c r="AM1503" s="49"/>
      <c r="AN1503" s="49"/>
      <c r="AO1503" s="49"/>
      <c r="AP1503" s="51"/>
      <c r="AQ1503" s="51"/>
      <c r="AR1503" s="51"/>
      <c r="AS1503" s="51"/>
      <c r="AT1503" s="51"/>
      <c r="AU1503" s="51"/>
      <c r="AV1503" s="49"/>
      <c r="AW1503" s="49"/>
      <c r="AX1503" s="49"/>
      <c r="AY1503" s="49"/>
      <c r="AZ1503" s="49"/>
      <c r="BA1503" s="49"/>
      <c r="BB1503" s="49"/>
      <c r="BC1503" s="49"/>
      <c r="BD1503" s="49"/>
      <c r="BE1503" s="49"/>
      <c r="BF1503" s="49"/>
      <c r="BG1503" s="49"/>
      <c r="BH1503" s="51"/>
      <c r="BI1503" s="51"/>
      <c r="BJ1503" s="51"/>
      <c r="BK1503" s="51"/>
      <c r="BL1503" s="51"/>
      <c r="BM1503" s="49"/>
      <c r="BN1503" s="53"/>
      <c r="BO1503" s="49"/>
      <c r="BP1503" s="51"/>
      <c r="BQ1503" s="10"/>
    </row>
    <row r="1504">
      <c r="A1504" s="1">
        <v>4.0</v>
      </c>
      <c r="B1504" s="2" t="s">
        <v>2513</v>
      </c>
      <c r="C1504" s="2" t="s">
        <v>76</v>
      </c>
      <c r="D1504" s="93"/>
      <c r="E1504" s="93"/>
      <c r="F1504" s="93"/>
      <c r="G1504" s="93"/>
      <c r="H1504" s="93"/>
      <c r="I1504" s="3" t="str">
        <f t="shared" si="16"/>
        <v>6651101</v>
      </c>
      <c r="J1504" s="3"/>
      <c r="K1504" s="3"/>
      <c r="L1504" s="94" t="s">
        <v>2515</v>
      </c>
      <c r="M1504" s="4">
        <v>1.0</v>
      </c>
      <c r="N1504" s="3"/>
      <c r="O1504" s="93"/>
      <c r="P1504" s="3"/>
      <c r="Q1504" s="3"/>
      <c r="R1504" s="3"/>
      <c r="S1504" s="3"/>
      <c r="T1504" s="3"/>
      <c r="U1504" s="6">
        <v>1.0</v>
      </c>
      <c r="V1504" s="3"/>
      <c r="W1504" s="6" t="s">
        <v>435</v>
      </c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6" t="s">
        <v>80</v>
      </c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97"/>
      <c r="BO1504" s="3"/>
      <c r="BP1504" s="3"/>
      <c r="BQ1504" s="10"/>
    </row>
    <row r="1505">
      <c r="A1505" s="1">
        <v>5.0</v>
      </c>
      <c r="B1505" s="2" t="s">
        <v>2513</v>
      </c>
      <c r="C1505" s="2" t="s">
        <v>76</v>
      </c>
      <c r="D1505" s="2" t="s">
        <v>76</v>
      </c>
      <c r="E1505" s="93"/>
      <c r="F1505" s="93"/>
      <c r="G1505" s="93"/>
      <c r="H1505" s="93"/>
      <c r="I1505" s="3" t="str">
        <f t="shared" si="16"/>
        <v>665110101</v>
      </c>
      <c r="J1505" s="3"/>
      <c r="K1505" s="3"/>
      <c r="L1505" s="94" t="s">
        <v>2516</v>
      </c>
      <c r="M1505" s="4">
        <v>1.0</v>
      </c>
      <c r="N1505" s="6" t="s">
        <v>2517</v>
      </c>
      <c r="O1505" s="95" t="s">
        <v>2518</v>
      </c>
      <c r="P1505" s="3"/>
      <c r="Q1505" s="3"/>
      <c r="R1505" s="3"/>
      <c r="S1505" s="3"/>
      <c r="T1505" s="3"/>
      <c r="U1505" s="6">
        <v>1.0</v>
      </c>
      <c r="V1505" s="3"/>
      <c r="W1505" s="6" t="s">
        <v>78</v>
      </c>
      <c r="X1505" s="3"/>
      <c r="Y1505" s="3"/>
      <c r="Z1505" s="3"/>
      <c r="AA1505" s="96" t="s">
        <v>79</v>
      </c>
      <c r="AB1505" s="96" t="s">
        <v>79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6">
        <v>1.1072308E7</v>
      </c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97"/>
      <c r="BO1505" s="3"/>
      <c r="BP1505" s="3"/>
      <c r="BQ1505" s="10"/>
    </row>
    <row r="1506">
      <c r="A1506" s="1">
        <v>5.0</v>
      </c>
      <c r="B1506" s="2" t="s">
        <v>2513</v>
      </c>
      <c r="C1506" s="2" t="s">
        <v>76</v>
      </c>
      <c r="D1506" s="2" t="s">
        <v>119</v>
      </c>
      <c r="E1506" s="93"/>
      <c r="F1506" s="93"/>
      <c r="G1506" s="93"/>
      <c r="H1506" s="93"/>
      <c r="I1506" s="3" t="str">
        <f t="shared" si="16"/>
        <v>665110102</v>
      </c>
      <c r="J1506" s="3"/>
      <c r="K1506" s="3"/>
      <c r="L1506" s="94" t="s">
        <v>2519</v>
      </c>
      <c r="M1506" s="4">
        <v>1.0</v>
      </c>
      <c r="N1506" s="6" t="s">
        <v>2520</v>
      </c>
      <c r="O1506" s="95" t="s">
        <v>2521</v>
      </c>
      <c r="P1506" s="3"/>
      <c r="Q1506" s="3"/>
      <c r="R1506" s="3"/>
      <c r="S1506" s="3"/>
      <c r="T1506" s="3"/>
      <c r="U1506" s="6">
        <v>1.0</v>
      </c>
      <c r="V1506" s="3"/>
      <c r="W1506" s="6" t="s">
        <v>78</v>
      </c>
      <c r="X1506" s="3"/>
      <c r="Y1506" s="3"/>
      <c r="Z1506" s="3"/>
      <c r="AA1506" s="96" t="s">
        <v>79</v>
      </c>
      <c r="AB1506" s="96" t="s">
        <v>79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6">
        <v>1.7382303E7</v>
      </c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97"/>
      <c r="BO1506" s="3"/>
      <c r="BP1506" s="3"/>
      <c r="BQ1506" s="10"/>
    </row>
    <row r="1507">
      <c r="A1507" s="1">
        <v>5.0</v>
      </c>
      <c r="B1507" s="2" t="s">
        <v>2513</v>
      </c>
      <c r="C1507" s="2" t="s">
        <v>76</v>
      </c>
      <c r="D1507" s="2" t="s">
        <v>124</v>
      </c>
      <c r="E1507" s="93"/>
      <c r="F1507" s="93"/>
      <c r="G1507" s="93"/>
      <c r="H1507" s="93"/>
      <c r="I1507" s="3" t="str">
        <f t="shared" si="16"/>
        <v>665110103</v>
      </c>
      <c r="J1507" s="3"/>
      <c r="K1507" s="3"/>
      <c r="L1507" s="94" t="s">
        <v>2522</v>
      </c>
      <c r="M1507" s="4">
        <v>2.0</v>
      </c>
      <c r="N1507" s="3"/>
      <c r="O1507" s="93"/>
      <c r="P1507" s="3"/>
      <c r="Q1507" s="3"/>
      <c r="R1507" s="3"/>
      <c r="S1507" s="3"/>
      <c r="T1507" s="3"/>
      <c r="U1507" s="6">
        <v>1.0</v>
      </c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97"/>
      <c r="BO1507" s="3"/>
      <c r="BP1507" s="3"/>
      <c r="BQ1507" s="10"/>
    </row>
    <row r="1508">
      <c r="A1508" s="1">
        <v>5.0</v>
      </c>
      <c r="B1508" s="2" t="s">
        <v>2513</v>
      </c>
      <c r="C1508" s="2" t="s">
        <v>76</v>
      </c>
      <c r="D1508" s="2" t="s">
        <v>127</v>
      </c>
      <c r="E1508" s="93"/>
      <c r="F1508" s="93"/>
      <c r="G1508" s="93"/>
      <c r="H1508" s="93"/>
      <c r="I1508" s="3" t="str">
        <f t="shared" si="16"/>
        <v>665110104</v>
      </c>
      <c r="J1508" s="3"/>
      <c r="K1508" s="3"/>
      <c r="L1508" s="94" t="s">
        <v>2523</v>
      </c>
      <c r="M1508" s="4">
        <v>1.0</v>
      </c>
      <c r="N1508" s="3"/>
      <c r="O1508" s="95" t="s">
        <v>2524</v>
      </c>
      <c r="P1508" s="3"/>
      <c r="Q1508" s="3"/>
      <c r="R1508" s="3"/>
      <c r="S1508" s="3"/>
      <c r="T1508" s="3"/>
      <c r="U1508" s="6">
        <v>1.0</v>
      </c>
      <c r="V1508" s="3"/>
      <c r="W1508" s="6" t="s">
        <v>78</v>
      </c>
      <c r="X1508" s="3"/>
      <c r="Y1508" s="3"/>
      <c r="Z1508" s="3"/>
      <c r="AA1508" s="96" t="s">
        <v>79</v>
      </c>
      <c r="AB1508" s="96" t="s">
        <v>79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97"/>
      <c r="BO1508" s="3"/>
      <c r="BP1508" s="3"/>
      <c r="BQ1508" s="10"/>
    </row>
    <row r="1509">
      <c r="A1509" s="1">
        <v>5.0</v>
      </c>
      <c r="B1509" s="2" t="s">
        <v>2513</v>
      </c>
      <c r="C1509" s="2" t="s">
        <v>76</v>
      </c>
      <c r="D1509" s="2" t="s">
        <v>91</v>
      </c>
      <c r="E1509" s="93"/>
      <c r="F1509" s="93"/>
      <c r="G1509" s="93"/>
      <c r="H1509" s="93"/>
      <c r="I1509" s="3" t="str">
        <f t="shared" si="16"/>
        <v>665110105</v>
      </c>
      <c r="J1509" s="3"/>
      <c r="K1509" s="3"/>
      <c r="L1509" s="94" t="s">
        <v>2525</v>
      </c>
      <c r="M1509" s="4">
        <v>2.0</v>
      </c>
      <c r="N1509" s="3"/>
      <c r="O1509" s="93"/>
      <c r="P1509" s="3"/>
      <c r="Q1509" s="3"/>
      <c r="R1509" s="3"/>
      <c r="S1509" s="3"/>
      <c r="T1509" s="3"/>
      <c r="U1509" s="6">
        <v>1.0</v>
      </c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97"/>
      <c r="BO1509" s="3"/>
      <c r="BP1509" s="3"/>
      <c r="BQ1509" s="10"/>
    </row>
    <row r="1510">
      <c r="A1510" s="1">
        <v>5.0</v>
      </c>
      <c r="B1510" s="2" t="s">
        <v>2513</v>
      </c>
      <c r="C1510" s="2" t="s">
        <v>76</v>
      </c>
      <c r="D1510" s="2" t="s">
        <v>133</v>
      </c>
      <c r="E1510" s="93"/>
      <c r="F1510" s="93"/>
      <c r="G1510" s="93"/>
      <c r="H1510" s="93"/>
      <c r="I1510" s="3" t="str">
        <f t="shared" si="16"/>
        <v>665110106</v>
      </c>
      <c r="J1510" s="3"/>
      <c r="K1510" s="3"/>
      <c r="L1510" s="94" t="s">
        <v>2526</v>
      </c>
      <c r="M1510" s="4">
        <v>2.0</v>
      </c>
      <c r="N1510" s="3"/>
      <c r="O1510" s="93"/>
      <c r="P1510" s="3"/>
      <c r="Q1510" s="3"/>
      <c r="R1510" s="3"/>
      <c r="S1510" s="3"/>
      <c r="T1510" s="3"/>
      <c r="U1510" s="6">
        <v>1.0</v>
      </c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97"/>
      <c r="BO1510" s="3"/>
      <c r="BP1510" s="3"/>
      <c r="BQ1510" s="10"/>
    </row>
    <row r="1511">
      <c r="A1511" s="1">
        <v>5.0</v>
      </c>
      <c r="B1511" s="2" t="s">
        <v>2513</v>
      </c>
      <c r="C1511" s="2" t="s">
        <v>76</v>
      </c>
      <c r="D1511" s="2" t="s">
        <v>136</v>
      </c>
      <c r="E1511" s="93"/>
      <c r="F1511" s="93"/>
      <c r="G1511" s="93"/>
      <c r="H1511" s="93"/>
      <c r="I1511" s="3" t="str">
        <f t="shared" si="16"/>
        <v>665110107</v>
      </c>
      <c r="J1511" s="3"/>
      <c r="K1511" s="3"/>
      <c r="L1511" s="94" t="s">
        <v>2527</v>
      </c>
      <c r="M1511" s="4">
        <v>2.0</v>
      </c>
      <c r="N1511" s="3"/>
      <c r="O1511" s="93"/>
      <c r="P1511" s="3"/>
      <c r="Q1511" s="3"/>
      <c r="R1511" s="3"/>
      <c r="S1511" s="3"/>
      <c r="T1511" s="3"/>
      <c r="U1511" s="6">
        <v>1.0</v>
      </c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97"/>
      <c r="BO1511" s="3"/>
      <c r="BP1511" s="3"/>
      <c r="BQ1511" s="10"/>
    </row>
    <row r="1512">
      <c r="A1512" s="1">
        <v>5.0</v>
      </c>
      <c r="B1512" s="2" t="s">
        <v>2513</v>
      </c>
      <c r="C1512" s="2" t="s">
        <v>76</v>
      </c>
      <c r="D1512" s="2" t="s">
        <v>138</v>
      </c>
      <c r="E1512" s="93"/>
      <c r="F1512" s="93"/>
      <c r="G1512" s="93"/>
      <c r="H1512" s="93"/>
      <c r="I1512" s="3" t="str">
        <f t="shared" si="16"/>
        <v>665110108</v>
      </c>
      <c r="J1512" s="3"/>
      <c r="K1512" s="3"/>
      <c r="L1512" s="94" t="s">
        <v>2528</v>
      </c>
      <c r="M1512" s="4">
        <v>1.0</v>
      </c>
      <c r="N1512" s="3"/>
      <c r="O1512" s="95" t="s">
        <v>2529</v>
      </c>
      <c r="P1512" s="3"/>
      <c r="Q1512" s="3"/>
      <c r="R1512" s="3"/>
      <c r="S1512" s="3"/>
      <c r="T1512" s="3"/>
      <c r="U1512" s="6">
        <v>1.0</v>
      </c>
      <c r="V1512" s="3"/>
      <c r="W1512" s="6" t="s">
        <v>78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97"/>
      <c r="BO1512" s="3"/>
      <c r="BP1512" s="3"/>
      <c r="BQ1512" s="10"/>
    </row>
    <row r="1513">
      <c r="A1513" s="1">
        <v>6.0</v>
      </c>
      <c r="B1513" s="2" t="s">
        <v>2513</v>
      </c>
      <c r="C1513" s="2" t="s">
        <v>76</v>
      </c>
      <c r="D1513" s="2" t="s">
        <v>138</v>
      </c>
      <c r="E1513" s="2" t="s">
        <v>76</v>
      </c>
      <c r="F1513" s="93"/>
      <c r="G1513" s="93"/>
      <c r="H1513" s="93"/>
      <c r="I1513" s="3" t="str">
        <f t="shared" si="16"/>
        <v>66511010801</v>
      </c>
      <c r="J1513" s="3"/>
      <c r="K1513" s="3"/>
      <c r="L1513" s="94" t="s">
        <v>2530</v>
      </c>
      <c r="M1513" s="4">
        <v>2.0</v>
      </c>
      <c r="N1513" s="3"/>
      <c r="O1513" s="93"/>
      <c r="P1513" s="3"/>
      <c r="Q1513" s="3"/>
      <c r="R1513" s="3"/>
      <c r="S1513" s="3"/>
      <c r="T1513" s="3"/>
      <c r="U1513" s="6">
        <v>1.0</v>
      </c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97"/>
      <c r="BO1513" s="3"/>
      <c r="BP1513" s="3"/>
      <c r="BQ1513" s="10"/>
    </row>
    <row r="1514">
      <c r="A1514" s="1">
        <v>6.0</v>
      </c>
      <c r="B1514" s="2" t="s">
        <v>2513</v>
      </c>
      <c r="C1514" s="2" t="s">
        <v>76</v>
      </c>
      <c r="D1514" s="2" t="s">
        <v>138</v>
      </c>
      <c r="E1514" s="2" t="s">
        <v>119</v>
      </c>
      <c r="F1514" s="93"/>
      <c r="G1514" s="93"/>
      <c r="H1514" s="93"/>
      <c r="I1514" s="3" t="str">
        <f t="shared" si="16"/>
        <v>66511010802</v>
      </c>
      <c r="J1514" s="3"/>
      <c r="K1514" s="3"/>
      <c r="L1514" s="94" t="s">
        <v>2531</v>
      </c>
      <c r="M1514" s="4">
        <v>2.0</v>
      </c>
      <c r="N1514" s="3"/>
      <c r="O1514" s="93"/>
      <c r="P1514" s="3"/>
      <c r="Q1514" s="3"/>
      <c r="R1514" s="3"/>
      <c r="S1514" s="3"/>
      <c r="T1514" s="3"/>
      <c r="U1514" s="6">
        <v>1.0</v>
      </c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97"/>
      <c r="BO1514" s="3"/>
      <c r="BP1514" s="3"/>
      <c r="BQ1514" s="10"/>
    </row>
    <row r="1515">
      <c r="A1515" s="1">
        <v>6.0</v>
      </c>
      <c r="B1515" s="2" t="s">
        <v>2513</v>
      </c>
      <c r="C1515" s="2" t="s">
        <v>76</v>
      </c>
      <c r="D1515" s="2" t="s">
        <v>138</v>
      </c>
      <c r="E1515" s="2" t="s">
        <v>124</v>
      </c>
      <c r="F1515" s="93"/>
      <c r="G1515" s="93"/>
      <c r="H1515" s="93"/>
      <c r="I1515" s="3" t="str">
        <f t="shared" si="16"/>
        <v>66511010803</v>
      </c>
      <c r="J1515" s="3"/>
      <c r="K1515" s="3"/>
      <c r="L1515" s="94" t="s">
        <v>2532</v>
      </c>
      <c r="M1515" s="4">
        <v>2.0</v>
      </c>
      <c r="N1515" s="3"/>
      <c r="O1515" s="93"/>
      <c r="P1515" s="3"/>
      <c r="Q1515" s="3"/>
      <c r="R1515" s="3"/>
      <c r="S1515" s="3"/>
      <c r="T1515" s="3"/>
      <c r="U1515" s="6">
        <v>1.0</v>
      </c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97"/>
      <c r="BO1515" s="3"/>
      <c r="BP1515" s="3"/>
      <c r="BQ1515" s="10"/>
    </row>
    <row r="1516">
      <c r="A1516" s="1">
        <v>6.0</v>
      </c>
      <c r="B1516" s="2" t="s">
        <v>2513</v>
      </c>
      <c r="C1516" s="2" t="s">
        <v>76</v>
      </c>
      <c r="D1516" s="2" t="s">
        <v>142</v>
      </c>
      <c r="E1516" s="93"/>
      <c r="F1516" s="93"/>
      <c r="G1516" s="93"/>
      <c r="H1516" s="93"/>
      <c r="I1516" s="3" t="str">
        <f t="shared" si="16"/>
        <v>665110109</v>
      </c>
      <c r="J1516" s="3"/>
      <c r="K1516" s="3"/>
      <c r="L1516" s="94" t="s">
        <v>2533</v>
      </c>
      <c r="M1516" s="4">
        <v>2.0</v>
      </c>
      <c r="N1516" s="3"/>
      <c r="O1516" s="93"/>
      <c r="P1516" s="3"/>
      <c r="Q1516" s="3"/>
      <c r="R1516" s="3"/>
      <c r="S1516" s="3"/>
      <c r="T1516" s="3"/>
      <c r="U1516" s="6">
        <v>1.0</v>
      </c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97"/>
      <c r="BO1516" s="3"/>
      <c r="BP1516" s="3"/>
      <c r="BQ1516" s="10"/>
    </row>
    <row r="1517">
      <c r="A1517" s="1">
        <v>5.0</v>
      </c>
      <c r="B1517" s="2" t="s">
        <v>2513</v>
      </c>
      <c r="C1517" s="2" t="s">
        <v>76</v>
      </c>
      <c r="D1517" s="2" t="s">
        <v>149</v>
      </c>
      <c r="E1517" s="93"/>
      <c r="F1517" s="93"/>
      <c r="G1517" s="93"/>
      <c r="H1517" s="93"/>
      <c r="I1517" s="3" t="str">
        <f t="shared" si="16"/>
        <v>66511010A</v>
      </c>
      <c r="J1517" s="3"/>
      <c r="K1517" s="3"/>
      <c r="L1517" s="94" t="s">
        <v>2534</v>
      </c>
      <c r="M1517" s="4">
        <v>1.0</v>
      </c>
      <c r="N1517" s="3"/>
      <c r="O1517" s="95" t="s">
        <v>2535</v>
      </c>
      <c r="P1517" s="3"/>
      <c r="Q1517" s="3"/>
      <c r="R1517" s="3"/>
      <c r="S1517" s="3"/>
      <c r="T1517" s="3"/>
      <c r="U1517" s="6">
        <v>2.0</v>
      </c>
      <c r="V1517" s="3"/>
      <c r="W1517" s="6" t="s">
        <v>78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97"/>
      <c r="BO1517" s="3"/>
      <c r="BP1517" s="3"/>
      <c r="BQ1517" s="10"/>
    </row>
    <row r="1518">
      <c r="A1518" s="1">
        <v>6.0</v>
      </c>
      <c r="B1518" s="2" t="s">
        <v>2513</v>
      </c>
      <c r="C1518" s="2" t="s">
        <v>76</v>
      </c>
      <c r="D1518" s="2" t="s">
        <v>149</v>
      </c>
      <c r="E1518" s="2" t="s">
        <v>76</v>
      </c>
      <c r="F1518" s="93"/>
      <c r="G1518" s="93"/>
      <c r="H1518" s="93"/>
      <c r="I1518" s="3" t="str">
        <f t="shared" si="16"/>
        <v>66511010A01</v>
      </c>
      <c r="J1518" s="3"/>
      <c r="K1518" s="3"/>
      <c r="L1518" s="94" t="s">
        <v>2536</v>
      </c>
      <c r="M1518" s="4">
        <v>2.0</v>
      </c>
      <c r="N1518" s="3"/>
      <c r="O1518" s="93"/>
      <c r="P1518" s="3"/>
      <c r="Q1518" s="3"/>
      <c r="R1518" s="3"/>
      <c r="S1518" s="3"/>
      <c r="T1518" s="3"/>
      <c r="U1518" s="6">
        <v>2.0</v>
      </c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97"/>
      <c r="BO1518" s="3"/>
      <c r="BP1518" s="3"/>
      <c r="BQ1518" s="10"/>
    </row>
    <row r="1519">
      <c r="A1519" s="1">
        <v>6.0</v>
      </c>
      <c r="B1519" s="2" t="s">
        <v>2513</v>
      </c>
      <c r="C1519" s="2" t="s">
        <v>76</v>
      </c>
      <c r="D1519" s="2" t="s">
        <v>149</v>
      </c>
      <c r="E1519" s="2" t="s">
        <v>119</v>
      </c>
      <c r="F1519" s="93"/>
      <c r="G1519" s="93"/>
      <c r="H1519" s="93"/>
      <c r="I1519" s="3" t="str">
        <f t="shared" si="16"/>
        <v>66511010A02</v>
      </c>
      <c r="J1519" s="3"/>
      <c r="K1519" s="3"/>
      <c r="L1519" s="94" t="s">
        <v>2537</v>
      </c>
      <c r="M1519" s="4">
        <v>2.0</v>
      </c>
      <c r="N1519" s="3"/>
      <c r="O1519" s="93"/>
      <c r="P1519" s="3"/>
      <c r="Q1519" s="3"/>
      <c r="R1519" s="3"/>
      <c r="S1519" s="3"/>
      <c r="T1519" s="3"/>
      <c r="U1519" s="6">
        <v>1.0</v>
      </c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97"/>
      <c r="BO1519" s="3"/>
      <c r="BP1519" s="3"/>
      <c r="BQ1519" s="10"/>
    </row>
    <row r="1520">
      <c r="A1520" s="1">
        <v>6.0</v>
      </c>
      <c r="B1520" s="2" t="s">
        <v>2513</v>
      </c>
      <c r="C1520" s="2" t="s">
        <v>76</v>
      </c>
      <c r="D1520" s="2" t="s">
        <v>149</v>
      </c>
      <c r="E1520" s="2" t="s">
        <v>124</v>
      </c>
      <c r="F1520" s="93"/>
      <c r="G1520" s="93"/>
      <c r="H1520" s="93"/>
      <c r="I1520" s="3" t="str">
        <f t="shared" si="16"/>
        <v>66511010A03</v>
      </c>
      <c r="J1520" s="3"/>
      <c r="K1520" s="3"/>
      <c r="L1520" s="94" t="s">
        <v>2538</v>
      </c>
      <c r="M1520" s="4">
        <v>2.0</v>
      </c>
      <c r="N1520" s="3"/>
      <c r="O1520" s="93"/>
      <c r="P1520" s="3"/>
      <c r="Q1520" s="3"/>
      <c r="R1520" s="3"/>
      <c r="S1520" s="3"/>
      <c r="T1520" s="3"/>
      <c r="U1520" s="6">
        <v>3.0</v>
      </c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97"/>
      <c r="BO1520" s="3"/>
      <c r="BP1520" s="3"/>
      <c r="BQ1520" s="10"/>
    </row>
    <row r="1521">
      <c r="A1521" s="1">
        <v>6.0</v>
      </c>
      <c r="B1521" s="2" t="s">
        <v>2513</v>
      </c>
      <c r="C1521" s="2" t="s">
        <v>76</v>
      </c>
      <c r="D1521" s="2" t="s">
        <v>149</v>
      </c>
      <c r="E1521" s="2" t="s">
        <v>127</v>
      </c>
      <c r="F1521" s="93"/>
      <c r="G1521" s="93"/>
      <c r="H1521" s="93"/>
      <c r="I1521" s="3" t="str">
        <f t="shared" si="16"/>
        <v>66511010A04</v>
      </c>
      <c r="J1521" s="3"/>
      <c r="K1521" s="3"/>
      <c r="L1521" s="94" t="s">
        <v>2539</v>
      </c>
      <c r="M1521" s="4">
        <v>2.0</v>
      </c>
      <c r="N1521" s="3"/>
      <c r="O1521" s="93"/>
      <c r="P1521" s="3"/>
      <c r="Q1521" s="3"/>
      <c r="R1521" s="3"/>
      <c r="S1521" s="3"/>
      <c r="T1521" s="3"/>
      <c r="U1521" s="6" t="s">
        <v>2540</v>
      </c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97"/>
      <c r="BO1521" s="3"/>
      <c r="BP1521" s="3"/>
      <c r="BQ1521" s="10"/>
    </row>
    <row r="1522">
      <c r="A1522" s="1">
        <v>4.0</v>
      </c>
      <c r="B1522" s="2" t="s">
        <v>2513</v>
      </c>
      <c r="C1522" s="2" t="s">
        <v>119</v>
      </c>
      <c r="D1522" s="93"/>
      <c r="E1522" s="93"/>
      <c r="F1522" s="93"/>
      <c r="G1522" s="93"/>
      <c r="H1522" s="93"/>
      <c r="I1522" s="3" t="str">
        <f t="shared" si="16"/>
        <v>6651102</v>
      </c>
      <c r="J1522" s="3"/>
      <c r="K1522" s="3"/>
      <c r="L1522" s="94" t="s">
        <v>2541</v>
      </c>
      <c r="M1522" s="4">
        <v>2.0</v>
      </c>
      <c r="N1522" s="3"/>
      <c r="O1522" s="93"/>
      <c r="P1522" s="3"/>
      <c r="Q1522" s="3"/>
      <c r="R1522" s="3"/>
      <c r="S1522" s="3"/>
      <c r="T1522" s="3"/>
      <c r="U1522" s="6">
        <v>1.0</v>
      </c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97"/>
      <c r="BO1522" s="3"/>
      <c r="BP1522" s="3"/>
      <c r="BQ1522" s="10"/>
    </row>
    <row r="1523">
      <c r="A1523" s="1">
        <v>5.0</v>
      </c>
      <c r="B1523" s="2" t="s">
        <v>2513</v>
      </c>
      <c r="C1523" s="2" t="s">
        <v>119</v>
      </c>
      <c r="D1523" s="2" t="s">
        <v>76</v>
      </c>
      <c r="E1523" s="93"/>
      <c r="F1523" s="93"/>
      <c r="G1523" s="93"/>
      <c r="H1523" s="93"/>
      <c r="I1523" s="3" t="str">
        <f t="shared" si="16"/>
        <v>665110201</v>
      </c>
      <c r="J1523" s="3"/>
      <c r="K1523" s="3"/>
      <c r="L1523" s="94" t="s">
        <v>2391</v>
      </c>
      <c r="M1523" s="4">
        <v>2.0</v>
      </c>
      <c r="N1523" s="3"/>
      <c r="O1523" s="93"/>
      <c r="P1523" s="3"/>
      <c r="Q1523" s="3"/>
      <c r="R1523" s="3"/>
      <c r="S1523" s="3"/>
      <c r="T1523" s="3"/>
      <c r="U1523" s="6">
        <v>1.0</v>
      </c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97"/>
      <c r="BO1523" s="3"/>
      <c r="BP1523" s="3"/>
      <c r="BQ1523" s="10"/>
    </row>
    <row r="1524">
      <c r="A1524" s="1">
        <v>5.0</v>
      </c>
      <c r="B1524" s="2" t="s">
        <v>2513</v>
      </c>
      <c r="C1524" s="2" t="s">
        <v>119</v>
      </c>
      <c r="D1524" s="2" t="s">
        <v>119</v>
      </c>
      <c r="E1524" s="93"/>
      <c r="F1524" s="93"/>
      <c r="G1524" s="93"/>
      <c r="H1524" s="93"/>
      <c r="I1524" s="3" t="str">
        <f t="shared" si="16"/>
        <v>665110202</v>
      </c>
      <c r="J1524" s="3"/>
      <c r="K1524" s="3"/>
      <c r="L1524" s="94" t="s">
        <v>2542</v>
      </c>
      <c r="M1524" s="4">
        <v>1.0</v>
      </c>
      <c r="N1524" s="3"/>
      <c r="O1524" s="95" t="s">
        <v>2543</v>
      </c>
      <c r="P1524" s="3"/>
      <c r="Q1524" s="3"/>
      <c r="R1524" s="3"/>
      <c r="S1524" s="3"/>
      <c r="T1524" s="3"/>
      <c r="U1524" s="6">
        <v>1.0</v>
      </c>
      <c r="V1524" s="3"/>
      <c r="W1524" s="6" t="s">
        <v>78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97"/>
      <c r="BO1524" s="3"/>
      <c r="BP1524" s="3"/>
      <c r="BQ1524" s="10"/>
    </row>
    <row r="1525">
      <c r="A1525" s="1">
        <v>5.0</v>
      </c>
      <c r="B1525" s="2" t="s">
        <v>2513</v>
      </c>
      <c r="C1525" s="2" t="s">
        <v>119</v>
      </c>
      <c r="D1525" s="2" t="s">
        <v>124</v>
      </c>
      <c r="E1525" s="93"/>
      <c r="F1525" s="93"/>
      <c r="G1525" s="93"/>
      <c r="H1525" s="93"/>
      <c r="I1525" s="3" t="str">
        <f t="shared" si="16"/>
        <v>665110203</v>
      </c>
      <c r="J1525" s="3"/>
      <c r="K1525" s="3"/>
      <c r="L1525" s="94" t="s">
        <v>2544</v>
      </c>
      <c r="M1525" s="4">
        <v>2.0</v>
      </c>
      <c r="N1525" s="3"/>
      <c r="O1525" s="93"/>
      <c r="P1525" s="3"/>
      <c r="Q1525" s="3"/>
      <c r="R1525" s="3"/>
      <c r="S1525" s="3"/>
      <c r="T1525" s="3"/>
      <c r="U1525" s="6">
        <v>2.0</v>
      </c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97"/>
      <c r="BO1525" s="3"/>
      <c r="BP1525" s="3"/>
      <c r="BQ1525" s="10"/>
    </row>
    <row r="1526">
      <c r="A1526" s="1">
        <v>5.0</v>
      </c>
      <c r="B1526" s="2" t="s">
        <v>2513</v>
      </c>
      <c r="C1526" s="2" t="s">
        <v>119</v>
      </c>
      <c r="D1526" s="2" t="s">
        <v>127</v>
      </c>
      <c r="E1526" s="93"/>
      <c r="F1526" s="93"/>
      <c r="G1526" s="93"/>
      <c r="H1526" s="93"/>
      <c r="I1526" s="3" t="str">
        <f t="shared" si="16"/>
        <v>665110204</v>
      </c>
      <c r="J1526" s="3"/>
      <c r="K1526" s="3"/>
      <c r="L1526" s="94" t="s">
        <v>2545</v>
      </c>
      <c r="M1526" s="4">
        <v>2.0</v>
      </c>
      <c r="N1526" s="3"/>
      <c r="O1526" s="93"/>
      <c r="P1526" s="3"/>
      <c r="Q1526" s="3"/>
      <c r="R1526" s="3"/>
      <c r="S1526" s="3"/>
      <c r="T1526" s="3"/>
      <c r="U1526" s="6">
        <v>2.0</v>
      </c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97"/>
      <c r="BO1526" s="3"/>
      <c r="BP1526" s="3"/>
      <c r="BQ1526" s="10"/>
    </row>
    <row r="1527">
      <c r="A1527" s="1">
        <v>5.0</v>
      </c>
      <c r="B1527" s="2" t="s">
        <v>2513</v>
      </c>
      <c r="C1527" s="2" t="s">
        <v>119</v>
      </c>
      <c r="D1527" s="2" t="s">
        <v>91</v>
      </c>
      <c r="E1527" s="93"/>
      <c r="F1527" s="93"/>
      <c r="G1527" s="93"/>
      <c r="H1527" s="93"/>
      <c r="I1527" s="3" t="str">
        <f t="shared" si="16"/>
        <v>665110205</v>
      </c>
      <c r="J1527" s="3"/>
      <c r="K1527" s="3"/>
      <c r="L1527" s="94" t="s">
        <v>2546</v>
      </c>
      <c r="M1527" s="4">
        <v>2.0</v>
      </c>
      <c r="N1527" s="3"/>
      <c r="O1527" s="93"/>
      <c r="P1527" s="3"/>
      <c r="Q1527" s="3"/>
      <c r="R1527" s="3"/>
      <c r="S1527" s="3"/>
      <c r="T1527" s="3"/>
      <c r="U1527" s="6">
        <v>2.0</v>
      </c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97"/>
      <c r="BO1527" s="3"/>
      <c r="BP1527" s="3"/>
      <c r="BQ1527" s="10"/>
    </row>
    <row r="1528">
      <c r="A1528" s="1">
        <v>5.0</v>
      </c>
      <c r="B1528" s="2" t="s">
        <v>2513</v>
      </c>
      <c r="C1528" s="2" t="s">
        <v>119</v>
      </c>
      <c r="D1528" s="2" t="s">
        <v>133</v>
      </c>
      <c r="E1528" s="93"/>
      <c r="F1528" s="93"/>
      <c r="G1528" s="93"/>
      <c r="H1528" s="93"/>
      <c r="I1528" s="3" t="str">
        <f t="shared" si="16"/>
        <v>665110206</v>
      </c>
      <c r="J1528" s="3"/>
      <c r="K1528" s="3"/>
      <c r="L1528" s="94" t="s">
        <v>2547</v>
      </c>
      <c r="M1528" s="4">
        <v>2.0</v>
      </c>
      <c r="N1528" s="3"/>
      <c r="O1528" s="93"/>
      <c r="P1528" s="3"/>
      <c r="Q1528" s="3"/>
      <c r="R1528" s="3"/>
      <c r="S1528" s="3"/>
      <c r="T1528" s="3"/>
      <c r="U1528" s="6">
        <v>1.0</v>
      </c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97"/>
      <c r="BO1528" s="3"/>
      <c r="BP1528" s="3"/>
      <c r="BQ1528" s="10"/>
    </row>
    <row r="1529">
      <c r="A1529" s="1">
        <v>5.0</v>
      </c>
      <c r="B1529" s="2" t="s">
        <v>2513</v>
      </c>
      <c r="C1529" s="2" t="s">
        <v>119</v>
      </c>
      <c r="D1529" s="2" t="s">
        <v>136</v>
      </c>
      <c r="E1529" s="93"/>
      <c r="F1529" s="93"/>
      <c r="G1529" s="93"/>
      <c r="H1529" s="93"/>
      <c r="I1529" s="3" t="str">
        <f t="shared" si="16"/>
        <v>665110207</v>
      </c>
      <c r="J1529" s="3"/>
      <c r="K1529" s="3"/>
      <c r="L1529" s="94" t="s">
        <v>2548</v>
      </c>
      <c r="M1529" s="4">
        <v>2.0</v>
      </c>
      <c r="N1529" s="3"/>
      <c r="O1529" s="93"/>
      <c r="P1529" s="3"/>
      <c r="Q1529" s="3"/>
      <c r="R1529" s="3"/>
      <c r="S1529" s="3"/>
      <c r="T1529" s="3"/>
      <c r="U1529" s="6">
        <v>1.0</v>
      </c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97"/>
      <c r="BO1529" s="3"/>
      <c r="BP1529" s="3"/>
      <c r="BQ1529" s="10"/>
    </row>
    <row r="1530">
      <c r="A1530" s="1">
        <v>5.0</v>
      </c>
      <c r="B1530" s="2" t="s">
        <v>2513</v>
      </c>
      <c r="C1530" s="2" t="s">
        <v>119</v>
      </c>
      <c r="D1530" s="2" t="s">
        <v>138</v>
      </c>
      <c r="E1530" s="93"/>
      <c r="F1530" s="93"/>
      <c r="G1530" s="93"/>
      <c r="H1530" s="93"/>
      <c r="I1530" s="3" t="str">
        <f t="shared" si="16"/>
        <v>665110208</v>
      </c>
      <c r="J1530" s="3"/>
      <c r="K1530" s="3"/>
      <c r="L1530" s="94" t="s">
        <v>2549</v>
      </c>
      <c r="M1530" s="4">
        <v>2.0</v>
      </c>
      <c r="N1530" s="3"/>
      <c r="O1530" s="93"/>
      <c r="P1530" s="3"/>
      <c r="Q1530" s="3"/>
      <c r="R1530" s="3"/>
      <c r="S1530" s="3"/>
      <c r="T1530" s="3"/>
      <c r="U1530" s="6">
        <v>1.0</v>
      </c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97"/>
      <c r="BO1530" s="3"/>
      <c r="BP1530" s="3"/>
      <c r="BQ1530" s="10"/>
    </row>
    <row r="1531">
      <c r="A1531" s="1">
        <v>5.0</v>
      </c>
      <c r="B1531" s="2" t="s">
        <v>2513</v>
      </c>
      <c r="C1531" s="2" t="s">
        <v>119</v>
      </c>
      <c r="D1531" s="2" t="s">
        <v>142</v>
      </c>
      <c r="E1531" s="93"/>
      <c r="F1531" s="93"/>
      <c r="G1531" s="93"/>
      <c r="H1531" s="93"/>
      <c r="I1531" s="3" t="str">
        <f t="shared" si="16"/>
        <v>665110209</v>
      </c>
      <c r="J1531" s="3"/>
      <c r="K1531" s="3"/>
      <c r="L1531" s="94" t="s">
        <v>2550</v>
      </c>
      <c r="M1531" s="4">
        <v>2.0</v>
      </c>
      <c r="N1531" s="3"/>
      <c r="O1531" s="93"/>
      <c r="P1531" s="3"/>
      <c r="Q1531" s="3"/>
      <c r="R1531" s="3"/>
      <c r="S1531" s="3"/>
      <c r="T1531" s="3"/>
      <c r="U1531" s="6">
        <v>10.0</v>
      </c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97"/>
      <c r="BO1531" s="3"/>
      <c r="BP1531" s="3"/>
      <c r="BQ1531" s="10"/>
    </row>
    <row r="1532">
      <c r="A1532" s="1">
        <v>5.0</v>
      </c>
      <c r="B1532" s="2" t="s">
        <v>2513</v>
      </c>
      <c r="C1532" s="2" t="s">
        <v>119</v>
      </c>
      <c r="D1532" s="2" t="s">
        <v>149</v>
      </c>
      <c r="E1532" s="93"/>
      <c r="F1532" s="93"/>
      <c r="G1532" s="93"/>
      <c r="H1532" s="93"/>
      <c r="I1532" s="3" t="str">
        <f t="shared" si="16"/>
        <v>66511020A</v>
      </c>
      <c r="J1532" s="3"/>
      <c r="K1532" s="3"/>
      <c r="L1532" s="94" t="s">
        <v>2551</v>
      </c>
      <c r="M1532" s="4">
        <v>2.0</v>
      </c>
      <c r="N1532" s="3"/>
      <c r="O1532" s="93"/>
      <c r="P1532" s="3"/>
      <c r="Q1532" s="3"/>
      <c r="R1532" s="3"/>
      <c r="S1532" s="3"/>
      <c r="T1532" s="3"/>
      <c r="U1532" s="6">
        <v>2.0</v>
      </c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97"/>
      <c r="BO1532" s="3"/>
      <c r="BP1532" s="3"/>
      <c r="BQ1532" s="10"/>
    </row>
    <row r="1533">
      <c r="A1533" s="1">
        <v>5.0</v>
      </c>
      <c r="B1533" s="2" t="s">
        <v>2513</v>
      </c>
      <c r="C1533" s="2" t="s">
        <v>119</v>
      </c>
      <c r="D1533" s="2" t="s">
        <v>151</v>
      </c>
      <c r="E1533" s="93"/>
      <c r="F1533" s="93"/>
      <c r="G1533" s="93"/>
      <c r="H1533" s="93"/>
      <c r="I1533" s="3" t="str">
        <f t="shared" si="16"/>
        <v>66511020B</v>
      </c>
      <c r="J1533" s="3"/>
      <c r="K1533" s="3"/>
      <c r="L1533" s="94" t="s">
        <v>2552</v>
      </c>
      <c r="M1533" s="4">
        <v>2.0</v>
      </c>
      <c r="N1533" s="3"/>
      <c r="O1533" s="93"/>
      <c r="P1533" s="3"/>
      <c r="Q1533" s="3"/>
      <c r="R1533" s="3"/>
      <c r="S1533" s="3"/>
      <c r="T1533" s="3"/>
      <c r="U1533" s="6">
        <v>2.0</v>
      </c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97"/>
      <c r="BO1533" s="3"/>
      <c r="BP1533" s="3"/>
      <c r="BQ1533" s="10"/>
    </row>
    <row r="1534">
      <c r="A1534" s="1">
        <v>5.0</v>
      </c>
      <c r="B1534" s="2" t="s">
        <v>2513</v>
      </c>
      <c r="C1534" s="2" t="s">
        <v>119</v>
      </c>
      <c r="D1534" s="2" t="s">
        <v>155</v>
      </c>
      <c r="E1534" s="93"/>
      <c r="F1534" s="93"/>
      <c r="G1534" s="93"/>
      <c r="H1534" s="93"/>
      <c r="I1534" s="3" t="str">
        <f t="shared" si="16"/>
        <v>66511020C</v>
      </c>
      <c r="J1534" s="3"/>
      <c r="K1534" s="3"/>
      <c r="L1534" s="94" t="s">
        <v>2553</v>
      </c>
      <c r="M1534" s="4">
        <v>2.0</v>
      </c>
      <c r="N1534" s="3"/>
      <c r="O1534" s="93"/>
      <c r="P1534" s="3"/>
      <c r="Q1534" s="3"/>
      <c r="R1534" s="3"/>
      <c r="S1534" s="3"/>
      <c r="T1534" s="3"/>
      <c r="U1534" s="6">
        <v>1.0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97"/>
      <c r="BO1534" s="3"/>
      <c r="BP1534" s="3"/>
      <c r="BQ1534" s="10"/>
    </row>
    <row r="1535">
      <c r="A1535" s="1">
        <v>5.0</v>
      </c>
      <c r="B1535" s="2" t="s">
        <v>2513</v>
      </c>
      <c r="C1535" s="2" t="s">
        <v>119</v>
      </c>
      <c r="D1535" s="2" t="s">
        <v>158</v>
      </c>
      <c r="E1535" s="93"/>
      <c r="F1535" s="93"/>
      <c r="G1535" s="93"/>
      <c r="H1535" s="93"/>
      <c r="I1535" s="3" t="str">
        <f t="shared" si="16"/>
        <v>66511020D</v>
      </c>
      <c r="J1535" s="3"/>
      <c r="K1535" s="3"/>
      <c r="L1535" s="94" t="s">
        <v>2554</v>
      </c>
      <c r="M1535" s="4">
        <v>2.0</v>
      </c>
      <c r="N1535" s="3"/>
      <c r="O1535" s="93"/>
      <c r="P1535" s="3"/>
      <c r="Q1535" s="3"/>
      <c r="R1535" s="3"/>
      <c r="S1535" s="3"/>
      <c r="T1535" s="3"/>
      <c r="U1535" s="6">
        <v>1.0</v>
      </c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97"/>
      <c r="BO1535" s="3"/>
      <c r="BP1535" s="3"/>
      <c r="BQ1535" s="10"/>
    </row>
    <row r="1536">
      <c r="A1536" s="1">
        <v>4.0</v>
      </c>
      <c r="B1536" s="2" t="s">
        <v>2513</v>
      </c>
      <c r="C1536" s="2" t="s">
        <v>124</v>
      </c>
      <c r="D1536" s="93"/>
      <c r="E1536" s="93"/>
      <c r="F1536" s="93"/>
      <c r="G1536" s="93"/>
      <c r="H1536" s="93"/>
      <c r="I1536" s="3" t="str">
        <f t="shared" si="16"/>
        <v>6651103</v>
      </c>
      <c r="J1536" s="3"/>
      <c r="K1536" s="3"/>
      <c r="L1536" s="94" t="s">
        <v>2555</v>
      </c>
      <c r="M1536" s="4">
        <v>2.0</v>
      </c>
      <c r="N1536" s="3"/>
      <c r="O1536" s="93"/>
      <c r="P1536" s="3"/>
      <c r="Q1536" s="3"/>
      <c r="R1536" s="3"/>
      <c r="S1536" s="3"/>
      <c r="T1536" s="3"/>
      <c r="U1536" s="6">
        <v>1.0</v>
      </c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97"/>
      <c r="BO1536" s="3"/>
      <c r="BP1536" s="3"/>
      <c r="BQ1536" s="10"/>
    </row>
    <row r="1537">
      <c r="A1537" s="1">
        <v>5.0</v>
      </c>
      <c r="B1537" s="2" t="s">
        <v>2513</v>
      </c>
      <c r="C1537" s="2" t="s">
        <v>124</v>
      </c>
      <c r="D1537" s="2" t="s">
        <v>76</v>
      </c>
      <c r="E1537" s="93"/>
      <c r="F1537" s="93"/>
      <c r="G1537" s="93"/>
      <c r="H1537" s="93"/>
      <c r="I1537" s="3" t="str">
        <f t="shared" si="16"/>
        <v>665110301</v>
      </c>
      <c r="J1537" s="3"/>
      <c r="K1537" s="3"/>
      <c r="L1537" s="94" t="s">
        <v>2556</v>
      </c>
      <c r="M1537" s="4">
        <v>2.0</v>
      </c>
      <c r="N1537" s="3"/>
      <c r="O1537" s="93"/>
      <c r="P1537" s="3"/>
      <c r="Q1537" s="3"/>
      <c r="R1537" s="3"/>
      <c r="S1537" s="3"/>
      <c r="T1537" s="3"/>
      <c r="U1537" s="6">
        <v>1.0</v>
      </c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97"/>
      <c r="BO1537" s="3"/>
      <c r="BP1537" s="3"/>
      <c r="BQ1537" s="10"/>
    </row>
    <row r="1538">
      <c r="A1538" s="1">
        <v>5.0</v>
      </c>
      <c r="B1538" s="2" t="s">
        <v>2513</v>
      </c>
      <c r="C1538" s="2" t="s">
        <v>124</v>
      </c>
      <c r="D1538" s="2" t="s">
        <v>119</v>
      </c>
      <c r="E1538" s="93"/>
      <c r="F1538" s="93"/>
      <c r="G1538" s="93"/>
      <c r="H1538" s="93"/>
      <c r="I1538" s="3" t="str">
        <f t="shared" si="16"/>
        <v>665110302</v>
      </c>
      <c r="J1538" s="3"/>
      <c r="K1538" s="3"/>
      <c r="L1538" s="94" t="s">
        <v>2557</v>
      </c>
      <c r="M1538" s="4">
        <v>2.0</v>
      </c>
      <c r="N1538" s="3"/>
      <c r="O1538" s="93"/>
      <c r="P1538" s="3"/>
      <c r="Q1538" s="3"/>
      <c r="R1538" s="3"/>
      <c r="S1538" s="3"/>
      <c r="T1538" s="3"/>
      <c r="U1538" s="6">
        <v>1.0</v>
      </c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97"/>
      <c r="BO1538" s="3"/>
      <c r="BP1538" s="3"/>
      <c r="BQ1538" s="10"/>
    </row>
    <row r="1539">
      <c r="A1539" s="1">
        <v>5.0</v>
      </c>
      <c r="B1539" s="2" t="s">
        <v>2513</v>
      </c>
      <c r="C1539" s="2" t="s">
        <v>124</v>
      </c>
      <c r="D1539" s="2" t="s">
        <v>124</v>
      </c>
      <c r="E1539" s="93"/>
      <c r="F1539" s="93"/>
      <c r="G1539" s="93"/>
      <c r="H1539" s="93"/>
      <c r="I1539" s="3" t="str">
        <f t="shared" si="16"/>
        <v>665110303</v>
      </c>
      <c r="J1539" s="3"/>
      <c r="K1539" s="3"/>
      <c r="L1539" s="94" t="s">
        <v>2558</v>
      </c>
      <c r="M1539" s="4">
        <v>2.0</v>
      </c>
      <c r="N1539" s="3"/>
      <c r="O1539" s="93"/>
      <c r="P1539" s="3"/>
      <c r="Q1539" s="3"/>
      <c r="R1539" s="3"/>
      <c r="S1539" s="3"/>
      <c r="T1539" s="3"/>
      <c r="U1539" s="6">
        <v>1.0</v>
      </c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97"/>
      <c r="BO1539" s="3"/>
      <c r="BP1539" s="3"/>
      <c r="BQ1539" s="10"/>
    </row>
    <row r="1540">
      <c r="A1540" s="1">
        <v>5.0</v>
      </c>
      <c r="B1540" s="2" t="s">
        <v>2513</v>
      </c>
      <c r="C1540" s="2" t="s">
        <v>124</v>
      </c>
      <c r="D1540" s="2" t="s">
        <v>127</v>
      </c>
      <c r="E1540" s="93"/>
      <c r="F1540" s="93"/>
      <c r="G1540" s="93"/>
      <c r="H1540" s="93"/>
      <c r="I1540" s="3" t="str">
        <f t="shared" si="16"/>
        <v>665110304</v>
      </c>
      <c r="J1540" s="3"/>
      <c r="K1540" s="3"/>
      <c r="L1540" s="94" t="s">
        <v>2559</v>
      </c>
      <c r="M1540" s="4">
        <v>2.0</v>
      </c>
      <c r="N1540" s="3"/>
      <c r="O1540" s="93"/>
      <c r="P1540" s="3"/>
      <c r="Q1540" s="3"/>
      <c r="R1540" s="3"/>
      <c r="S1540" s="3"/>
      <c r="T1540" s="3"/>
      <c r="U1540" s="6">
        <v>2.0</v>
      </c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97"/>
      <c r="BO1540" s="3"/>
      <c r="BP1540" s="3"/>
      <c r="BQ1540" s="10"/>
    </row>
    <row r="1541">
      <c r="A1541" s="1">
        <v>5.0</v>
      </c>
      <c r="B1541" s="2" t="s">
        <v>2513</v>
      </c>
      <c r="C1541" s="2" t="s">
        <v>124</v>
      </c>
      <c r="D1541" s="2" t="s">
        <v>91</v>
      </c>
      <c r="E1541" s="93"/>
      <c r="F1541" s="93"/>
      <c r="G1541" s="93"/>
      <c r="H1541" s="93"/>
      <c r="I1541" s="3" t="str">
        <f t="shared" si="16"/>
        <v>665110305</v>
      </c>
      <c r="J1541" s="3"/>
      <c r="K1541" s="3"/>
      <c r="L1541" s="94" t="s">
        <v>2560</v>
      </c>
      <c r="M1541" s="4">
        <v>2.0</v>
      </c>
      <c r="N1541" s="3"/>
      <c r="O1541" s="93"/>
      <c r="P1541" s="3"/>
      <c r="Q1541" s="3"/>
      <c r="R1541" s="3"/>
      <c r="S1541" s="3"/>
      <c r="T1541" s="3"/>
      <c r="U1541" s="6">
        <v>1.0</v>
      </c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97"/>
      <c r="BO1541" s="3"/>
      <c r="BP1541" s="3"/>
      <c r="BQ1541" s="10"/>
    </row>
    <row r="1542">
      <c r="A1542" s="1">
        <v>5.0</v>
      </c>
      <c r="B1542" s="2" t="s">
        <v>2513</v>
      </c>
      <c r="C1542" s="2" t="s">
        <v>124</v>
      </c>
      <c r="D1542" s="2" t="s">
        <v>133</v>
      </c>
      <c r="E1542" s="93"/>
      <c r="F1542" s="93"/>
      <c r="G1542" s="93"/>
      <c r="H1542" s="93"/>
      <c r="I1542" s="3" t="str">
        <f t="shared" si="16"/>
        <v>665110306</v>
      </c>
      <c r="J1542" s="3"/>
      <c r="K1542" s="3"/>
      <c r="L1542" s="94" t="s">
        <v>2561</v>
      </c>
      <c r="M1542" s="4">
        <v>2.0</v>
      </c>
      <c r="N1542" s="3"/>
      <c r="O1542" s="93"/>
      <c r="P1542" s="3"/>
      <c r="Q1542" s="3"/>
      <c r="R1542" s="3"/>
      <c r="S1542" s="3"/>
      <c r="T1542" s="3"/>
      <c r="U1542" s="6">
        <v>2.0</v>
      </c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97"/>
      <c r="BO1542" s="3"/>
      <c r="BP1542" s="3"/>
      <c r="BQ1542" s="10"/>
    </row>
    <row r="1543">
      <c r="A1543" s="1">
        <v>5.0</v>
      </c>
      <c r="B1543" s="2" t="s">
        <v>2513</v>
      </c>
      <c r="C1543" s="2" t="s">
        <v>124</v>
      </c>
      <c r="D1543" s="2" t="s">
        <v>136</v>
      </c>
      <c r="E1543" s="93"/>
      <c r="F1543" s="93"/>
      <c r="G1543" s="93"/>
      <c r="H1543" s="93"/>
      <c r="I1543" s="3" t="str">
        <f t="shared" si="16"/>
        <v>665110307</v>
      </c>
      <c r="J1543" s="3"/>
      <c r="K1543" s="3"/>
      <c r="L1543" s="94" t="s">
        <v>2562</v>
      </c>
      <c r="M1543" s="4">
        <v>2.0</v>
      </c>
      <c r="N1543" s="3"/>
      <c r="O1543" s="93"/>
      <c r="P1543" s="3"/>
      <c r="Q1543" s="3"/>
      <c r="R1543" s="3"/>
      <c r="S1543" s="3"/>
      <c r="T1543" s="3"/>
      <c r="U1543" s="6">
        <v>2.0</v>
      </c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97"/>
      <c r="BO1543" s="3"/>
      <c r="BP1543" s="3"/>
      <c r="BQ1543" s="10"/>
    </row>
    <row r="1544">
      <c r="A1544" s="1">
        <v>5.0</v>
      </c>
      <c r="B1544" s="2" t="s">
        <v>2513</v>
      </c>
      <c r="C1544" s="2" t="s">
        <v>124</v>
      </c>
      <c r="D1544" s="2" t="s">
        <v>138</v>
      </c>
      <c r="E1544" s="93"/>
      <c r="F1544" s="93"/>
      <c r="G1544" s="93"/>
      <c r="H1544" s="93"/>
      <c r="I1544" s="3" t="str">
        <f t="shared" si="16"/>
        <v>665110308</v>
      </c>
      <c r="J1544" s="3"/>
      <c r="K1544" s="3"/>
      <c r="L1544" s="94" t="s">
        <v>2563</v>
      </c>
      <c r="M1544" s="4">
        <v>2.0</v>
      </c>
      <c r="N1544" s="3"/>
      <c r="O1544" s="93"/>
      <c r="P1544" s="3"/>
      <c r="Q1544" s="3"/>
      <c r="R1544" s="3"/>
      <c r="S1544" s="3"/>
      <c r="T1544" s="3"/>
      <c r="U1544" s="6">
        <v>2.0</v>
      </c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97"/>
      <c r="BO1544" s="3"/>
      <c r="BP1544" s="3"/>
      <c r="BQ1544" s="10"/>
    </row>
    <row r="1545">
      <c r="A1545" s="1">
        <v>5.0</v>
      </c>
      <c r="B1545" s="2" t="s">
        <v>2513</v>
      </c>
      <c r="C1545" s="2" t="s">
        <v>124</v>
      </c>
      <c r="D1545" s="2" t="s">
        <v>142</v>
      </c>
      <c r="E1545" s="93"/>
      <c r="F1545" s="93"/>
      <c r="G1545" s="93"/>
      <c r="H1545" s="93"/>
      <c r="I1545" s="3" t="str">
        <f t="shared" si="16"/>
        <v>665110309</v>
      </c>
      <c r="J1545" s="3"/>
      <c r="K1545" s="3"/>
      <c r="L1545" s="94" t="s">
        <v>2564</v>
      </c>
      <c r="M1545" s="4">
        <v>2.0</v>
      </c>
      <c r="N1545" s="3"/>
      <c r="O1545" s="93"/>
      <c r="P1545" s="3"/>
      <c r="Q1545" s="3"/>
      <c r="R1545" s="3"/>
      <c r="S1545" s="3"/>
      <c r="T1545" s="3"/>
      <c r="U1545" s="6">
        <v>2.0</v>
      </c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97"/>
      <c r="BO1545" s="3"/>
      <c r="BP1545" s="3"/>
      <c r="BQ1545" s="10"/>
    </row>
    <row r="1546">
      <c r="A1546" s="36">
        <v>2.0</v>
      </c>
      <c r="B1546" s="37" t="s">
        <v>2565</v>
      </c>
      <c r="C1546" s="38"/>
      <c r="D1546" s="38"/>
      <c r="E1546" s="38"/>
      <c r="F1546" s="38"/>
      <c r="G1546" s="38"/>
      <c r="H1546" s="38"/>
      <c r="I1546" s="39" t="str">
        <f t="shared" si="16"/>
        <v>66520</v>
      </c>
      <c r="J1546" s="40"/>
      <c r="K1546" s="40"/>
      <c r="L1546" s="39" t="s">
        <v>2566</v>
      </c>
      <c r="M1546" s="41">
        <v>1.0</v>
      </c>
      <c r="N1546" s="42"/>
      <c r="O1546" s="38"/>
      <c r="P1546" s="42"/>
      <c r="Q1546" s="42"/>
      <c r="R1546" s="42"/>
      <c r="S1546" s="42"/>
      <c r="T1546" s="40"/>
      <c r="U1546" s="43">
        <v>1.0</v>
      </c>
      <c r="V1546" s="40"/>
      <c r="W1546" s="43" t="s">
        <v>70</v>
      </c>
      <c r="X1546" s="40"/>
      <c r="Y1546" s="40"/>
      <c r="Z1546" s="40"/>
      <c r="AA1546" s="40"/>
      <c r="AB1546" s="40"/>
      <c r="AC1546" s="40"/>
      <c r="AD1546" s="40"/>
      <c r="AE1546" s="40"/>
      <c r="AF1546" s="40"/>
      <c r="AG1546" s="40"/>
      <c r="AH1546" s="40"/>
      <c r="AI1546" s="40"/>
      <c r="AJ1546" s="40"/>
      <c r="AK1546" s="40"/>
      <c r="AL1546" s="40"/>
      <c r="AM1546" s="40"/>
      <c r="AN1546" s="40"/>
      <c r="AO1546" s="40"/>
      <c r="AP1546" s="42"/>
      <c r="AQ1546" s="42"/>
      <c r="AR1546" s="42"/>
      <c r="AS1546" s="42"/>
      <c r="AT1546" s="42"/>
      <c r="AU1546" s="42"/>
      <c r="AV1546" s="40"/>
      <c r="AW1546" s="40"/>
      <c r="AX1546" s="40"/>
      <c r="AY1546" s="40"/>
      <c r="AZ1546" s="40"/>
      <c r="BA1546" s="40"/>
      <c r="BB1546" s="40"/>
      <c r="BC1546" s="40"/>
      <c r="BD1546" s="40"/>
      <c r="BE1546" s="40"/>
      <c r="BF1546" s="40"/>
      <c r="BG1546" s="40"/>
      <c r="BH1546" s="42"/>
      <c r="BI1546" s="42"/>
      <c r="BJ1546" s="42"/>
      <c r="BK1546" s="42"/>
      <c r="BL1546" s="42"/>
      <c r="BM1546" s="40"/>
      <c r="BN1546" s="44"/>
      <c r="BO1546" s="40"/>
      <c r="BP1546" s="42"/>
      <c r="BQ1546" s="10"/>
    </row>
    <row r="1547">
      <c r="A1547" s="45">
        <v>3.0</v>
      </c>
      <c r="B1547" s="46" t="s">
        <v>2567</v>
      </c>
      <c r="C1547" s="47"/>
      <c r="D1547" s="47"/>
      <c r="E1547" s="47"/>
      <c r="F1547" s="47"/>
      <c r="G1547" s="47"/>
      <c r="H1547" s="47"/>
      <c r="I1547" s="48" t="str">
        <f t="shared" si="16"/>
        <v>66521</v>
      </c>
      <c r="J1547" s="49"/>
      <c r="K1547" s="49"/>
      <c r="L1547" s="48" t="s">
        <v>2568</v>
      </c>
      <c r="M1547" s="50">
        <v>1.0</v>
      </c>
      <c r="N1547" s="51"/>
      <c r="O1547" s="47"/>
      <c r="P1547" s="51"/>
      <c r="Q1547" s="51"/>
      <c r="R1547" s="51"/>
      <c r="S1547" s="51"/>
      <c r="T1547" s="49"/>
      <c r="U1547" s="52">
        <v>1.0</v>
      </c>
      <c r="V1547" s="49"/>
      <c r="W1547" s="52" t="s">
        <v>70</v>
      </c>
      <c r="X1547" s="49"/>
      <c r="Y1547" s="49"/>
      <c r="Z1547" s="49"/>
      <c r="AA1547" s="49"/>
      <c r="AB1547" s="49"/>
      <c r="AC1547" s="49"/>
      <c r="AD1547" s="49"/>
      <c r="AE1547" s="49"/>
      <c r="AF1547" s="49"/>
      <c r="AG1547" s="49"/>
      <c r="AH1547" s="49"/>
      <c r="AI1547" s="49"/>
      <c r="AJ1547" s="49"/>
      <c r="AK1547" s="49"/>
      <c r="AL1547" s="49"/>
      <c r="AM1547" s="49"/>
      <c r="AN1547" s="49"/>
      <c r="AO1547" s="49"/>
      <c r="AP1547" s="51"/>
      <c r="AQ1547" s="51"/>
      <c r="AR1547" s="51"/>
      <c r="AS1547" s="51"/>
      <c r="AT1547" s="51"/>
      <c r="AU1547" s="51"/>
      <c r="AV1547" s="49"/>
      <c r="AW1547" s="49"/>
      <c r="AX1547" s="49"/>
      <c r="AY1547" s="49"/>
      <c r="AZ1547" s="49"/>
      <c r="BA1547" s="49"/>
      <c r="BB1547" s="49"/>
      <c r="BC1547" s="49"/>
      <c r="BD1547" s="49"/>
      <c r="BE1547" s="49"/>
      <c r="BF1547" s="49"/>
      <c r="BG1547" s="49"/>
      <c r="BH1547" s="51"/>
      <c r="BI1547" s="51"/>
      <c r="BJ1547" s="51"/>
      <c r="BK1547" s="51"/>
      <c r="BL1547" s="51"/>
      <c r="BM1547" s="49"/>
      <c r="BN1547" s="53"/>
      <c r="BO1547" s="49"/>
      <c r="BP1547" s="51"/>
      <c r="BQ1547" s="10"/>
    </row>
    <row r="1548">
      <c r="A1548" s="1">
        <v>4.0</v>
      </c>
      <c r="B1548" s="2" t="s">
        <v>2567</v>
      </c>
      <c r="C1548" s="2" t="s">
        <v>76</v>
      </c>
      <c r="D1548" s="93"/>
      <c r="E1548" s="93"/>
      <c r="F1548" s="93"/>
      <c r="G1548" s="93"/>
      <c r="H1548" s="93"/>
      <c r="I1548" s="3" t="str">
        <f t="shared" si="16"/>
        <v>6652101</v>
      </c>
      <c r="J1548" s="3"/>
      <c r="K1548" s="3"/>
      <c r="L1548" s="94" t="s">
        <v>2569</v>
      </c>
      <c r="M1548" s="4">
        <v>1.0</v>
      </c>
      <c r="N1548" s="3"/>
      <c r="O1548" s="95" t="s">
        <v>2570</v>
      </c>
      <c r="P1548" s="3"/>
      <c r="Q1548" s="3"/>
      <c r="R1548" s="3"/>
      <c r="S1548" s="3"/>
      <c r="T1548" s="3"/>
      <c r="U1548" s="6">
        <v>1.0</v>
      </c>
      <c r="V1548" s="3"/>
      <c r="W1548" s="6" t="s">
        <v>78</v>
      </c>
      <c r="X1548" s="3"/>
      <c r="Y1548" s="3"/>
      <c r="Z1548" s="3"/>
      <c r="AA1548" s="96" t="s">
        <v>79</v>
      </c>
      <c r="AB1548" s="96" t="s">
        <v>79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6" t="s">
        <v>80</v>
      </c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97"/>
      <c r="BO1548" s="3"/>
      <c r="BP1548" s="3"/>
      <c r="BQ1548" s="10"/>
    </row>
    <row r="1549">
      <c r="A1549" s="1">
        <v>5.0</v>
      </c>
      <c r="B1549" s="2" t="s">
        <v>2567</v>
      </c>
      <c r="C1549" s="2" t="s">
        <v>76</v>
      </c>
      <c r="D1549" s="2" t="s">
        <v>76</v>
      </c>
      <c r="E1549" s="93"/>
      <c r="F1549" s="93"/>
      <c r="G1549" s="93"/>
      <c r="H1549" s="93"/>
      <c r="I1549" s="3" t="str">
        <f t="shared" si="16"/>
        <v>665210101</v>
      </c>
      <c r="J1549" s="3"/>
      <c r="K1549" s="3"/>
      <c r="L1549" s="94" t="s">
        <v>2571</v>
      </c>
      <c r="M1549" s="4">
        <v>2.0</v>
      </c>
      <c r="N1549" s="3"/>
      <c r="O1549" s="93"/>
      <c r="P1549" s="3"/>
      <c r="Q1549" s="3"/>
      <c r="R1549" s="3"/>
      <c r="S1549" s="3"/>
      <c r="T1549" s="3"/>
      <c r="U1549" s="6">
        <v>1.0</v>
      </c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97"/>
      <c r="BO1549" s="3"/>
      <c r="BP1549" s="3"/>
      <c r="BQ1549" s="10"/>
    </row>
    <row r="1550">
      <c r="A1550" s="1">
        <v>5.0</v>
      </c>
      <c r="B1550" s="2" t="s">
        <v>2567</v>
      </c>
      <c r="C1550" s="2" t="s">
        <v>76</v>
      </c>
      <c r="D1550" s="2" t="s">
        <v>119</v>
      </c>
      <c r="E1550" s="93"/>
      <c r="F1550" s="93"/>
      <c r="G1550" s="93"/>
      <c r="H1550" s="93"/>
      <c r="I1550" s="3" t="str">
        <f t="shared" si="16"/>
        <v>665210102</v>
      </c>
      <c r="J1550" s="3"/>
      <c r="K1550" s="3"/>
      <c r="L1550" s="94" t="s">
        <v>2572</v>
      </c>
      <c r="M1550" s="4">
        <v>2.0</v>
      </c>
      <c r="N1550" s="3"/>
      <c r="O1550" s="93"/>
      <c r="P1550" s="3"/>
      <c r="Q1550" s="3"/>
      <c r="R1550" s="3"/>
      <c r="S1550" s="3"/>
      <c r="T1550" s="3"/>
      <c r="U1550" s="6">
        <v>1.0</v>
      </c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97"/>
      <c r="BO1550" s="3"/>
      <c r="BP1550" s="3"/>
      <c r="BQ1550" s="10"/>
    </row>
    <row r="1551">
      <c r="A1551" s="1">
        <v>5.0</v>
      </c>
      <c r="B1551" s="2" t="s">
        <v>2567</v>
      </c>
      <c r="C1551" s="2" t="s">
        <v>76</v>
      </c>
      <c r="D1551" s="2" t="s">
        <v>124</v>
      </c>
      <c r="E1551" s="93"/>
      <c r="F1551" s="93"/>
      <c r="G1551" s="93"/>
      <c r="H1551" s="93"/>
      <c r="I1551" s="3" t="str">
        <f t="shared" si="16"/>
        <v>665210103</v>
      </c>
      <c r="J1551" s="3"/>
      <c r="K1551" s="3"/>
      <c r="L1551" s="94" t="s">
        <v>2573</v>
      </c>
      <c r="M1551" s="4">
        <v>2.0</v>
      </c>
      <c r="N1551" s="3"/>
      <c r="O1551" s="93"/>
      <c r="P1551" s="3"/>
      <c r="Q1551" s="3"/>
      <c r="R1551" s="3"/>
      <c r="S1551" s="3"/>
      <c r="T1551" s="3"/>
      <c r="U1551" s="6">
        <v>1.0</v>
      </c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97"/>
      <c r="BO1551" s="3"/>
      <c r="BP1551" s="3"/>
      <c r="BQ1551" s="10"/>
    </row>
    <row r="1552">
      <c r="A1552" s="1">
        <v>5.0</v>
      </c>
      <c r="B1552" s="2" t="s">
        <v>2567</v>
      </c>
      <c r="C1552" s="2" t="s">
        <v>76</v>
      </c>
      <c r="D1552" s="2" t="s">
        <v>127</v>
      </c>
      <c r="E1552" s="93"/>
      <c r="F1552" s="93"/>
      <c r="G1552" s="93"/>
      <c r="H1552" s="93"/>
      <c r="I1552" s="3" t="str">
        <f t="shared" si="16"/>
        <v>665210104</v>
      </c>
      <c r="J1552" s="3"/>
      <c r="K1552" s="3"/>
      <c r="L1552" s="94" t="s">
        <v>2574</v>
      </c>
      <c r="M1552" s="4">
        <v>2.0</v>
      </c>
      <c r="N1552" s="3"/>
      <c r="O1552" s="93"/>
      <c r="P1552" s="3"/>
      <c r="Q1552" s="3"/>
      <c r="R1552" s="3"/>
      <c r="S1552" s="3"/>
      <c r="T1552" s="3"/>
      <c r="U1552" s="6">
        <v>1.0</v>
      </c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97"/>
      <c r="BO1552" s="3"/>
      <c r="BP1552" s="3"/>
      <c r="BQ1552" s="10"/>
    </row>
    <row r="1553">
      <c r="A1553" s="1">
        <v>5.0</v>
      </c>
      <c r="B1553" s="2" t="s">
        <v>2567</v>
      </c>
      <c r="C1553" s="2" t="s">
        <v>76</v>
      </c>
      <c r="D1553" s="2" t="s">
        <v>91</v>
      </c>
      <c r="E1553" s="93"/>
      <c r="F1553" s="93"/>
      <c r="G1553" s="93"/>
      <c r="H1553" s="93"/>
      <c r="I1553" s="3" t="str">
        <f t="shared" si="16"/>
        <v>665210105</v>
      </c>
      <c r="J1553" s="3"/>
      <c r="K1553" s="3"/>
      <c r="L1553" s="94" t="s">
        <v>2575</v>
      </c>
      <c r="M1553" s="4">
        <v>2.0</v>
      </c>
      <c r="N1553" s="3"/>
      <c r="O1553" s="93"/>
      <c r="P1553" s="3"/>
      <c r="Q1553" s="3"/>
      <c r="R1553" s="3"/>
      <c r="S1553" s="3"/>
      <c r="T1553" s="3"/>
      <c r="U1553" s="6">
        <v>1.0</v>
      </c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97"/>
      <c r="BO1553" s="3"/>
      <c r="BP1553" s="3"/>
      <c r="BQ1553" s="10"/>
    </row>
    <row r="1554">
      <c r="A1554" s="1">
        <v>5.0</v>
      </c>
      <c r="B1554" s="2" t="s">
        <v>2567</v>
      </c>
      <c r="C1554" s="2" t="s">
        <v>76</v>
      </c>
      <c r="D1554" s="2" t="s">
        <v>133</v>
      </c>
      <c r="E1554" s="93"/>
      <c r="F1554" s="93"/>
      <c r="G1554" s="93"/>
      <c r="H1554" s="93"/>
      <c r="I1554" s="3" t="str">
        <f t="shared" si="16"/>
        <v>665210106</v>
      </c>
      <c r="J1554" s="3"/>
      <c r="K1554" s="3"/>
      <c r="L1554" s="94" t="s">
        <v>2576</v>
      </c>
      <c r="M1554" s="4">
        <v>2.0</v>
      </c>
      <c r="N1554" s="3"/>
      <c r="O1554" s="93"/>
      <c r="P1554" s="3"/>
      <c r="Q1554" s="3"/>
      <c r="R1554" s="3"/>
      <c r="S1554" s="3"/>
      <c r="T1554" s="3"/>
      <c r="U1554" s="6">
        <v>1.0</v>
      </c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97"/>
      <c r="BO1554" s="3"/>
      <c r="BP1554" s="3"/>
      <c r="BQ1554" s="10"/>
    </row>
    <row r="1555">
      <c r="A1555" s="1">
        <v>5.0</v>
      </c>
      <c r="B1555" s="2" t="s">
        <v>2567</v>
      </c>
      <c r="C1555" s="2" t="s">
        <v>76</v>
      </c>
      <c r="D1555" s="2" t="s">
        <v>136</v>
      </c>
      <c r="E1555" s="93"/>
      <c r="F1555" s="93"/>
      <c r="G1555" s="93"/>
      <c r="H1555" s="93"/>
      <c r="I1555" s="3" t="str">
        <f t="shared" si="16"/>
        <v>665210107</v>
      </c>
      <c r="J1555" s="3"/>
      <c r="K1555" s="3"/>
      <c r="L1555" s="94" t="s">
        <v>2577</v>
      </c>
      <c r="M1555" s="4">
        <v>2.0</v>
      </c>
      <c r="N1555" s="3"/>
      <c r="O1555" s="93"/>
      <c r="P1555" s="3"/>
      <c r="Q1555" s="3"/>
      <c r="R1555" s="3"/>
      <c r="S1555" s="3"/>
      <c r="T1555" s="3"/>
      <c r="U1555" s="6">
        <v>1.0</v>
      </c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97"/>
      <c r="BO1555" s="3"/>
      <c r="BP1555" s="3"/>
      <c r="BQ1555" s="10"/>
    </row>
    <row r="1556">
      <c r="A1556" s="1">
        <v>5.0</v>
      </c>
      <c r="B1556" s="2" t="s">
        <v>2567</v>
      </c>
      <c r="C1556" s="2" t="s">
        <v>76</v>
      </c>
      <c r="D1556" s="2" t="s">
        <v>138</v>
      </c>
      <c r="E1556" s="93"/>
      <c r="F1556" s="93"/>
      <c r="G1556" s="93"/>
      <c r="H1556" s="93"/>
      <c r="I1556" s="3" t="str">
        <f t="shared" si="16"/>
        <v>665210108</v>
      </c>
      <c r="J1556" s="3"/>
      <c r="K1556" s="3"/>
      <c r="L1556" s="94" t="s">
        <v>2578</v>
      </c>
      <c r="M1556" s="4">
        <v>2.0</v>
      </c>
      <c r="N1556" s="3"/>
      <c r="O1556" s="93"/>
      <c r="P1556" s="3"/>
      <c r="Q1556" s="3"/>
      <c r="R1556" s="3"/>
      <c r="S1556" s="3"/>
      <c r="T1556" s="3"/>
      <c r="U1556" s="6">
        <v>1.0</v>
      </c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97"/>
      <c r="BO1556" s="3"/>
      <c r="BP1556" s="3"/>
      <c r="BQ1556" s="10"/>
    </row>
    <row r="1557">
      <c r="A1557" s="1">
        <v>5.0</v>
      </c>
      <c r="B1557" s="2" t="s">
        <v>2567</v>
      </c>
      <c r="C1557" s="2" t="s">
        <v>76</v>
      </c>
      <c r="D1557" s="2" t="s">
        <v>142</v>
      </c>
      <c r="E1557" s="93"/>
      <c r="F1557" s="93"/>
      <c r="G1557" s="93"/>
      <c r="H1557" s="93"/>
      <c r="I1557" s="3" t="str">
        <f t="shared" si="16"/>
        <v>665210109</v>
      </c>
      <c r="J1557" s="3"/>
      <c r="K1557" s="3"/>
      <c r="L1557" s="94" t="s">
        <v>2579</v>
      </c>
      <c r="M1557" s="4">
        <v>2.0</v>
      </c>
      <c r="N1557" s="3"/>
      <c r="O1557" s="93"/>
      <c r="P1557" s="3"/>
      <c r="Q1557" s="3"/>
      <c r="R1557" s="3"/>
      <c r="S1557" s="3"/>
      <c r="T1557" s="3"/>
      <c r="U1557" s="6">
        <v>1.0</v>
      </c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97"/>
      <c r="BO1557" s="3"/>
      <c r="BP1557" s="3"/>
      <c r="BQ1557" s="10"/>
    </row>
    <row r="1558">
      <c r="A1558" s="1">
        <v>5.0</v>
      </c>
      <c r="B1558" s="2" t="s">
        <v>2567</v>
      </c>
      <c r="C1558" s="2" t="s">
        <v>76</v>
      </c>
      <c r="D1558" s="2" t="s">
        <v>149</v>
      </c>
      <c r="E1558" s="93"/>
      <c r="F1558" s="93"/>
      <c r="G1558" s="93"/>
      <c r="H1558" s="93"/>
      <c r="I1558" s="3" t="str">
        <f t="shared" si="16"/>
        <v>66521010A</v>
      </c>
      <c r="J1558" s="3"/>
      <c r="K1558" s="3"/>
      <c r="L1558" s="94" t="s">
        <v>2580</v>
      </c>
      <c r="M1558" s="4">
        <v>2.0</v>
      </c>
      <c r="N1558" s="3"/>
      <c r="O1558" s="93"/>
      <c r="P1558" s="3"/>
      <c r="Q1558" s="3"/>
      <c r="R1558" s="3"/>
      <c r="S1558" s="3"/>
      <c r="T1558" s="3"/>
      <c r="U1558" s="6">
        <v>1.0</v>
      </c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97"/>
      <c r="BO1558" s="3"/>
      <c r="BP1558" s="3"/>
      <c r="BQ1558" s="10"/>
    </row>
    <row r="1559">
      <c r="A1559" s="1">
        <v>5.0</v>
      </c>
      <c r="B1559" s="2" t="s">
        <v>2567</v>
      </c>
      <c r="C1559" s="2" t="s">
        <v>76</v>
      </c>
      <c r="D1559" s="2" t="s">
        <v>151</v>
      </c>
      <c r="E1559" s="93"/>
      <c r="F1559" s="93"/>
      <c r="G1559" s="93"/>
      <c r="H1559" s="93"/>
      <c r="I1559" s="3" t="str">
        <f t="shared" si="16"/>
        <v>66521010B</v>
      </c>
      <c r="J1559" s="3"/>
      <c r="K1559" s="3"/>
      <c r="L1559" s="94" t="s">
        <v>2581</v>
      </c>
      <c r="M1559" s="4">
        <v>2.0</v>
      </c>
      <c r="N1559" s="3"/>
      <c r="O1559" s="93"/>
      <c r="P1559" s="3"/>
      <c r="Q1559" s="3"/>
      <c r="R1559" s="3"/>
      <c r="S1559" s="3"/>
      <c r="T1559" s="3"/>
      <c r="U1559" s="6">
        <v>1.0</v>
      </c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97"/>
      <c r="BO1559" s="3"/>
      <c r="BP1559" s="3"/>
      <c r="BQ1559" s="10"/>
    </row>
    <row r="1560">
      <c r="A1560" s="1">
        <v>5.0</v>
      </c>
      <c r="B1560" s="2" t="s">
        <v>2567</v>
      </c>
      <c r="C1560" s="2" t="s">
        <v>76</v>
      </c>
      <c r="D1560" s="2" t="s">
        <v>155</v>
      </c>
      <c r="E1560" s="93"/>
      <c r="F1560" s="93"/>
      <c r="G1560" s="93"/>
      <c r="H1560" s="93"/>
      <c r="I1560" s="3" t="str">
        <f t="shared" si="16"/>
        <v>66521010C</v>
      </c>
      <c r="J1560" s="3"/>
      <c r="K1560" s="3"/>
      <c r="L1560" s="94" t="s">
        <v>2582</v>
      </c>
      <c r="M1560" s="4">
        <v>2.0</v>
      </c>
      <c r="N1560" s="3"/>
      <c r="O1560" s="93"/>
      <c r="P1560" s="3"/>
      <c r="Q1560" s="3"/>
      <c r="R1560" s="3"/>
      <c r="S1560" s="3"/>
      <c r="T1560" s="3"/>
      <c r="U1560" s="6">
        <v>1.0</v>
      </c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97"/>
      <c r="BO1560" s="3"/>
      <c r="BP1560" s="3"/>
      <c r="BQ1560" s="10"/>
    </row>
    <row r="1561">
      <c r="A1561" s="3"/>
      <c r="B1561" s="93"/>
      <c r="C1561" s="93"/>
      <c r="D1561" s="93"/>
      <c r="E1561" s="93"/>
      <c r="F1561" s="93"/>
      <c r="G1561" s="93"/>
      <c r="H1561" s="93"/>
      <c r="I1561" s="3"/>
      <c r="J1561" s="3"/>
      <c r="K1561" s="3"/>
      <c r="L1561" s="3"/>
      <c r="M1561" s="3"/>
      <c r="N1561" s="3"/>
      <c r="O1561" s="9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97"/>
      <c r="BO1561" s="3"/>
      <c r="BP1561" s="3"/>
      <c r="BQ1561" s="10"/>
    </row>
    <row r="1562">
      <c r="A1562" s="3"/>
      <c r="B1562" s="93"/>
      <c r="C1562" s="93"/>
      <c r="D1562" s="93"/>
      <c r="E1562" s="93"/>
      <c r="F1562" s="93"/>
      <c r="G1562" s="93"/>
      <c r="H1562" s="93"/>
      <c r="I1562" s="3"/>
      <c r="J1562" s="3"/>
      <c r="K1562" s="3"/>
      <c r="L1562" s="3"/>
      <c r="M1562" s="3"/>
      <c r="N1562" s="3"/>
      <c r="O1562" s="9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97"/>
      <c r="BO1562" s="3"/>
      <c r="BP1562" s="3"/>
      <c r="BQ1562" s="10"/>
    </row>
    <row r="1563">
      <c r="A1563" s="3"/>
      <c r="B1563" s="93"/>
      <c r="C1563" s="93"/>
      <c r="D1563" s="93"/>
      <c r="E1563" s="93"/>
      <c r="F1563" s="93"/>
      <c r="G1563" s="93"/>
      <c r="H1563" s="93"/>
      <c r="I1563" s="3"/>
      <c r="J1563" s="3"/>
      <c r="K1563" s="3"/>
      <c r="L1563" s="3"/>
      <c r="M1563" s="3"/>
      <c r="N1563" s="3"/>
      <c r="O1563" s="9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97"/>
      <c r="BO1563" s="3"/>
      <c r="BP1563" s="3"/>
      <c r="BQ1563" s="10"/>
    </row>
    <row r="1564">
      <c r="A1564" s="3"/>
      <c r="B1564" s="93"/>
      <c r="C1564" s="93"/>
      <c r="D1564" s="93"/>
      <c r="E1564" s="93"/>
      <c r="F1564" s="93"/>
      <c r="G1564" s="93"/>
      <c r="H1564" s="93"/>
      <c r="I1564" s="3"/>
      <c r="J1564" s="3"/>
      <c r="K1564" s="3"/>
      <c r="L1564" s="3"/>
      <c r="M1564" s="3"/>
      <c r="N1564" s="3"/>
      <c r="O1564" s="9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97"/>
      <c r="BO1564" s="3"/>
      <c r="BP1564" s="3"/>
      <c r="BQ1564" s="10"/>
    </row>
    <row r="1565">
      <c r="A1565" s="3"/>
      <c r="B1565" s="93"/>
      <c r="C1565" s="93"/>
      <c r="D1565" s="93"/>
      <c r="E1565" s="93"/>
      <c r="F1565" s="93"/>
      <c r="G1565" s="93"/>
      <c r="H1565" s="93"/>
      <c r="I1565" s="3"/>
      <c r="J1565" s="3"/>
      <c r="K1565" s="3"/>
      <c r="L1565" s="3"/>
      <c r="M1565" s="3"/>
      <c r="N1565" s="3"/>
      <c r="O1565" s="9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97"/>
      <c r="BO1565" s="3"/>
      <c r="BP1565" s="3"/>
      <c r="BQ1565" s="10"/>
    </row>
    <row r="1566">
      <c r="A1566" s="3"/>
      <c r="B1566" s="93"/>
      <c r="C1566" s="93"/>
      <c r="D1566" s="93"/>
      <c r="E1566" s="93"/>
      <c r="F1566" s="93"/>
      <c r="G1566" s="93"/>
      <c r="H1566" s="93"/>
      <c r="I1566" s="3"/>
      <c r="J1566" s="3"/>
      <c r="K1566" s="3"/>
      <c r="L1566" s="3"/>
      <c r="M1566" s="3"/>
      <c r="N1566" s="3"/>
      <c r="O1566" s="9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97"/>
      <c r="BO1566" s="3"/>
      <c r="BP1566" s="3"/>
      <c r="BQ1566" s="10"/>
    </row>
    <row r="1567">
      <c r="A1567" s="3"/>
      <c r="B1567" s="93"/>
      <c r="C1567" s="93"/>
      <c r="D1567" s="93"/>
      <c r="E1567" s="93"/>
      <c r="F1567" s="93"/>
      <c r="G1567" s="93"/>
      <c r="H1567" s="93"/>
      <c r="I1567" s="3"/>
      <c r="J1567" s="3"/>
      <c r="K1567" s="3"/>
      <c r="L1567" s="3"/>
      <c r="M1567" s="3"/>
      <c r="N1567" s="3"/>
      <c r="O1567" s="9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97"/>
      <c r="BO1567" s="3"/>
      <c r="BP1567" s="3"/>
      <c r="BQ1567" s="10"/>
    </row>
    <row r="1568">
      <c r="A1568" s="3"/>
      <c r="B1568" s="93"/>
      <c r="C1568" s="93"/>
      <c r="D1568" s="93"/>
      <c r="E1568" s="93"/>
      <c r="F1568" s="93"/>
      <c r="G1568" s="93"/>
      <c r="H1568" s="93"/>
      <c r="I1568" s="3"/>
      <c r="J1568" s="3"/>
      <c r="K1568" s="3"/>
      <c r="L1568" s="3"/>
      <c r="M1568" s="3"/>
      <c r="N1568" s="3"/>
      <c r="O1568" s="9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97"/>
      <c r="BO1568" s="3"/>
      <c r="BP1568" s="3"/>
      <c r="BQ1568" s="10"/>
    </row>
    <row r="1569">
      <c r="A1569" s="3"/>
      <c r="B1569" s="93"/>
      <c r="C1569" s="93"/>
      <c r="D1569" s="93"/>
      <c r="E1569" s="93"/>
      <c r="F1569" s="93"/>
      <c r="G1569" s="93"/>
      <c r="H1569" s="93"/>
      <c r="I1569" s="3"/>
      <c r="J1569" s="3"/>
      <c r="K1569" s="3"/>
      <c r="L1569" s="3"/>
      <c r="M1569" s="3"/>
      <c r="N1569" s="3"/>
      <c r="O1569" s="9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97"/>
      <c r="BO1569" s="3"/>
      <c r="BP1569" s="3"/>
      <c r="BQ1569" s="10"/>
    </row>
    <row r="1570">
      <c r="A1570" s="3"/>
      <c r="B1570" s="93"/>
      <c r="C1570" s="93"/>
      <c r="D1570" s="93"/>
      <c r="E1570" s="93"/>
      <c r="F1570" s="93"/>
      <c r="G1570" s="93"/>
      <c r="H1570" s="93"/>
      <c r="I1570" s="3"/>
      <c r="J1570" s="3"/>
      <c r="K1570" s="3"/>
      <c r="L1570" s="3"/>
      <c r="M1570" s="3"/>
      <c r="N1570" s="3"/>
      <c r="O1570" s="9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97"/>
      <c r="BO1570" s="3"/>
      <c r="BP1570" s="3"/>
      <c r="BQ1570" s="10"/>
    </row>
    <row r="1571">
      <c r="A1571" s="3"/>
      <c r="B1571" s="93"/>
      <c r="C1571" s="93"/>
      <c r="D1571" s="93"/>
      <c r="E1571" s="93"/>
      <c r="F1571" s="93"/>
      <c r="G1571" s="93"/>
      <c r="H1571" s="93"/>
      <c r="I1571" s="3"/>
      <c r="J1571" s="3"/>
      <c r="K1571" s="3"/>
      <c r="L1571" s="3"/>
      <c r="M1571" s="3"/>
      <c r="N1571" s="3"/>
      <c r="O1571" s="9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97"/>
      <c r="BO1571" s="3"/>
      <c r="BP1571" s="3"/>
      <c r="BQ1571" s="10"/>
    </row>
    <row r="1572">
      <c r="A1572" s="3"/>
      <c r="B1572" s="93"/>
      <c r="C1572" s="93"/>
      <c r="D1572" s="93"/>
      <c r="E1572" s="93"/>
      <c r="F1572" s="93"/>
      <c r="G1572" s="93"/>
      <c r="H1572" s="93"/>
      <c r="I1572" s="3"/>
      <c r="J1572" s="3"/>
      <c r="K1572" s="3"/>
      <c r="L1572" s="3"/>
      <c r="M1572" s="3"/>
      <c r="N1572" s="3"/>
      <c r="O1572" s="9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97"/>
      <c r="BO1572" s="3"/>
      <c r="BP1572" s="3"/>
      <c r="BQ1572" s="10"/>
    </row>
    <row r="1573">
      <c r="A1573" s="3"/>
      <c r="B1573" s="93"/>
      <c r="C1573" s="93"/>
      <c r="D1573" s="93"/>
      <c r="E1573" s="93"/>
      <c r="F1573" s="93"/>
      <c r="G1573" s="93"/>
      <c r="H1573" s="93"/>
      <c r="I1573" s="3"/>
      <c r="J1573" s="3"/>
      <c r="K1573" s="3"/>
      <c r="L1573" s="3"/>
      <c r="M1573" s="3"/>
      <c r="N1573" s="3"/>
      <c r="O1573" s="9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97"/>
      <c r="BO1573" s="3"/>
      <c r="BP1573" s="3"/>
      <c r="BQ1573" s="10"/>
    </row>
    <row r="1574">
      <c r="A1574" s="3"/>
      <c r="B1574" s="93"/>
      <c r="C1574" s="93"/>
      <c r="D1574" s="93"/>
      <c r="E1574" s="93"/>
      <c r="F1574" s="93"/>
      <c r="G1574" s="93"/>
      <c r="H1574" s="93"/>
      <c r="I1574" s="3"/>
      <c r="J1574" s="3"/>
      <c r="K1574" s="3"/>
      <c r="L1574" s="3"/>
      <c r="M1574" s="3"/>
      <c r="N1574" s="3"/>
      <c r="O1574" s="9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97"/>
      <c r="BO1574" s="3"/>
      <c r="BP1574" s="3"/>
      <c r="BQ1574" s="10"/>
    </row>
    <row r="1575">
      <c r="A1575" s="3"/>
      <c r="B1575" s="93"/>
      <c r="C1575" s="93"/>
      <c r="D1575" s="93"/>
      <c r="E1575" s="93"/>
      <c r="F1575" s="93"/>
      <c r="G1575" s="93"/>
      <c r="H1575" s="93"/>
      <c r="I1575" s="3"/>
      <c r="J1575" s="3"/>
      <c r="K1575" s="3"/>
      <c r="L1575" s="3"/>
      <c r="M1575" s="3"/>
      <c r="N1575" s="3"/>
      <c r="O1575" s="9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97"/>
      <c r="BO1575" s="3"/>
      <c r="BP1575" s="3"/>
      <c r="BQ1575" s="10"/>
    </row>
    <row r="1576">
      <c r="A1576" s="3"/>
      <c r="B1576" s="93"/>
      <c r="C1576" s="93"/>
      <c r="D1576" s="93"/>
      <c r="E1576" s="93"/>
      <c r="F1576" s="93"/>
      <c r="G1576" s="93"/>
      <c r="H1576" s="93"/>
      <c r="I1576" s="3"/>
      <c r="J1576" s="3"/>
      <c r="K1576" s="3"/>
      <c r="L1576" s="3"/>
      <c r="M1576" s="3"/>
      <c r="N1576" s="3"/>
      <c r="O1576" s="9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97"/>
      <c r="BO1576" s="3"/>
      <c r="BP1576" s="3"/>
      <c r="BQ1576" s="10"/>
    </row>
    <row r="1577">
      <c r="A1577" s="3"/>
      <c r="B1577" s="93"/>
      <c r="C1577" s="93"/>
      <c r="D1577" s="93"/>
      <c r="E1577" s="93"/>
      <c r="F1577" s="93"/>
      <c r="G1577" s="93"/>
      <c r="H1577" s="93"/>
      <c r="I1577" s="3"/>
      <c r="J1577" s="3"/>
      <c r="K1577" s="3"/>
      <c r="L1577" s="3"/>
      <c r="M1577" s="3"/>
      <c r="N1577" s="3"/>
      <c r="O1577" s="9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97"/>
      <c r="BO1577" s="3"/>
      <c r="BP1577" s="3"/>
      <c r="BQ1577" s="10"/>
    </row>
    <row r="1578">
      <c r="A1578" s="3"/>
      <c r="B1578" s="93"/>
      <c r="C1578" s="93"/>
      <c r="D1578" s="93"/>
      <c r="E1578" s="93"/>
      <c r="F1578" s="93"/>
      <c r="G1578" s="93"/>
      <c r="H1578" s="93"/>
      <c r="I1578" s="3"/>
      <c r="J1578" s="3"/>
      <c r="K1578" s="3"/>
      <c r="L1578" s="3"/>
      <c r="M1578" s="3"/>
      <c r="N1578" s="3"/>
      <c r="O1578" s="9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97"/>
      <c r="BO1578" s="3"/>
      <c r="BP1578" s="3"/>
      <c r="BQ1578" s="10"/>
    </row>
  </sheetData>
  <drawing r:id="rId1"/>
</worksheet>
</file>